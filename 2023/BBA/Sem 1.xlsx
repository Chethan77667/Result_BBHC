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 activeTab="1"/>
  </bookViews>
  <sheets>
    <sheet name="Sheet1" sheetId="1" r:id="rId1"/>
    <sheet name="Sheet2" sheetId="2" r:id="rId2"/>
    <sheet name="Sheet2 (2)" sheetId="3" r:id="rId3"/>
    <sheet name="Sheet2 (3)" sheetId="4" r:id="rId4"/>
    <sheet name="Sheet2 (4)" sheetId="5" r:id="rId5"/>
    <sheet name="bhfdsjdfs" sheetId="6" r:id="rId6"/>
  </sheets>
  <definedNames>
    <definedName name="_xlnm.Print_Titles" localSheetId="5">bhfdsjdfs!$1:$5</definedName>
    <definedName name="_xlnm.Print_Titles" localSheetId="0">Sheet1!$1:$5</definedName>
    <definedName name="_xlnm.Print_Titles" localSheetId="1">Sheet2!$1:$5</definedName>
    <definedName name="_xlnm.Print_Titles" localSheetId="2">'Sheet2 (2)'!$1:$5</definedName>
    <definedName name="_xlnm.Print_Titles" localSheetId="3">'Sheet2 (3)'!$1:$5</definedName>
    <definedName name="_xlnm.Print_Titles" localSheetId="4">'Sheet2 (4)'!$1:$5</definedName>
  </definedNames>
  <calcPr calcId="124519"/>
</workbook>
</file>

<file path=xl/calcChain.xml><?xml version="1.0" encoding="utf-8"?>
<calcChain xmlns="http://schemas.openxmlformats.org/spreadsheetml/2006/main">
  <c r="T12" i="5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496"/>
  <c r="T497"/>
  <c r="T498"/>
  <c r="T499"/>
  <c r="T500"/>
  <c r="T501"/>
  <c r="T502"/>
  <c r="T503"/>
  <c r="T504"/>
  <c r="T505"/>
  <c r="T506"/>
  <c r="T507"/>
  <c r="T508"/>
  <c r="T509"/>
  <c r="T510"/>
  <c r="T511"/>
  <c r="T512"/>
  <c r="T513"/>
  <c r="T514"/>
  <c r="T515"/>
  <c r="T516"/>
  <c r="T517"/>
  <c r="T518"/>
  <c r="T519"/>
  <c r="T520"/>
  <c r="T521"/>
  <c r="T522"/>
  <c r="T523"/>
  <c r="T524"/>
  <c r="T525"/>
  <c r="T526"/>
  <c r="T527"/>
  <c r="T528"/>
  <c r="T529"/>
  <c r="T530"/>
  <c r="T531"/>
  <c r="T532"/>
  <c r="T533"/>
  <c r="T534"/>
  <c r="T535"/>
  <c r="T536"/>
  <c r="T537"/>
  <c r="T538"/>
  <c r="T539"/>
  <c r="T540"/>
  <c r="T541"/>
  <c r="T542"/>
  <c r="T543"/>
  <c r="T544"/>
  <c r="T545"/>
  <c r="T546"/>
  <c r="T547"/>
  <c r="T548"/>
  <c r="T549"/>
  <c r="T550"/>
  <c r="T551"/>
  <c r="T552"/>
  <c r="T553"/>
  <c r="T554"/>
  <c r="T555"/>
  <c r="T556"/>
  <c r="T557"/>
  <c r="T558"/>
  <c r="T559"/>
  <c r="T560"/>
  <c r="T561"/>
  <c r="T562"/>
  <c r="T563"/>
  <c r="T564"/>
  <c r="T565"/>
  <c r="T566"/>
  <c r="T567"/>
  <c r="T568"/>
  <c r="T569"/>
  <c r="T570"/>
  <c r="T571"/>
  <c r="T572"/>
  <c r="T573"/>
  <c r="T574"/>
  <c r="T575"/>
  <c r="T576"/>
  <c r="T577"/>
  <c r="T578"/>
  <c r="T579"/>
  <c r="T580"/>
  <c r="T581"/>
  <c r="T582"/>
  <c r="T583"/>
  <c r="T584"/>
  <c r="T585"/>
  <c r="T586"/>
  <c r="T587"/>
  <c r="T588"/>
  <c r="T589"/>
  <c r="T590"/>
  <c r="T591"/>
  <c r="T592"/>
  <c r="T593"/>
  <c r="T594"/>
  <c r="T595"/>
  <c r="T596"/>
  <c r="T597"/>
  <c r="T598"/>
  <c r="T599"/>
  <c r="T600"/>
  <c r="T601"/>
  <c r="T602"/>
  <c r="T603"/>
  <c r="T604"/>
  <c r="T605"/>
  <c r="T606"/>
  <c r="T607"/>
  <c r="T608"/>
  <c r="T609"/>
  <c r="T610"/>
  <c r="T611"/>
  <c r="T612"/>
  <c r="T613"/>
  <c r="T614"/>
  <c r="T615"/>
  <c r="T616"/>
  <c r="T617"/>
  <c r="T618"/>
  <c r="T619"/>
  <c r="T620"/>
  <c r="T621"/>
  <c r="T622"/>
  <c r="T623"/>
  <c r="T624"/>
  <c r="T625"/>
  <c r="T626"/>
  <c r="T627"/>
  <c r="T628"/>
  <c r="T629"/>
  <c r="T630"/>
  <c r="T631"/>
  <c r="T632"/>
  <c r="T633"/>
  <c r="T634"/>
  <c r="T635"/>
  <c r="T636"/>
  <c r="T637"/>
  <c r="T638"/>
  <c r="T639"/>
  <c r="T640"/>
  <c r="T641"/>
  <c r="T642"/>
  <c r="T643"/>
  <c r="T644"/>
  <c r="T645"/>
  <c r="T646"/>
  <c r="T647"/>
  <c r="T648"/>
  <c r="T649"/>
  <c r="T650"/>
  <c r="T651"/>
  <c r="T652"/>
  <c r="T653"/>
  <c r="T654"/>
  <c r="T655"/>
  <c r="T656"/>
  <c r="T657"/>
  <c r="T658"/>
  <c r="T659"/>
  <c r="T660"/>
  <c r="T661"/>
  <c r="T662"/>
  <c r="T663"/>
  <c r="T664"/>
  <c r="T665"/>
  <c r="T666"/>
  <c r="T667"/>
  <c r="T668"/>
  <c r="T669"/>
  <c r="T670"/>
  <c r="T671"/>
  <c r="T672"/>
  <c r="T673"/>
  <c r="T674"/>
  <c r="T675"/>
  <c r="T676"/>
  <c r="T677"/>
  <c r="T678"/>
  <c r="T679"/>
  <c r="T680"/>
  <c r="T681"/>
  <c r="T682"/>
  <c r="T683"/>
  <c r="T684"/>
  <c r="T685"/>
  <c r="T686"/>
  <c r="T687"/>
  <c r="T688"/>
  <c r="T689"/>
  <c r="T690"/>
  <c r="T691"/>
  <c r="T692"/>
  <c r="T693"/>
  <c r="T694"/>
  <c r="T695"/>
  <c r="T696"/>
  <c r="T697"/>
  <c r="T698"/>
  <c r="T699"/>
  <c r="T700"/>
  <c r="T701"/>
  <c r="T702"/>
  <c r="T703"/>
  <c r="T704"/>
  <c r="T705"/>
  <c r="T706"/>
  <c r="T707"/>
  <c r="T708"/>
  <c r="T709"/>
  <c r="T710"/>
  <c r="T711"/>
  <c r="T712"/>
  <c r="T713"/>
  <c r="T714"/>
  <c r="T715"/>
  <c r="T716"/>
  <c r="T717"/>
  <c r="T718"/>
  <c r="T719"/>
  <c r="T720"/>
  <c r="T721"/>
  <c r="T722"/>
  <c r="T723"/>
  <c r="T724"/>
  <c r="T725"/>
  <c r="T726"/>
  <c r="T727"/>
  <c r="T728"/>
  <c r="T729"/>
  <c r="T730"/>
  <c r="T731"/>
  <c r="T732"/>
  <c r="T733"/>
  <c r="T734"/>
  <c r="T735"/>
  <c r="T736"/>
  <c r="T737"/>
  <c r="T738"/>
  <c r="T739"/>
  <c r="T740"/>
  <c r="T741"/>
  <c r="T742"/>
  <c r="T743"/>
  <c r="T744"/>
  <c r="T745"/>
  <c r="T746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78"/>
  <c r="T779"/>
  <c r="T780"/>
  <c r="T781"/>
  <c r="T782"/>
  <c r="T783"/>
  <c r="T784"/>
  <c r="T785"/>
  <c r="T786"/>
  <c r="T787"/>
  <c r="T788"/>
  <c r="T789"/>
  <c r="T790"/>
  <c r="T791"/>
  <c r="T792"/>
  <c r="T793"/>
  <c r="T794"/>
  <c r="T795"/>
  <c r="T796"/>
  <c r="T797"/>
  <c r="T798"/>
  <c r="T799"/>
  <c r="T800"/>
  <c r="T801"/>
  <c r="T802"/>
  <c r="T803"/>
  <c r="T804"/>
  <c r="T805"/>
  <c r="T806"/>
  <c r="T807"/>
  <c r="T808"/>
  <c r="T809"/>
  <c r="T810"/>
  <c r="T811"/>
  <c r="T812"/>
  <c r="T813"/>
  <c r="T814"/>
  <c r="T815"/>
  <c r="T816"/>
  <c r="T817"/>
  <c r="T818"/>
  <c r="T819"/>
  <c r="T820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38"/>
  <c r="T839"/>
  <c r="T840"/>
  <c r="T841"/>
  <c r="T842"/>
  <c r="T843"/>
  <c r="T844"/>
  <c r="T845"/>
  <c r="T846"/>
  <c r="T847"/>
  <c r="T848"/>
  <c r="T849"/>
  <c r="T850"/>
  <c r="T851"/>
  <c r="T852"/>
  <c r="T853"/>
  <c r="T854"/>
  <c r="T855"/>
  <c r="T856"/>
  <c r="T857"/>
  <c r="T858"/>
  <c r="T859"/>
  <c r="T860"/>
  <c r="T861"/>
  <c r="T862"/>
  <c r="T863"/>
  <c r="T864"/>
  <c r="T865"/>
  <c r="T866"/>
  <c r="T867"/>
  <c r="T868"/>
  <c r="T869"/>
  <c r="T870"/>
  <c r="T871"/>
  <c r="T872"/>
  <c r="T873"/>
  <c r="T874"/>
  <c r="T875"/>
  <c r="T876"/>
  <c r="T877"/>
  <c r="T878"/>
  <c r="T879"/>
  <c r="T880"/>
  <c r="T881"/>
  <c r="T882"/>
  <c r="T883"/>
  <c r="T884"/>
  <c r="T885"/>
  <c r="T886"/>
  <c r="T887"/>
  <c r="T888"/>
  <c r="T889"/>
  <c r="T890"/>
  <c r="T891"/>
  <c r="T892"/>
  <c r="T893"/>
  <c r="T894"/>
  <c r="T895"/>
  <c r="T896"/>
  <c r="T897"/>
  <c r="T898"/>
  <c r="T899"/>
  <c r="T900"/>
  <c r="T901"/>
  <c r="T902"/>
  <c r="T903"/>
  <c r="T904"/>
  <c r="T905"/>
  <c r="T906"/>
  <c r="T907"/>
  <c r="T908"/>
  <c r="T909"/>
  <c r="T910"/>
  <c r="T911"/>
  <c r="T912"/>
  <c r="T913"/>
  <c r="T914"/>
  <c r="T915"/>
  <c r="T916"/>
  <c r="T917"/>
  <c r="T918"/>
  <c r="T919"/>
  <c r="T920"/>
  <c r="T921"/>
  <c r="T922"/>
  <c r="T923"/>
  <c r="T924"/>
  <c r="T925"/>
  <c r="T926"/>
  <c r="T927"/>
  <c r="T928"/>
  <c r="T929"/>
  <c r="T930"/>
  <c r="T931"/>
  <c r="T932"/>
  <c r="T933"/>
  <c r="T934"/>
  <c r="T935"/>
  <c r="T936"/>
  <c r="T937"/>
  <c r="T938"/>
  <c r="T939"/>
  <c r="T940"/>
  <c r="T941"/>
  <c r="T942"/>
  <c r="T943"/>
  <c r="T944"/>
  <c r="T945"/>
  <c r="T946"/>
  <c r="T947"/>
  <c r="T948"/>
  <c r="T949"/>
  <c r="T950"/>
  <c r="T951"/>
  <c r="T952"/>
  <c r="T953"/>
  <c r="T954"/>
  <c r="T955"/>
  <c r="T956"/>
  <c r="T957"/>
  <c r="T958"/>
  <c r="T959"/>
  <c r="T960"/>
  <c r="T961"/>
  <c r="T962"/>
  <c r="T963"/>
  <c r="T964"/>
  <c r="T965"/>
  <c r="T966"/>
  <c r="T967"/>
  <c r="T968"/>
  <c r="T969"/>
  <c r="T970"/>
  <c r="T971"/>
  <c r="T972"/>
  <c r="T973"/>
  <c r="T11"/>
  <c r="S973"/>
  <c r="S972"/>
  <c r="S971"/>
  <c r="S970"/>
  <c r="S969"/>
  <c r="S968"/>
  <c r="S967"/>
  <c r="S966"/>
  <c r="S965"/>
  <c r="S964"/>
  <c r="S963"/>
  <c r="S962"/>
  <c r="S961"/>
  <c r="S960"/>
  <c r="S959"/>
  <c r="S958"/>
  <c r="S957"/>
  <c r="S956"/>
  <c r="S955"/>
  <c r="S954"/>
  <c r="S953"/>
  <c r="S952"/>
  <c r="S951"/>
  <c r="S950"/>
  <c r="S949"/>
  <c r="S948"/>
  <c r="S947"/>
  <c r="S946"/>
  <c r="S945"/>
  <c r="S944"/>
  <c r="S943"/>
  <c r="S942"/>
  <c r="S941"/>
  <c r="S940"/>
  <c r="S939"/>
  <c r="S938"/>
  <c r="S937"/>
  <c r="S936"/>
  <c r="S935"/>
  <c r="S934"/>
  <c r="S933"/>
  <c r="S932"/>
  <c r="S931"/>
  <c r="S930"/>
  <c r="S929"/>
  <c r="S928"/>
  <c r="S927"/>
  <c r="S926"/>
  <c r="S925"/>
  <c r="S924"/>
  <c r="S923"/>
  <c r="S922"/>
  <c r="S921"/>
  <c r="S920"/>
  <c r="S919"/>
  <c r="S918"/>
  <c r="S917"/>
  <c r="S916"/>
  <c r="S915"/>
  <c r="S914"/>
  <c r="S913"/>
  <c r="S912"/>
  <c r="S911"/>
  <c r="S910"/>
  <c r="S909"/>
  <c r="S908"/>
  <c r="S907"/>
  <c r="S906"/>
  <c r="S905"/>
  <c r="S904"/>
  <c r="S903"/>
  <c r="S902"/>
  <c r="S901"/>
  <c r="S900"/>
  <c r="S899"/>
  <c r="S898"/>
  <c r="S897"/>
  <c r="S896"/>
  <c r="S895"/>
  <c r="S894"/>
  <c r="S893"/>
  <c r="S892"/>
  <c r="S891"/>
  <c r="S890"/>
  <c r="S889"/>
  <c r="S888"/>
  <c r="S887"/>
  <c r="S886"/>
  <c r="S885"/>
  <c r="S884"/>
  <c r="S883"/>
  <c r="S882"/>
  <c r="S881"/>
  <c r="S880"/>
  <c r="S879"/>
  <c r="S878"/>
  <c r="S877"/>
  <c r="S876"/>
  <c r="S875"/>
  <c r="S874"/>
  <c r="S873"/>
  <c r="S872"/>
  <c r="S871"/>
  <c r="S870"/>
  <c r="S869"/>
  <c r="S868"/>
  <c r="S867"/>
  <c r="S866"/>
  <c r="S865"/>
  <c r="S864"/>
  <c r="S863"/>
  <c r="S862"/>
  <c r="S861"/>
  <c r="S860"/>
  <c r="S859"/>
  <c r="S858"/>
  <c r="S857"/>
  <c r="S856"/>
  <c r="S855"/>
  <c r="S854"/>
  <c r="S853"/>
  <c r="S852"/>
  <c r="S851"/>
  <c r="S850"/>
  <c r="S849"/>
  <c r="S848"/>
  <c r="S847"/>
  <c r="S846"/>
  <c r="S845"/>
  <c r="S844"/>
  <c r="S843"/>
  <c r="S842"/>
  <c r="S841"/>
  <c r="S840"/>
  <c r="S839"/>
  <c r="S838"/>
  <c r="S837"/>
  <c r="S836"/>
  <c r="S835"/>
  <c r="S834"/>
  <c r="S833"/>
  <c r="S832"/>
  <c r="S831"/>
  <c r="S830"/>
  <c r="S829"/>
  <c r="S828"/>
  <c r="S827"/>
  <c r="S826"/>
  <c r="S825"/>
  <c r="S824"/>
  <c r="S823"/>
  <c r="S822"/>
  <c r="S821"/>
  <c r="S820"/>
  <c r="S819"/>
  <c r="S818"/>
  <c r="S817"/>
  <c r="S816"/>
  <c r="S815"/>
  <c r="S814"/>
  <c r="S813"/>
  <c r="S812"/>
  <c r="S811"/>
  <c r="S810"/>
  <c r="S809"/>
  <c r="S808"/>
  <c r="S807"/>
  <c r="S806"/>
  <c r="S805"/>
  <c r="S804"/>
  <c r="S803"/>
  <c r="S802"/>
  <c r="S801"/>
  <c r="S800"/>
  <c r="S799"/>
  <c r="S798"/>
  <c r="S797"/>
  <c r="S796"/>
  <c r="S795"/>
  <c r="S794"/>
  <c r="S793"/>
  <c r="S792"/>
  <c r="S791"/>
  <c r="S790"/>
  <c r="S789"/>
  <c r="S788"/>
  <c r="S787"/>
  <c r="S786"/>
  <c r="S785"/>
  <c r="S784"/>
  <c r="S783"/>
  <c r="S782"/>
  <c r="S781"/>
  <c r="S780"/>
  <c r="S779"/>
  <c r="S778"/>
  <c r="S777"/>
  <c r="S776"/>
  <c r="S775"/>
  <c r="S774"/>
  <c r="S773"/>
  <c r="S772"/>
  <c r="S771"/>
  <c r="S770"/>
  <c r="S769"/>
  <c r="S768"/>
  <c r="S767"/>
  <c r="S766"/>
  <c r="S765"/>
  <c r="S764"/>
  <c r="S763"/>
  <c r="S762"/>
  <c r="S761"/>
  <c r="S760"/>
  <c r="S759"/>
  <c r="S758"/>
  <c r="S757"/>
  <c r="S756"/>
  <c r="S755"/>
  <c r="S754"/>
  <c r="S753"/>
  <c r="S752"/>
  <c r="S751"/>
  <c r="S750"/>
  <c r="S749"/>
  <c r="S748"/>
  <c r="S747"/>
  <c r="S746"/>
  <c r="S745"/>
  <c r="S744"/>
  <c r="S743"/>
  <c r="S742"/>
  <c r="S741"/>
  <c r="S740"/>
  <c r="S739"/>
  <c r="S738"/>
  <c r="S737"/>
  <c r="S736"/>
  <c r="S735"/>
  <c r="S734"/>
  <c r="S733"/>
  <c r="S732"/>
  <c r="S731"/>
  <c r="S730"/>
  <c r="S729"/>
  <c r="S728"/>
  <c r="S727"/>
  <c r="S726"/>
  <c r="S725"/>
  <c r="S724"/>
  <c r="S723"/>
  <c r="S722"/>
  <c r="S721"/>
  <c r="S720"/>
  <c r="S719"/>
  <c r="S718"/>
  <c r="S717"/>
  <c r="S716"/>
  <c r="S715"/>
  <c r="S714"/>
  <c r="S713"/>
  <c r="S712"/>
  <c r="S711"/>
  <c r="S710"/>
  <c r="S709"/>
  <c r="S708"/>
  <c r="S707"/>
  <c r="S706"/>
  <c r="S705"/>
  <c r="S704"/>
  <c r="S703"/>
  <c r="S702"/>
  <c r="S701"/>
  <c r="S700"/>
  <c r="S699"/>
  <c r="S698"/>
  <c r="S697"/>
  <c r="S696"/>
  <c r="S695"/>
  <c r="S694"/>
  <c r="S693"/>
  <c r="S692"/>
  <c r="S691"/>
  <c r="S690"/>
  <c r="S689"/>
  <c r="S688"/>
  <c r="S687"/>
  <c r="S686"/>
  <c r="S685"/>
  <c r="S684"/>
  <c r="S683"/>
  <c r="S682"/>
  <c r="S681"/>
  <c r="S680"/>
  <c r="S679"/>
  <c r="S678"/>
  <c r="S677"/>
  <c r="S676"/>
  <c r="S675"/>
  <c r="S674"/>
  <c r="S673"/>
  <c r="S672"/>
  <c r="S671"/>
  <c r="S670"/>
  <c r="S669"/>
  <c r="S668"/>
  <c r="S667"/>
  <c r="S666"/>
  <c r="S665"/>
  <c r="S664"/>
  <c r="S663"/>
  <c r="S662"/>
  <c r="S661"/>
  <c r="S660"/>
  <c r="S659"/>
  <c r="S658"/>
  <c r="S657"/>
  <c r="S656"/>
  <c r="S655"/>
  <c r="S654"/>
  <c r="S653"/>
  <c r="S652"/>
  <c r="S651"/>
  <c r="S650"/>
  <c r="S649"/>
  <c r="S648"/>
  <c r="S647"/>
  <c r="S646"/>
  <c r="S645"/>
  <c r="S644"/>
  <c r="S643"/>
  <c r="S642"/>
  <c r="S641"/>
  <c r="S640"/>
  <c r="S639"/>
  <c r="S638"/>
  <c r="S637"/>
  <c r="S636"/>
  <c r="S635"/>
  <c r="S634"/>
  <c r="S633"/>
  <c r="S632"/>
  <c r="S631"/>
  <c r="S630"/>
  <c r="S629"/>
  <c r="S628"/>
  <c r="S627"/>
  <c r="S626"/>
  <c r="S625"/>
  <c r="S624"/>
  <c r="S623"/>
  <c r="S622"/>
  <c r="S621"/>
  <c r="S620"/>
  <c r="S619"/>
  <c r="S618"/>
  <c r="S617"/>
  <c r="S616"/>
  <c r="S615"/>
  <c r="S614"/>
  <c r="S613"/>
  <c r="S612"/>
  <c r="S611"/>
  <c r="S610"/>
  <c r="S609"/>
  <c r="S608"/>
  <c r="S607"/>
  <c r="S606"/>
  <c r="S605"/>
  <c r="S604"/>
  <c r="S603"/>
  <c r="S602"/>
  <c r="S601"/>
  <c r="S600"/>
  <c r="S599"/>
  <c r="S598"/>
  <c r="S597"/>
  <c r="S596"/>
  <c r="S595"/>
  <c r="S594"/>
  <c r="S593"/>
  <c r="S592"/>
  <c r="S591"/>
  <c r="S590"/>
  <c r="S589"/>
  <c r="S588"/>
  <c r="S587"/>
  <c r="S586"/>
  <c r="S585"/>
  <c r="S584"/>
  <c r="S583"/>
  <c r="S582"/>
  <c r="S581"/>
  <c r="S580"/>
  <c r="S579"/>
  <c r="S578"/>
  <c r="S577"/>
  <c r="S576"/>
  <c r="S575"/>
  <c r="S574"/>
  <c r="S573"/>
  <c r="S572"/>
  <c r="S571"/>
  <c r="S570"/>
  <c r="S569"/>
  <c r="S568"/>
  <c r="S567"/>
  <c r="S566"/>
  <c r="S565"/>
  <c r="S564"/>
  <c r="S563"/>
  <c r="S562"/>
  <c r="S561"/>
  <c r="S560"/>
  <c r="S559"/>
  <c r="S558"/>
  <c r="S557"/>
  <c r="S556"/>
  <c r="S555"/>
  <c r="S554"/>
  <c r="S553"/>
  <c r="S552"/>
  <c r="S551"/>
  <c r="S550"/>
  <c r="S549"/>
  <c r="S548"/>
  <c r="S547"/>
  <c r="S546"/>
  <c r="S545"/>
  <c r="S544"/>
  <c r="S543"/>
  <c r="S542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S500"/>
  <c r="S499"/>
  <c r="S498"/>
  <c r="S497"/>
  <c r="S496"/>
  <c r="S495"/>
  <c r="S494"/>
  <c r="S493"/>
  <c r="S492"/>
  <c r="S491"/>
  <c r="S490"/>
  <c r="S489"/>
  <c r="S488"/>
  <c r="S487"/>
  <c r="S486"/>
  <c r="S485"/>
  <c r="S484"/>
  <c r="S483"/>
  <c r="S482"/>
  <c r="S481"/>
  <c r="S480"/>
  <c r="S479"/>
  <c r="S478"/>
  <c r="S477"/>
  <c r="S476"/>
  <c r="S475"/>
  <c r="S474"/>
  <c r="S473"/>
  <c r="S472"/>
  <c r="S471"/>
  <c r="S470"/>
  <c r="S469"/>
  <c r="S468"/>
  <c r="S467"/>
  <c r="S466"/>
  <c r="S465"/>
  <c r="S464"/>
  <c r="S463"/>
  <c r="S462"/>
  <c r="S461"/>
  <c r="S460"/>
  <c r="S459"/>
  <c r="S458"/>
  <c r="S457"/>
  <c r="S456"/>
  <c r="S455"/>
  <c r="S454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S417"/>
  <c r="S416"/>
  <c r="S415"/>
  <c r="S414"/>
  <c r="S413"/>
  <c r="S412"/>
  <c r="S411"/>
  <c r="S410"/>
  <c r="S409"/>
  <c r="S408"/>
  <c r="S407"/>
  <c r="S406"/>
  <c r="S405"/>
  <c r="S404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973" i="3"/>
  <c r="S972"/>
  <c r="S971"/>
  <c r="S970"/>
  <c r="S969"/>
  <c r="S968"/>
  <c r="S967"/>
  <c r="S966"/>
  <c r="S965"/>
  <c r="S964"/>
  <c r="S963"/>
  <c r="S962"/>
  <c r="S961"/>
  <c r="S960"/>
  <c r="S959"/>
  <c r="S958"/>
  <c r="S957"/>
  <c r="S956"/>
  <c r="S955"/>
  <c r="S954"/>
  <c r="S953"/>
  <c r="S952"/>
  <c r="S951"/>
  <c r="S950"/>
  <c r="S949"/>
  <c r="S948"/>
  <c r="S947"/>
  <c r="S946"/>
  <c r="S945"/>
  <c r="S944"/>
  <c r="S943"/>
  <c r="S942"/>
  <c r="S941"/>
  <c r="S940"/>
  <c r="S939"/>
  <c r="S938"/>
  <c r="S937"/>
  <c r="S936"/>
  <c r="S935"/>
  <c r="S934"/>
  <c r="S933"/>
  <c r="S932"/>
  <c r="S931"/>
  <c r="S930"/>
  <c r="S929"/>
  <c r="S928"/>
  <c r="S927"/>
  <c r="S926"/>
  <c r="S925"/>
  <c r="S924"/>
  <c r="S923"/>
  <c r="S922"/>
  <c r="S921"/>
  <c r="S920"/>
  <c r="S919"/>
  <c r="S918"/>
  <c r="S917"/>
  <c r="S916"/>
  <c r="S915"/>
  <c r="S914"/>
  <c r="S913"/>
  <c r="S912"/>
  <c r="S911"/>
  <c r="S910"/>
  <c r="S909"/>
  <c r="S908"/>
  <c r="S907"/>
  <c r="S906"/>
  <c r="S905"/>
  <c r="S904"/>
  <c r="S903"/>
  <c r="S902"/>
  <c r="S901"/>
  <c r="S900"/>
  <c r="S899"/>
  <c r="S898"/>
  <c r="S897"/>
  <c r="S896"/>
  <c r="S895"/>
  <c r="S894"/>
  <c r="S893"/>
  <c r="S892"/>
  <c r="S891"/>
  <c r="S890"/>
  <c r="S889"/>
  <c r="S888"/>
  <c r="S887"/>
  <c r="S886"/>
  <c r="S885"/>
  <c r="S884"/>
  <c r="S883"/>
  <c r="S882"/>
  <c r="S881"/>
  <c r="S880"/>
  <c r="S879"/>
  <c r="S878"/>
  <c r="S877"/>
  <c r="S876"/>
  <c r="S875"/>
  <c r="S874"/>
  <c r="S873"/>
  <c r="S872"/>
  <c r="S871"/>
  <c r="S870"/>
  <c r="S869"/>
  <c r="S868"/>
  <c r="S867"/>
  <c r="S866"/>
  <c r="S865"/>
  <c r="S864"/>
  <c r="S863"/>
  <c r="S862"/>
  <c r="S861"/>
  <c r="S860"/>
  <c r="S859"/>
  <c r="S858"/>
  <c r="S857"/>
  <c r="S856"/>
  <c r="S855"/>
  <c r="S854"/>
  <c r="S853"/>
  <c r="S852"/>
  <c r="S851"/>
  <c r="S850"/>
  <c r="S849"/>
  <c r="S848"/>
  <c r="S847"/>
  <c r="S846"/>
  <c r="S845"/>
  <c r="S844"/>
  <c r="S843"/>
  <c r="S842"/>
  <c r="S841"/>
  <c r="S840"/>
  <c r="S839"/>
  <c r="S838"/>
  <c r="S837"/>
  <c r="S836"/>
  <c r="S835"/>
  <c r="S834"/>
  <c r="S833"/>
  <c r="S832"/>
  <c r="S831"/>
  <c r="S830"/>
  <c r="S829"/>
  <c r="S828"/>
  <c r="S827"/>
  <c r="S826"/>
  <c r="S825"/>
  <c r="S824"/>
  <c r="S823"/>
  <c r="S822"/>
  <c r="S821"/>
  <c r="S820"/>
  <c r="S819"/>
  <c r="S818"/>
  <c r="S817"/>
  <c r="S816"/>
  <c r="S815"/>
  <c r="S814"/>
  <c r="S813"/>
  <c r="S812"/>
  <c r="S811"/>
  <c r="S810"/>
  <c r="S809"/>
  <c r="S808"/>
  <c r="S807"/>
  <c r="S806"/>
  <c r="S805"/>
  <c r="S804"/>
  <c r="S803"/>
  <c r="S802"/>
  <c r="S801"/>
  <c r="S800"/>
  <c r="S799"/>
  <c r="S798"/>
  <c r="S797"/>
  <c r="S796"/>
  <c r="S795"/>
  <c r="S794"/>
  <c r="S793"/>
  <c r="S792"/>
  <c r="S791"/>
  <c r="S790"/>
  <c r="S789"/>
  <c r="S788"/>
  <c r="S787"/>
  <c r="S786"/>
  <c r="S785"/>
  <c r="S784"/>
  <c r="S783"/>
  <c r="S782"/>
  <c r="S781"/>
  <c r="S780"/>
  <c r="S779"/>
  <c r="S778"/>
  <c r="S777"/>
  <c r="S776"/>
  <c r="S775"/>
  <c r="S774"/>
  <c r="S773"/>
  <c r="S772"/>
  <c r="S771"/>
  <c r="S770"/>
  <c r="S769"/>
  <c r="S768"/>
  <c r="S767"/>
  <c r="S766"/>
  <c r="S765"/>
  <c r="S764"/>
  <c r="S763"/>
  <c r="S762"/>
  <c r="S761"/>
  <c r="S760"/>
  <c r="S759"/>
  <c r="S758"/>
  <c r="S757"/>
  <c r="S756"/>
  <c r="S755"/>
  <c r="S754"/>
  <c r="S753"/>
  <c r="S752"/>
  <c r="S751"/>
  <c r="S750"/>
  <c r="S749"/>
  <c r="S748"/>
  <c r="S747"/>
  <c r="S746"/>
  <c r="S745"/>
  <c r="S744"/>
  <c r="S743"/>
  <c r="S742"/>
  <c r="S741"/>
  <c r="S740"/>
  <c r="S739"/>
  <c r="S738"/>
  <c r="S737"/>
  <c r="S736"/>
  <c r="S735"/>
  <c r="S734"/>
  <c r="S733"/>
  <c r="S732"/>
  <c r="S731"/>
  <c r="S730"/>
  <c r="S729"/>
  <c r="S728"/>
  <c r="S727"/>
  <c r="S726"/>
  <c r="S725"/>
  <c r="S724"/>
  <c r="S723"/>
  <c r="S722"/>
  <c r="S721"/>
  <c r="S720"/>
  <c r="S719"/>
  <c r="S718"/>
  <c r="S717"/>
  <c r="S716"/>
  <c r="S715"/>
  <c r="S714"/>
  <c r="S713"/>
  <c r="S712"/>
  <c r="S711"/>
  <c r="S710"/>
  <c r="S709"/>
  <c r="S708"/>
  <c r="S707"/>
  <c r="S706"/>
  <c r="S705"/>
  <c r="S704"/>
  <c r="S703"/>
  <c r="S702"/>
  <c r="S701"/>
  <c r="S700"/>
  <c r="S699"/>
  <c r="S698"/>
  <c r="S697"/>
  <c r="S696"/>
  <c r="S695"/>
  <c r="S694"/>
  <c r="S693"/>
  <c r="S692"/>
  <c r="S691"/>
  <c r="S690"/>
  <c r="S689"/>
  <c r="S688"/>
  <c r="S687"/>
  <c r="S686"/>
  <c r="S685"/>
  <c r="S684"/>
  <c r="S683"/>
  <c r="S682"/>
  <c r="S681"/>
  <c r="S680"/>
  <c r="S679"/>
  <c r="S678"/>
  <c r="S677"/>
  <c r="S676"/>
  <c r="S675"/>
  <c r="S674"/>
  <c r="S673"/>
  <c r="S672"/>
  <c r="S671"/>
  <c r="S670"/>
  <c r="S669"/>
  <c r="S668"/>
  <c r="S667"/>
  <c r="S666"/>
  <c r="S665"/>
  <c r="S664"/>
  <c r="S663"/>
  <c r="S662"/>
  <c r="S661"/>
  <c r="S660"/>
  <c r="S659"/>
  <c r="S658"/>
  <c r="S657"/>
  <c r="S656"/>
  <c r="S655"/>
  <c r="S654"/>
  <c r="S653"/>
  <c r="S652"/>
  <c r="S651"/>
  <c r="S650"/>
  <c r="S649"/>
  <c r="S648"/>
  <c r="S647"/>
  <c r="S646"/>
  <c r="S645"/>
  <c r="S644"/>
  <c r="S643"/>
  <c r="S642"/>
  <c r="S641"/>
  <c r="S640"/>
  <c r="S639"/>
  <c r="S638"/>
  <c r="S637"/>
  <c r="S636"/>
  <c r="S635"/>
  <c r="S634"/>
  <c r="S633"/>
  <c r="S632"/>
  <c r="S631"/>
  <c r="S630"/>
  <c r="S629"/>
  <c r="S628"/>
  <c r="S627"/>
  <c r="S626"/>
  <c r="S625"/>
  <c r="S624"/>
  <c r="S623"/>
  <c r="S622"/>
  <c r="S621"/>
  <c r="S620"/>
  <c r="S619"/>
  <c r="S618"/>
  <c r="S617"/>
  <c r="S616"/>
  <c r="S615"/>
  <c r="S614"/>
  <c r="S613"/>
  <c r="S612"/>
  <c r="S611"/>
  <c r="S610"/>
  <c r="S609"/>
  <c r="S608"/>
  <c r="S607"/>
  <c r="S606"/>
  <c r="S605"/>
  <c r="S604"/>
  <c r="S603"/>
  <c r="S602"/>
  <c r="S601"/>
  <c r="S600"/>
  <c r="S599"/>
  <c r="S598"/>
  <c r="S597"/>
  <c r="S596"/>
  <c r="S595"/>
  <c r="S594"/>
  <c r="S593"/>
  <c r="S592"/>
  <c r="S591"/>
  <c r="S590"/>
  <c r="S589"/>
  <c r="S588"/>
  <c r="S587"/>
  <c r="S586"/>
  <c r="S585"/>
  <c r="S584"/>
  <c r="S583"/>
  <c r="S582"/>
  <c r="S581"/>
  <c r="S580"/>
  <c r="S579"/>
  <c r="S578"/>
  <c r="S577"/>
  <c r="S576"/>
  <c r="S575"/>
  <c r="S574"/>
  <c r="S573"/>
  <c r="S572"/>
  <c r="S571"/>
  <c r="S570"/>
  <c r="S569"/>
  <c r="S568"/>
  <c r="S567"/>
  <c r="S566"/>
  <c r="S565"/>
  <c r="S564"/>
  <c r="S563"/>
  <c r="S562"/>
  <c r="S561"/>
  <c r="S560"/>
  <c r="S559"/>
  <c r="S558"/>
  <c r="S557"/>
  <c r="S556"/>
  <c r="S555"/>
  <c r="S554"/>
  <c r="S553"/>
  <c r="S552"/>
  <c r="S551"/>
  <c r="S550"/>
  <c r="S549"/>
  <c r="S548"/>
  <c r="S547"/>
  <c r="S546"/>
  <c r="S545"/>
  <c r="S544"/>
  <c r="S543"/>
  <c r="S542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S500"/>
  <c r="S499"/>
  <c r="S498"/>
  <c r="S497"/>
  <c r="S496"/>
  <c r="S495"/>
  <c r="S494"/>
  <c r="S493"/>
  <c r="S492"/>
  <c r="S491"/>
  <c r="S490"/>
  <c r="S489"/>
  <c r="S488"/>
  <c r="S487"/>
  <c r="S486"/>
  <c r="S485"/>
  <c r="S484"/>
  <c r="S483"/>
  <c r="S482"/>
  <c r="S481"/>
  <c r="S480"/>
  <c r="S479"/>
  <c r="S478"/>
  <c r="S477"/>
  <c r="S476"/>
  <c r="S475"/>
  <c r="S474"/>
  <c r="S473"/>
  <c r="S472"/>
  <c r="S471"/>
  <c r="S470"/>
  <c r="S469"/>
  <c r="S468"/>
  <c r="S467"/>
  <c r="S466"/>
  <c r="S465"/>
  <c r="S464"/>
  <c r="S463"/>
  <c r="S462"/>
  <c r="S461"/>
  <c r="S460"/>
  <c r="S459"/>
  <c r="S458"/>
  <c r="S457"/>
  <c r="S456"/>
  <c r="S455"/>
  <c r="S454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S417"/>
  <c r="S416"/>
  <c r="S415"/>
  <c r="S414"/>
  <c r="S413"/>
  <c r="S412"/>
  <c r="S411"/>
  <c r="S410"/>
  <c r="S409"/>
  <c r="S408"/>
  <c r="S407"/>
  <c r="S406"/>
  <c r="S405"/>
  <c r="S404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</calcChain>
</file>

<file path=xl/sharedStrings.xml><?xml version="1.0" encoding="utf-8"?>
<sst xmlns="http://schemas.openxmlformats.org/spreadsheetml/2006/main" count="20919" uniqueCount="646">
  <si>
    <t>Mangalore University</t>
  </si>
  <si>
    <r>
      <rPr>
        <b/>
        <sz val="8"/>
        <color rgb="FF6495ED"/>
        <rFont val="Segoe UI"/>
        <family val="2"/>
      </rPr>
      <t xml:space="preserve">Tabulation Register for </t>
    </r>
    <r>
      <rPr>
        <b/>
        <sz val="8"/>
        <color rgb="FF000000"/>
        <rFont val="Segoe UI"/>
        <family val="2"/>
      </rPr>
      <t>Bachelor of Business Administration</t>
    </r>
    <r>
      <rPr>
        <b/>
        <sz val="8"/>
        <color rgb="FF000000"/>
        <rFont val="Segoe UI"/>
        <family val="2"/>
      </rPr>
      <t xml:space="preserve">                                                                                             </t>
    </r>
    <r>
      <rPr>
        <b/>
        <sz val="9"/>
        <color rgb="FF6495ED"/>
        <rFont val="Segoe UI"/>
        <family val="2"/>
      </rPr>
      <t xml:space="preserve">Semester : </t>
    </r>
    <r>
      <rPr>
        <b/>
        <sz val="8"/>
        <color rgb="FF000000"/>
        <rFont val="Segoe UI"/>
        <family val="2"/>
      </rPr>
      <t>I</t>
    </r>
    <r>
      <rPr>
        <b/>
        <sz val="8"/>
        <color rgb="FF000000"/>
        <rFont val="Segoe UI"/>
        <family val="2"/>
      </rPr>
      <t xml:space="preserve">     </t>
    </r>
    <r>
      <rPr>
        <b/>
        <sz val="8"/>
        <color rgb="FF6495ED"/>
        <rFont val="Segoe UI"/>
        <family val="2"/>
      </rPr>
      <t xml:space="preserve">Exam Month : </t>
    </r>
    <r>
      <rPr>
        <b/>
        <sz val="8"/>
        <color rgb="FF000000"/>
        <rFont val="Segoe UI"/>
        <family val="2"/>
      </rPr>
      <t>Dec 2023/Jan 2024 N1</t>
    </r>
    <r>
      <rPr>
        <b/>
        <sz val="8"/>
        <color rgb="FF000000"/>
        <rFont val="Segoe UI"/>
        <family val="2"/>
      </rPr>
      <t xml:space="preserve">                    </t>
    </r>
    <r>
      <rPr>
        <b/>
        <sz val="8"/>
        <color rgb="FF6495ED"/>
        <rFont val="Segoe UI"/>
        <family val="2"/>
      </rPr>
      <t xml:space="preserve">Discipline : </t>
    </r>
  </si>
  <si>
    <t>Sl.No.</t>
  </si>
  <si>
    <t>Course Code</t>
  </si>
  <si>
    <t>Course Name</t>
  </si>
  <si>
    <t>COMCUSN102</t>
  </si>
  <si>
    <t>Cultural</t>
  </si>
  <si>
    <t>COMDFSN101</t>
  </si>
  <si>
    <t>Digital Fluency</t>
  </si>
  <si>
    <t>BBABMCN102</t>
  </si>
  <si>
    <t>Fundamentals of Business Accounting</t>
  </si>
  <si>
    <t>BBAENLN101</t>
  </si>
  <si>
    <t>Generic English</t>
  </si>
  <si>
    <t>COMHWSN102</t>
  </si>
  <si>
    <t>Health and Wellness</t>
  </si>
  <si>
    <t>BBAHDLN101</t>
  </si>
  <si>
    <t>Hindi</t>
  </si>
  <si>
    <t>BBAKALN102</t>
  </si>
  <si>
    <t>Kannada</t>
  </si>
  <si>
    <t>BBABMCN101</t>
  </si>
  <si>
    <t>Management Principles and Practice</t>
  </si>
  <si>
    <t>BBABMCN103</t>
  </si>
  <si>
    <t>Marketing Management</t>
  </si>
  <si>
    <t>COMNCSN102</t>
  </si>
  <si>
    <t>NCC</t>
  </si>
  <si>
    <t>COMNSSN102</t>
  </si>
  <si>
    <t>NSS</t>
  </si>
  <si>
    <t>BCACAEN101</t>
  </si>
  <si>
    <t>Office automation</t>
  </si>
  <si>
    <t>COMRRSN102</t>
  </si>
  <si>
    <t>Rovers and Rangers (SandG)</t>
  </si>
  <si>
    <t>COMSRSN102</t>
  </si>
  <si>
    <t>Sports</t>
  </si>
  <si>
    <t>COMYGSN102</t>
  </si>
  <si>
    <t>Yoga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</si>
  <si>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</si>
  <si>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</si>
  <si>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</si>
  <si>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</si>
  <si>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</si>
  <si>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</si>
  <si>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</si>
  <si>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U05BB23M0001</t>
  </si>
  <si>
    <t>Th</t>
  </si>
  <si>
    <t>34.00 + 33.00</t>
  </si>
  <si>
    <t>49.00 + 40.00</t>
  </si>
  <si>
    <t>41.00 + 33.00</t>
  </si>
  <si>
    <t>30.00 + 30.00</t>
  </si>
  <si>
    <t>47.00 + 27.00</t>
  </si>
  <si>
    <t>51.00 + 29.00</t>
  </si>
  <si>
    <t>27.00 + 18.00</t>
  </si>
  <si>
    <t xml:space="preserve"> - - + - - </t>
  </si>
  <si>
    <t>MANI PRANAM KUMAR</t>
  </si>
  <si>
    <t>Pr</t>
  </si>
  <si>
    <t xml:space="preserve"> - - +45.00</t>
  </si>
  <si>
    <t>Grace</t>
  </si>
  <si>
    <t>Cr.</t>
  </si>
  <si>
    <t>SGPA</t>
  </si>
  <si>
    <t>GP</t>
  </si>
  <si>
    <t>CGPA</t>
  </si>
  <si>
    <t>CP</t>
  </si>
  <si>
    <t>Result: PASS</t>
  </si>
  <si>
    <t>Class</t>
  </si>
  <si>
    <t>Max. Total</t>
  </si>
  <si>
    <t>Term Grade: AA+</t>
  </si>
  <si>
    <t>Letter Grade</t>
  </si>
  <si>
    <t>AB+</t>
  </si>
  <si>
    <t>OA+</t>
  </si>
  <si>
    <t>AA</t>
  </si>
  <si>
    <t>AB</t>
  </si>
  <si>
    <t>OA</t>
  </si>
  <si>
    <t>OO</t>
  </si>
  <si>
    <t>M.C.No</t>
  </si>
  <si>
    <t>MC0524055541</t>
  </si>
  <si>
    <t>Result</t>
  </si>
  <si>
    <t>Pass</t>
  </si>
  <si>
    <t>00002</t>
  </si>
  <si>
    <t>U05BB23M0002</t>
  </si>
  <si>
    <t>46.00 + 40.00</t>
  </si>
  <si>
    <t>55.00 + 40.00</t>
  </si>
  <si>
    <t>50.00 + 38.00</t>
  </si>
  <si>
    <t>33.00 + 35.00</t>
  </si>
  <si>
    <t>58.00 + 40.00</t>
  </si>
  <si>
    <t>60.00 + 40.00</t>
  </si>
  <si>
    <t>28.00 + 20.00</t>
  </si>
  <si>
    <t>KALPANA</t>
  </si>
  <si>
    <t xml:space="preserve"> - - +48.00</t>
  </si>
  <si>
    <t>Term Grade: OO</t>
  </si>
  <si>
    <t>OO+</t>
  </si>
  <si>
    <t>MC0524054959</t>
  </si>
  <si>
    <t>00003</t>
  </si>
  <si>
    <t>U05BB23M0003</t>
  </si>
  <si>
    <t>37.00 + 35.00</t>
  </si>
  <si>
    <t>45.00 + 33.00</t>
  </si>
  <si>
    <t>32.00 + 34.00</t>
  </si>
  <si>
    <t>30.00 + 25.00</t>
  </si>
  <si>
    <t>30.00 + 36.00</t>
  </si>
  <si>
    <t>33.00 + 26.00</t>
  </si>
  <si>
    <t>30.00 + 16.00</t>
  </si>
  <si>
    <t>T V NEHA NAIR</t>
  </si>
  <si>
    <t xml:space="preserve"> - - +50.00</t>
  </si>
  <si>
    <t>Term Grade: AA</t>
  </si>
  <si>
    <t>AA+</t>
  </si>
  <si>
    <t>BB+</t>
  </si>
  <si>
    <t>MC0524055840</t>
  </si>
  <si>
    <t>00004</t>
  </si>
  <si>
    <t>U05BB23M0004</t>
  </si>
  <si>
    <t>37.00 + 32.00</t>
  </si>
  <si>
    <t>35.00 + 32.00</t>
  </si>
  <si>
    <t>26.00 + 32.00</t>
  </si>
  <si>
    <t>47.00 + 31.00</t>
  </si>
  <si>
    <t>31.00 + 26.00</t>
  </si>
  <si>
    <t>21.00 + 17.00</t>
  </si>
  <si>
    <t>SHAMANTH J H</t>
  </si>
  <si>
    <t>MC0524055446</t>
  </si>
  <si>
    <t>00005</t>
  </si>
  <si>
    <t>U05BB23M0005</t>
  </si>
  <si>
    <t>28.00 + 31.00</t>
  </si>
  <si>
    <t>47.00 + 32.00</t>
  </si>
  <si>
    <t>31.00 + 27.00</t>
  </si>
  <si>
    <t>18.00 + 26.00</t>
  </si>
  <si>
    <t>34.00 + 31.00</t>
  </si>
  <si>
    <t>21.00 + 25.00</t>
  </si>
  <si>
    <t>25.00 + 19.00</t>
  </si>
  <si>
    <t>SAROJA</t>
  </si>
  <si>
    <t xml:space="preserve"> - - +46.00</t>
  </si>
  <si>
    <t>Term Grade: AB+</t>
  </si>
  <si>
    <t>BC</t>
  </si>
  <si>
    <t>MC0524055841</t>
  </si>
  <si>
    <t>00006</t>
  </si>
  <si>
    <t>U05BB23M0006</t>
  </si>
  <si>
    <t>32.00 + 32.00</t>
  </si>
  <si>
    <t>39.00 + 34.00</t>
  </si>
  <si>
    <t>24.00 + 28.00</t>
  </si>
  <si>
    <t>36.00 + 25.00</t>
  </si>
  <si>
    <t>24.00 + 32.00</t>
  </si>
  <si>
    <t>13.00 + 11.00</t>
  </si>
  <si>
    <t>PRAVEENA</t>
  </si>
  <si>
    <t>BB</t>
  </si>
  <si>
    <t>MC0524056024</t>
  </si>
  <si>
    <t>00007</t>
  </si>
  <si>
    <t>U05BB23M0007</t>
  </si>
  <si>
    <t>34.00 + 34.00</t>
  </si>
  <si>
    <t>33.00 + 32.00</t>
  </si>
  <si>
    <t>27.00 + 31.00</t>
  </si>
  <si>
    <t>41.00 + 34.00</t>
  </si>
  <si>
    <t>43.00 + 30.00</t>
  </si>
  <si>
    <t>29.00 + 19.00</t>
  </si>
  <si>
    <t>SAHANA SUNIL MUJUMDAR</t>
  </si>
  <si>
    <t>MC0524055694</t>
  </si>
  <si>
    <t>00008</t>
  </si>
  <si>
    <t>U05BB23M0008</t>
  </si>
  <si>
    <t>37.00 + 31.00</t>
  </si>
  <si>
    <t>34.00 + 30.00</t>
  </si>
  <si>
    <t>24.00 + 31.00</t>
  </si>
  <si>
    <t>50.00 + 32.00</t>
  </si>
  <si>
    <t>MADHURA B</t>
  </si>
  <si>
    <t>MC0524055456</t>
  </si>
  <si>
    <t>00009</t>
  </si>
  <si>
    <t>U05BB23M0009</t>
  </si>
  <si>
    <t>40.00 + 30.00</t>
  </si>
  <si>
    <t>47.00 + 34.00</t>
  </si>
  <si>
    <t>35.00 + 29.00</t>
  </si>
  <si>
    <t>25.00 + 28.00</t>
  </si>
  <si>
    <t>50.00 + 35.00</t>
  </si>
  <si>
    <t>37.00 + 28.00</t>
  </si>
  <si>
    <t>30.00 + 19.00</t>
  </si>
  <si>
    <t>NAVYASHRI</t>
  </si>
  <si>
    <t>MC0524055376</t>
  </si>
  <si>
    <t>00010</t>
  </si>
  <si>
    <t>U05BB23M0010</t>
  </si>
  <si>
    <t>34.00 + 36.00</t>
  </si>
  <si>
    <t>44.00 + 40.00</t>
  </si>
  <si>
    <t>44.00 + 34.00</t>
  </si>
  <si>
    <t>26.00 + 29.00</t>
  </si>
  <si>
    <t>39.00 + 27.00</t>
  </si>
  <si>
    <t>30.00 + 18.00</t>
  </si>
  <si>
    <t>SUBHASH B</t>
  </si>
  <si>
    <t xml:space="preserve"> - - +47.00</t>
  </si>
  <si>
    <t>MC0524055555</t>
  </si>
  <si>
    <t>00011</t>
  </si>
  <si>
    <t>U05BB23M0011</t>
  </si>
  <si>
    <t>41.00 + 38.00</t>
  </si>
  <si>
    <t>54.00 + 40.00</t>
  </si>
  <si>
    <t>44.00 + 33.00</t>
  </si>
  <si>
    <t>46.00 + 36.00</t>
  </si>
  <si>
    <t>53.00 + 37.00</t>
  </si>
  <si>
    <t>KAPIL M MALSEKAR</t>
  </si>
  <si>
    <t>Term Grade: OA+</t>
  </si>
  <si>
    <t>MC0524055088</t>
  </si>
  <si>
    <t>00012</t>
  </si>
  <si>
    <t>U05BB23M0012</t>
  </si>
  <si>
    <t>47.00 + 33.00</t>
  </si>
  <si>
    <t>36.00 + 32.00</t>
  </si>
  <si>
    <t>39.00 + 33.00</t>
  </si>
  <si>
    <t>51.00 + 40.00</t>
  </si>
  <si>
    <t>32.00 + 29.00</t>
  </si>
  <si>
    <t>22.00 + 20.00</t>
  </si>
  <si>
    <t>SINCHANA</t>
  </si>
  <si>
    <t xml:space="preserve"> - - +49.00</t>
  </si>
  <si>
    <t>Term Grade: OA</t>
  </si>
  <si>
    <t>MC0524055151</t>
  </si>
  <si>
    <t>00013</t>
  </si>
  <si>
    <t>U05BB23M0013</t>
  </si>
  <si>
    <t>44.00 + 38.00</t>
  </si>
  <si>
    <t>50.00 + 40.00</t>
  </si>
  <si>
    <t>40.00 + 36.00</t>
  </si>
  <si>
    <t>42.00 + 31.00</t>
  </si>
  <si>
    <t>50.00 + 34.00</t>
  </si>
  <si>
    <t>30.00 + 20.00</t>
  </si>
  <si>
    <t>RACHANA</t>
  </si>
  <si>
    <t>MC0524055110</t>
  </si>
  <si>
    <t>00014</t>
  </si>
  <si>
    <t>U05BB23M0014</t>
  </si>
  <si>
    <t>39.00 + 35.00</t>
  </si>
  <si>
    <t>35.00 + 33.00</t>
  </si>
  <si>
    <t>39.00 + 39.00</t>
  </si>
  <si>
    <t>38.00 + 34.00</t>
  </si>
  <si>
    <t>29.00 + 18.00</t>
  </si>
  <si>
    <t>MC0524055377</t>
  </si>
  <si>
    <t>00015</t>
  </si>
  <si>
    <t>U05BB23M0015</t>
  </si>
  <si>
    <t>43.00 + 39.00</t>
  </si>
  <si>
    <t>53.00 + 40.00</t>
  </si>
  <si>
    <t>43.00 + 35.00</t>
  </si>
  <si>
    <t>35.00 + 34.00</t>
  </si>
  <si>
    <t>39.00 + 30.00</t>
  </si>
  <si>
    <t>42.00 + 37.00</t>
  </si>
  <si>
    <t>SHARVARI D</t>
  </si>
  <si>
    <t>MC0524055216</t>
  </si>
  <si>
    <t>00016</t>
  </si>
  <si>
    <t>U05BB23M0016</t>
  </si>
  <si>
    <t>35.00 + 31.00</t>
  </si>
  <si>
    <t>28.00 + 32.00</t>
  </si>
  <si>
    <t>41.00 + 31.00</t>
  </si>
  <si>
    <t>28.00 + 30.00</t>
  </si>
  <si>
    <t>29.00 + 27.00</t>
  </si>
  <si>
    <t>PRARTHANA H R</t>
  </si>
  <si>
    <t>MC0524055692</t>
  </si>
  <si>
    <t>00017</t>
  </si>
  <si>
    <t>U05BB23M0017</t>
  </si>
  <si>
    <t>42.00 + 32.00</t>
  </si>
  <si>
    <t>33.00 + 34.00</t>
  </si>
  <si>
    <t>44.00 + 35.00</t>
  </si>
  <si>
    <t>40.00 + 34.00</t>
  </si>
  <si>
    <t>45.00 + 35.00</t>
  </si>
  <si>
    <t>53.00 + 31.00</t>
  </si>
  <si>
    <t>23.00 + 17.00</t>
  </si>
  <si>
    <t>RAKSHITHA</t>
  </si>
  <si>
    <t>MC0524055340</t>
  </si>
  <si>
    <t>00018</t>
  </si>
  <si>
    <t>U05BB23M0018</t>
  </si>
  <si>
    <t>24.00 + 23.00</t>
  </si>
  <si>
    <t>25.00 + 13.00</t>
  </si>
  <si>
    <t>36.00 + 15.00</t>
  </si>
  <si>
    <t>25.00 + 14.00</t>
  </si>
  <si>
    <t>7.00 + 21.00</t>
  </si>
  <si>
    <t>19.00 + 11.00</t>
  </si>
  <si>
    <t>PRAJWAL</t>
  </si>
  <si>
    <t xml:space="preserve"> - - +42.00</t>
  </si>
  <si>
    <t>Result: FAIL</t>
  </si>
  <si>
    <t>Term Grade: FF</t>
  </si>
  <si>
    <t>MC0524057154</t>
  </si>
  <si>
    <t>Fail</t>
  </si>
  <si>
    <t>00019</t>
  </si>
  <si>
    <t>U05BB23M0019</t>
  </si>
  <si>
    <t>28.00 + 25.00</t>
  </si>
  <si>
    <t>24.00 + 24.00</t>
  </si>
  <si>
    <t>29.00 + 31.00</t>
  </si>
  <si>
    <t>28.00 + 23.00</t>
  </si>
  <si>
    <t>32.00 + 30.00</t>
  </si>
  <si>
    <t>27.00 + 17.00</t>
  </si>
  <si>
    <t>SNEHA KHARVI</t>
  </si>
  <si>
    <t>Term Grade: AB</t>
  </si>
  <si>
    <t>MC0524056090</t>
  </si>
  <si>
    <t>00020</t>
  </si>
  <si>
    <t>U05BB23M0020</t>
  </si>
  <si>
    <t>41.00 + 35.00</t>
  </si>
  <si>
    <t>38.00 + 31.00</t>
  </si>
  <si>
    <t>56.00 + 35.00</t>
  </si>
  <si>
    <t>48.00 + 38.00</t>
  </si>
  <si>
    <t>30.00 + 17.00</t>
  </si>
  <si>
    <t>PRATHAM P BHANDARY</t>
  </si>
  <si>
    <t xml:space="preserve"> - - +44.00</t>
  </si>
  <si>
    <t>MC0524055111</t>
  </si>
  <si>
    <t>00021</t>
  </si>
  <si>
    <t>U05BB23M0021</t>
  </si>
  <si>
    <t>48.00 + 40.00</t>
  </si>
  <si>
    <t>47.00 + 38.00</t>
  </si>
  <si>
    <t>50.00 + 39.00</t>
  </si>
  <si>
    <t>45.00 + 36.00</t>
  </si>
  <si>
    <t>SHRAVYA</t>
  </si>
  <si>
    <t>MC0524054992</t>
  </si>
  <si>
    <t>00022</t>
  </si>
  <si>
    <t>U05BB23M0022</t>
  </si>
  <si>
    <t>36.00 + 35.00</t>
  </si>
  <si>
    <t>37.00 + 24.00</t>
  </si>
  <si>
    <t>24.00 + 20.00</t>
  </si>
  <si>
    <t>34.00 + 29.00</t>
  </si>
  <si>
    <t>41.00 + 32.00</t>
  </si>
  <si>
    <t>25.00 + 27.00</t>
  </si>
  <si>
    <t>25.00 + 18.00</t>
  </si>
  <si>
    <t>KARTHIK</t>
  </si>
  <si>
    <t>CC</t>
  </si>
  <si>
    <t>MC0524055880</t>
  </si>
  <si>
    <t>00023</t>
  </si>
  <si>
    <t>U05BB23M0023</t>
  </si>
  <si>
    <t>34.00 + 27.00</t>
  </si>
  <si>
    <t>53.00 + 34.00</t>
  </si>
  <si>
    <t>32.00 + 31.00</t>
  </si>
  <si>
    <t>28.00 + 18.00</t>
  </si>
  <si>
    <t>GAUTHAM KUMAR</t>
  </si>
  <si>
    <t>MC0524055542</t>
  </si>
  <si>
    <t>00024</t>
  </si>
  <si>
    <t>U05BB23M0024</t>
  </si>
  <si>
    <t>43.00 + 34.00</t>
  </si>
  <si>
    <t>49.00 + 37.00</t>
  </si>
  <si>
    <t>45.00 + 37.00</t>
  </si>
  <si>
    <t>29.00 + 20.00</t>
  </si>
  <si>
    <t>SAMEEKSHA</t>
  </si>
  <si>
    <t>MC0524054929</t>
  </si>
  <si>
    <t>00025</t>
  </si>
  <si>
    <t>U05BB23M0025</t>
  </si>
  <si>
    <t>45.00 + 40.00</t>
  </si>
  <si>
    <t>46.00 + 33.00</t>
  </si>
  <si>
    <t>46.00 + 38.00</t>
  </si>
  <si>
    <t>28.00 + 19.00</t>
  </si>
  <si>
    <t>KAVYA ISHWAR NAIK</t>
  </si>
  <si>
    <t>MC0524055089</t>
  </si>
  <si>
    <t>00026</t>
  </si>
  <si>
    <t>U05BB23M0026</t>
  </si>
  <si>
    <t>24.00 + 26.00</t>
  </si>
  <si>
    <t>29.00 + 30.00</t>
  </si>
  <si>
    <t>13.00 + 24.00</t>
  </si>
  <si>
    <t>24.00 + 16.00</t>
  </si>
  <si>
    <t>41.00 + 25.00</t>
  </si>
  <si>
    <t>21.00 + 24.00</t>
  </si>
  <si>
    <t>24.00 + 10.00</t>
  </si>
  <si>
    <t>SACHIN</t>
  </si>
  <si>
    <t>Term Grade: BB</t>
  </si>
  <si>
    <t>MC0524056525</t>
  </si>
  <si>
    <t>00027</t>
  </si>
  <si>
    <t>U05BB23M0027</t>
  </si>
  <si>
    <t>37.00 + 34.00</t>
  </si>
  <si>
    <t>43.00 + 24.00</t>
  </si>
  <si>
    <t>32.00 + 28.00</t>
  </si>
  <si>
    <t>43.00 + 27.00</t>
  </si>
  <si>
    <t>27.00 + 12.00</t>
  </si>
  <si>
    <t>PAVAN</t>
  </si>
  <si>
    <t>MC0524055379</t>
  </si>
  <si>
    <t>00028</t>
  </si>
  <si>
    <t>U05BB23M0028</t>
  </si>
  <si>
    <t>51.00 + 33.00</t>
  </si>
  <si>
    <t>27.00 + 32.00</t>
  </si>
  <si>
    <t>52.00 + 33.00</t>
  </si>
  <si>
    <t>KEERTHAN</t>
  </si>
  <si>
    <t>MC0524055187</t>
  </si>
  <si>
    <t>00029</t>
  </si>
  <si>
    <t>U05BB23M0029</t>
  </si>
  <si>
    <t>25.00 + 32.00</t>
  </si>
  <si>
    <t>10.00 + 26.00</t>
  </si>
  <si>
    <t>19.00 + 21.00</t>
  </si>
  <si>
    <t>38.00 + 23.00</t>
  </si>
  <si>
    <t>24.00 + 15.00</t>
  </si>
  <si>
    <t>MITHUN</t>
  </si>
  <si>
    <t>MC0524056563</t>
  </si>
  <si>
    <t>00030</t>
  </si>
  <si>
    <t>U05BB23M0030</t>
  </si>
  <si>
    <t>31.00 + 28.00</t>
  </si>
  <si>
    <t>10.00 + 29.00</t>
  </si>
  <si>
    <t>25.00 + 24.00</t>
  </si>
  <si>
    <t>33.00 + 28.00</t>
  </si>
  <si>
    <t>26.00 + 28.00</t>
  </si>
  <si>
    <t>27.00 + 15.00</t>
  </si>
  <si>
    <t>PRAMOD</t>
  </si>
  <si>
    <t>Term Grade: BB+</t>
  </si>
  <si>
    <t>MC0524056360</t>
  </si>
  <si>
    <t>00031</t>
  </si>
  <si>
    <t>U05BB23M0031</t>
  </si>
  <si>
    <t>39.00 + 24.00</t>
  </si>
  <si>
    <t>48.00 + 24.00</t>
  </si>
  <si>
    <t>16.00 + 17.00</t>
  </si>
  <si>
    <t>38.00 + 12.00</t>
  </si>
  <si>
    <t>50.00 + 28.00</t>
  </si>
  <si>
    <t>17.00 + 11.00</t>
  </si>
  <si>
    <t>MC0524056444</t>
  </si>
  <si>
    <t>00032</t>
  </si>
  <si>
    <t>U05BB23M0032</t>
  </si>
  <si>
    <t>8.00 + 31.00</t>
  </si>
  <si>
    <t>29.00 + 17.00</t>
  </si>
  <si>
    <t>34.00 + 25.00</t>
  </si>
  <si>
    <t>21.00 + 29.00</t>
  </si>
  <si>
    <t>22.00 + 12.00</t>
  </si>
  <si>
    <t>MC0524056564</t>
  </si>
  <si>
    <t>00033</t>
  </si>
  <si>
    <t>U05BB23M0033</t>
  </si>
  <si>
    <t>52.00 + 40.00</t>
  </si>
  <si>
    <t>48.00 + 37.00</t>
  </si>
  <si>
    <t>AKSHITHA</t>
  </si>
  <si>
    <t>Term Grade: OO+</t>
  </si>
  <si>
    <t>MC0524054916</t>
  </si>
  <si>
    <t>00034</t>
  </si>
  <si>
    <t>U05BB23M0034</t>
  </si>
  <si>
    <t>37.00 + 38.00</t>
  </si>
  <si>
    <t>16.00 + 30.00</t>
  </si>
  <si>
    <t>33.00 + 31.00</t>
  </si>
  <si>
    <t>26.00 + 22.00</t>
  </si>
  <si>
    <t>33.00 + 29.00</t>
  </si>
  <si>
    <t>27.00 + 19.00</t>
  </si>
  <si>
    <t>SAI CHARAN J S</t>
  </si>
  <si>
    <t>MC0524055950</t>
  </si>
  <si>
    <t>00035</t>
  </si>
  <si>
    <t>U05BB23M0035</t>
  </si>
  <si>
    <t>26.00 + 26.00</t>
  </si>
  <si>
    <t>29.00 + 33.00</t>
  </si>
  <si>
    <t>6.00 + 16.00</t>
  </si>
  <si>
    <t>36.00 + 23.00</t>
  </si>
  <si>
    <t>41.00 + 27.00</t>
  </si>
  <si>
    <t>15.00 + 16.00</t>
  </si>
  <si>
    <t>NITHESH</t>
  </si>
  <si>
    <t>MC0524056464</t>
  </si>
  <si>
    <t>00036</t>
  </si>
  <si>
    <t>U05BB23M0036</t>
  </si>
  <si>
    <t>38.00 + 38.00</t>
  </si>
  <si>
    <t>42.00 + 40.00</t>
  </si>
  <si>
    <t>42.00 + 34.00</t>
  </si>
  <si>
    <t>51.00 + 38.00</t>
  </si>
  <si>
    <t>50.00 + 37.00</t>
  </si>
  <si>
    <t>RASHMITHA NARAYANA THOLAR</t>
  </si>
  <si>
    <t>MC0524055057</t>
  </si>
  <si>
    <t>00037</t>
  </si>
  <si>
    <t>U05BB23M0037</t>
  </si>
  <si>
    <t>46.00 + 32.00</t>
  </si>
  <si>
    <t>52.00 + 30.00</t>
  </si>
  <si>
    <t>28.00 + 17.00</t>
  </si>
  <si>
    <t>RISHMITHA</t>
  </si>
  <si>
    <t>MC0524055552</t>
  </si>
  <si>
    <t>00038</t>
  </si>
  <si>
    <t>U05BB23M0038</t>
  </si>
  <si>
    <t>32.00 + 27.00</t>
  </si>
  <si>
    <t>26.00 + 27.00</t>
  </si>
  <si>
    <t>35.00 + 23.00</t>
  </si>
  <si>
    <t>24.00 + 19.00</t>
  </si>
  <si>
    <t>SAMPANNA</t>
  </si>
  <si>
    <t>MC0524056026</t>
  </si>
  <si>
    <t>00039</t>
  </si>
  <si>
    <t>U05BB23M0039</t>
  </si>
  <si>
    <t>36.00 + 37.00</t>
  </si>
  <si>
    <t>45.00 + 32.00</t>
  </si>
  <si>
    <t>38.00 + 32.00</t>
  </si>
  <si>
    <t>MANJUNATH</t>
  </si>
  <si>
    <t>MC0524055296</t>
  </si>
  <si>
    <t>00040</t>
  </si>
  <si>
    <t>U05BB23M0040</t>
  </si>
  <si>
    <t>41.00 + 36.00</t>
  </si>
  <si>
    <t>47.00 + 37.00</t>
  </si>
  <si>
    <t>BHOOMIKA R</t>
  </si>
  <si>
    <t>MC0524055024</t>
  </si>
  <si>
    <t>00041</t>
  </si>
  <si>
    <t>U05BB23M0042</t>
  </si>
  <si>
    <t>43.00 + 40.00</t>
  </si>
  <si>
    <t>40.00 + 37.00</t>
  </si>
  <si>
    <t>45.00 + 31.00</t>
  </si>
  <si>
    <t>37.00 + 39.00</t>
  </si>
  <si>
    <t>TINCY C S</t>
  </si>
  <si>
    <t>MC0524055150</t>
  </si>
  <si>
    <t>00042</t>
  </si>
  <si>
    <t>U05BB23M0043</t>
  </si>
  <si>
    <t>48.00 + 33.00</t>
  </si>
  <si>
    <t>33.00 + 30.00</t>
  </si>
  <si>
    <t>22.00 + 30.00</t>
  </si>
  <si>
    <t>26.00 + 33.00</t>
  </si>
  <si>
    <t>VISHAL</t>
  </si>
  <si>
    <t>MC0524055618</t>
  </si>
  <si>
    <t>00043</t>
  </si>
  <si>
    <t>U05BB23M0044</t>
  </si>
  <si>
    <t>40.00 + 32.00</t>
  </si>
  <si>
    <t>56.00 + 40.00</t>
  </si>
  <si>
    <t>43.00 + 29.00</t>
  </si>
  <si>
    <t>25.00 + 29.00</t>
  </si>
  <si>
    <t>47.00 + 35.00</t>
  </si>
  <si>
    <t>YUVARAJA</t>
  </si>
  <si>
    <t xml:space="preserve"> - - +37.00</t>
  </si>
  <si>
    <t>MC0524055215</t>
  </si>
  <si>
    <t>00044</t>
  </si>
  <si>
    <t>U05BB23M0045</t>
  </si>
  <si>
    <t>43.00 + 36.00</t>
  </si>
  <si>
    <t>51.00 + 32.00</t>
  </si>
  <si>
    <t>51.00 + 39.00</t>
  </si>
  <si>
    <t>50.00 + 27.00</t>
  </si>
  <si>
    <t>SUJAN</t>
  </si>
  <si>
    <t>MC0524055052</t>
  </si>
  <si>
    <t>00045</t>
  </si>
  <si>
    <t>U05BB23M0046</t>
  </si>
  <si>
    <t>43.00 + 33.00</t>
  </si>
  <si>
    <t>30.00 + 28.00</t>
  </si>
  <si>
    <t>38.00 + 29.00</t>
  </si>
  <si>
    <t>22.00 + 18.00</t>
  </si>
  <si>
    <t>NAGENDRA B</t>
  </si>
  <si>
    <t>MC0524055512</t>
  </si>
  <si>
    <t>00046</t>
  </si>
  <si>
    <t>U05BB23M0047</t>
  </si>
  <si>
    <t>25.00 + 33.00</t>
  </si>
  <si>
    <t>18.00 + 21.00</t>
  </si>
  <si>
    <t>35.00 + 30.00</t>
  </si>
  <si>
    <t>18.00 + 19.00</t>
  </si>
  <si>
    <t>SHREYA</t>
  </si>
  <si>
    <t>MC0524056229</t>
  </si>
  <si>
    <t>00047</t>
  </si>
  <si>
    <t>U05BB23M0048</t>
  </si>
  <si>
    <t>46.00 + 35.00</t>
  </si>
  <si>
    <t>46.00 + 34.00</t>
  </si>
  <si>
    <t>42.00 + 38.00</t>
  </si>
  <si>
    <t>KISHAN</t>
  </si>
  <si>
    <t>MC0524055104</t>
  </si>
  <si>
    <t>00048</t>
  </si>
  <si>
    <t>U05BB23M0049</t>
  </si>
  <si>
    <t>26.00 + 25.00</t>
  </si>
  <si>
    <t>30.00 + 29.00</t>
  </si>
  <si>
    <t>21.00 + 21.00</t>
  </si>
  <si>
    <t>24.00 + 17.00</t>
  </si>
  <si>
    <t>DHANUSH</t>
  </si>
  <si>
    <t>MC0524056171</t>
  </si>
  <si>
    <t>00049</t>
  </si>
  <si>
    <t>U05BB23M0050</t>
  </si>
  <si>
    <t>27.00 + 30.00</t>
  </si>
  <si>
    <t>18.00 + 25.00</t>
  </si>
  <si>
    <t>19.00 + 19.00</t>
  </si>
  <si>
    <t>NAGARAJA CHANDRAHASA SHETTY</t>
  </si>
  <si>
    <t>MC0524056162</t>
  </si>
  <si>
    <t>00050</t>
  </si>
  <si>
    <t>U05BB23M0051</t>
  </si>
  <si>
    <t>49.00 + 39.00</t>
  </si>
  <si>
    <t>AISHWARYA</t>
  </si>
  <si>
    <t>MC0524054940</t>
  </si>
  <si>
    <t>00051</t>
  </si>
  <si>
    <t>U05BB23M0052</t>
  </si>
  <si>
    <t>42.00 + 33.00</t>
  </si>
  <si>
    <t>40.00 + 33.00</t>
  </si>
  <si>
    <t>31.00 + 34.00</t>
  </si>
  <si>
    <t>54.00 + 39.00</t>
  </si>
  <si>
    <t>50.00 + 31.00</t>
  </si>
  <si>
    <t>KEERTHANA N</t>
  </si>
  <si>
    <t>MC0524055339</t>
  </si>
  <si>
    <t>00052</t>
  </si>
  <si>
    <t>U05BB23M0053</t>
  </si>
  <si>
    <t>44.00 + 36.00</t>
  </si>
  <si>
    <t>40.00 + 40.00</t>
  </si>
  <si>
    <t>32.00 + 25.00</t>
  </si>
  <si>
    <t>54.00 + 34.00</t>
  </si>
  <si>
    <t>26.00 + 12.00</t>
  </si>
  <si>
    <t>ASHIK MANDARA</t>
  </si>
  <si>
    <t xml:space="preserve"> - - +40.00</t>
  </si>
  <si>
    <t>MC0524055169</t>
  </si>
  <si>
    <t>00053</t>
  </si>
  <si>
    <t>U05BB23M0054</t>
  </si>
  <si>
    <t>41.00 + 40.00</t>
  </si>
  <si>
    <t>48.00 + 35.00</t>
  </si>
  <si>
    <t>59.00 + 34.00</t>
  </si>
  <si>
    <t>22.00 + 19.00</t>
  </si>
  <si>
    <t>LAVA</t>
  </si>
  <si>
    <t>MC0524055146</t>
  </si>
  <si>
    <t>00054</t>
  </si>
  <si>
    <t>U05BB23M0055</t>
  </si>
  <si>
    <t>24.00 + 25.00</t>
  </si>
  <si>
    <t>35.00 + 27.00</t>
  </si>
  <si>
    <t>22.00 + 16.00</t>
  </si>
  <si>
    <t>SUHAS V MALLYA</t>
  </si>
  <si>
    <t>MC0524055619</t>
  </si>
  <si>
    <t>00055</t>
  </si>
  <si>
    <t>U05BB23M0056</t>
  </si>
  <si>
    <t>31.00 + 32.00</t>
  </si>
  <si>
    <t>29.00 + 25.00</t>
  </si>
  <si>
    <t>48.00 + 23.00</t>
  </si>
  <si>
    <t>36.00 + 30.00</t>
  </si>
  <si>
    <t>MC0524055731</t>
  </si>
  <si>
    <t>00056</t>
  </si>
  <si>
    <t>U05BB23M0057</t>
  </si>
  <si>
    <t>24.00 + 18.00</t>
  </si>
  <si>
    <t>40.00 + 23.00</t>
  </si>
  <si>
    <t>27.00 + 28.00</t>
  </si>
  <si>
    <t>20.00 + 12.00</t>
  </si>
  <si>
    <t xml:space="preserve"> - - +38.00</t>
  </si>
  <si>
    <t>MC0524056109</t>
  </si>
  <si>
    <t>00057</t>
  </si>
  <si>
    <t>U05BB23M0058</t>
  </si>
  <si>
    <t>31.00 + 20.00</t>
  </si>
  <si>
    <t>39.00 + 23.00</t>
  </si>
  <si>
    <t>28.00 + 12.00</t>
  </si>
  <si>
    <t>46.00 + 26.00</t>
  </si>
  <si>
    <t>22.00 + 21.00</t>
  </si>
  <si>
    <t>16.00 + 11.00</t>
  </si>
  <si>
    <t>SHREYAS DEVADIGA</t>
  </si>
  <si>
    <t>MC0524056443</t>
  </si>
  <si>
    <t>00058</t>
  </si>
  <si>
    <t>U05BB23M0059</t>
  </si>
  <si>
    <t>53.00 + 33.00</t>
  </si>
  <si>
    <t>MC0524054930</t>
  </si>
  <si>
    <t>00059</t>
  </si>
  <si>
    <t>U05BB23M0060</t>
  </si>
  <si>
    <t>53.00 + 39.00</t>
  </si>
  <si>
    <t>40.00 + 35.00</t>
  </si>
  <si>
    <t>59.00 + 40.00</t>
  </si>
  <si>
    <t>ANISHA</t>
  </si>
  <si>
    <t>MC0524054978</t>
  </si>
  <si>
    <t>00060</t>
  </si>
  <si>
    <t>U05BB23M0061</t>
  </si>
  <si>
    <t>38.00 + 35.00</t>
  </si>
  <si>
    <t>AISHWARYA SHETTY</t>
  </si>
  <si>
    <t>MC0524054979</t>
  </si>
  <si>
    <t>00061</t>
  </si>
  <si>
    <t>U05BB23M0062</t>
  </si>
  <si>
    <t>29.00 + 32.00</t>
  </si>
  <si>
    <t>40.00 + 38.00</t>
  </si>
  <si>
    <t>20.00 + 21.00</t>
  </si>
  <si>
    <t>25.00 + 30.00</t>
  </si>
  <si>
    <t>23.00 + 25.00</t>
  </si>
  <si>
    <t>MEERU MOHAMMED SOUBAN</t>
  </si>
  <si>
    <t>MC0524056089</t>
  </si>
  <si>
    <t>00062</t>
  </si>
  <si>
    <t>U05BB23M0063</t>
  </si>
  <si>
    <t>28.00 + 27.00</t>
  </si>
  <si>
    <t>49.00 + 30.00</t>
  </si>
  <si>
    <t>SUSHANTHA SHETTY</t>
  </si>
  <si>
    <t>MC0524055447</t>
  </si>
  <si>
    <t>00063</t>
  </si>
  <si>
    <t>U05BB23M0064</t>
  </si>
  <si>
    <t>29.00 + 16.00</t>
  </si>
  <si>
    <t>31.00 + 19.00</t>
  </si>
  <si>
    <t>21.00 + 20.00</t>
  </si>
  <si>
    <t>VISHNU</t>
  </si>
  <si>
    <t xml:space="preserve"> - - +36.00</t>
  </si>
  <si>
    <t>MC0524056230</t>
  </si>
  <si>
    <t>00064</t>
  </si>
  <si>
    <t>U05BB23M0065</t>
  </si>
  <si>
    <t>52.00 + 36.00</t>
  </si>
  <si>
    <t>47.00 + 36.00</t>
  </si>
  <si>
    <t>SAGAR</t>
  </si>
  <si>
    <t>MC0524055105</t>
  </si>
  <si>
    <t>00065</t>
  </si>
  <si>
    <t>U05BB23M0066</t>
  </si>
  <si>
    <t>51.00 + 36.00</t>
  </si>
  <si>
    <t>31.00 + 33.00</t>
  </si>
  <si>
    <t>53.00 + 36.00</t>
  </si>
  <si>
    <t>SRAJAN S K</t>
  </si>
  <si>
    <t>MC0524054993</t>
  </si>
</sst>
</file>

<file path=xl/styles.xml><?xml version="1.0" encoding="utf-8"?>
<styleSheet xmlns="http://schemas.openxmlformats.org/spreadsheetml/2006/main">
  <numFmts count="1">
    <numFmt numFmtId="164" formatCode="[$-10409]0.00;\(0.00\)"/>
  </numFmts>
  <fonts count="12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6495ED"/>
      <name val="Segoe UI"/>
      <family val="2"/>
    </font>
    <font>
      <b/>
      <sz val="8"/>
      <color rgb="FF6495ED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Calibri"/>
      <family val="2"/>
    </font>
    <font>
      <b/>
      <sz val="6"/>
      <color rgb="FF6495ED"/>
      <name val="Segoe UI"/>
      <family val="2"/>
    </font>
    <font>
      <b/>
      <sz val="6.5"/>
      <color rgb="FF000000"/>
      <name val="Segoe UI"/>
      <family val="2"/>
    </font>
    <font>
      <b/>
      <sz val="8"/>
      <color rgb="FF000000"/>
      <name val="Segoe U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1" fillId="0" borderId="0" xfId="0" applyFont="1" applyFill="1" applyBorder="1"/>
    <xf numFmtId="0" fontId="4" fillId="3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left" vertical="top" wrapText="1" readingOrder="1"/>
    </xf>
    <xf numFmtId="0" fontId="4" fillId="2" borderId="8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6" fillId="3" borderId="1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horizontal="left" vertical="top" wrapText="1" readingOrder="1"/>
    </xf>
    <xf numFmtId="0" fontId="8" fillId="3" borderId="2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3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3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23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25.42578125" customWidth="1"/>
    <col min="8" max="8" width="1.140625" customWidth="1"/>
  </cols>
  <sheetData>
    <row r="1" spans="2:7" ht="0.95" customHeight="1"/>
    <row r="2" spans="2:7" ht="16.149999999999999" customHeight="1">
      <c r="B2" s="27" t="s">
        <v>0</v>
      </c>
      <c r="C2" s="28"/>
      <c r="D2" s="28"/>
      <c r="E2" s="28"/>
      <c r="F2" s="28"/>
    </row>
    <row r="3" spans="2:7" ht="6.6" customHeight="1"/>
    <row r="4" spans="2:7" ht="23.85" customHeight="1">
      <c r="B4" s="29" t="s">
        <v>1</v>
      </c>
      <c r="C4" s="28"/>
      <c r="D4" s="28"/>
      <c r="E4" s="28"/>
      <c r="F4" s="28"/>
      <c r="G4" s="28"/>
    </row>
    <row r="5" spans="2:7" ht="5.0999999999999996" customHeight="1"/>
    <row r="6" spans="2:7" ht="5.0999999999999996" customHeight="1"/>
    <row r="7" spans="2:7">
      <c r="C7" s="1" t="s">
        <v>2</v>
      </c>
      <c r="D7" s="1" t="s">
        <v>3</v>
      </c>
      <c r="E7" s="1" t="s">
        <v>4</v>
      </c>
    </row>
    <row r="8" spans="2:7">
      <c r="C8" s="2">
        <v>1</v>
      </c>
      <c r="D8" s="3" t="s">
        <v>5</v>
      </c>
      <c r="E8" s="3" t="s">
        <v>6</v>
      </c>
    </row>
    <row r="9" spans="2:7">
      <c r="C9" s="2">
        <v>2</v>
      </c>
      <c r="D9" s="3" t="s">
        <v>7</v>
      </c>
      <c r="E9" s="3" t="s">
        <v>8</v>
      </c>
    </row>
    <row r="10" spans="2:7">
      <c r="C10" s="2">
        <v>3</v>
      </c>
      <c r="D10" s="3" t="s">
        <v>9</v>
      </c>
      <c r="E10" s="3" t="s">
        <v>10</v>
      </c>
    </row>
    <row r="11" spans="2:7">
      <c r="C11" s="2">
        <v>4</v>
      </c>
      <c r="D11" s="3" t="s">
        <v>11</v>
      </c>
      <c r="E11" s="3" t="s">
        <v>12</v>
      </c>
    </row>
    <row r="12" spans="2:7">
      <c r="C12" s="2">
        <v>5</v>
      </c>
      <c r="D12" s="3" t="s">
        <v>13</v>
      </c>
      <c r="E12" s="3" t="s">
        <v>14</v>
      </c>
    </row>
    <row r="13" spans="2:7">
      <c r="C13" s="2">
        <v>6</v>
      </c>
      <c r="D13" s="3" t="s">
        <v>15</v>
      </c>
      <c r="E13" s="3" t="s">
        <v>16</v>
      </c>
    </row>
    <row r="14" spans="2:7">
      <c r="C14" s="2">
        <v>7</v>
      </c>
      <c r="D14" s="3" t="s">
        <v>17</v>
      </c>
      <c r="E14" s="3" t="s">
        <v>18</v>
      </c>
    </row>
    <row r="15" spans="2:7">
      <c r="C15" s="2">
        <v>8</v>
      </c>
      <c r="D15" s="3" t="s">
        <v>19</v>
      </c>
      <c r="E15" s="3" t="s">
        <v>20</v>
      </c>
    </row>
    <row r="16" spans="2:7">
      <c r="C16" s="2">
        <v>9</v>
      </c>
      <c r="D16" s="3" t="s">
        <v>21</v>
      </c>
      <c r="E16" s="3" t="s">
        <v>22</v>
      </c>
    </row>
    <row r="17" spans="3:5">
      <c r="C17" s="2">
        <v>10</v>
      </c>
      <c r="D17" s="3" t="s">
        <v>23</v>
      </c>
      <c r="E17" s="3" t="s">
        <v>24</v>
      </c>
    </row>
    <row r="18" spans="3:5">
      <c r="C18" s="2">
        <v>11</v>
      </c>
      <c r="D18" s="3" t="s">
        <v>25</v>
      </c>
      <c r="E18" s="3" t="s">
        <v>26</v>
      </c>
    </row>
    <row r="19" spans="3:5">
      <c r="C19" s="2">
        <v>12</v>
      </c>
      <c r="D19" s="3" t="s">
        <v>27</v>
      </c>
      <c r="E19" s="3" t="s">
        <v>28</v>
      </c>
    </row>
    <row r="20" spans="3:5">
      <c r="C20" s="2">
        <v>13</v>
      </c>
      <c r="D20" s="3" t="s">
        <v>29</v>
      </c>
      <c r="E20" s="3" t="s">
        <v>30</v>
      </c>
    </row>
    <row r="21" spans="3:5">
      <c r="C21" s="2">
        <v>14</v>
      </c>
      <c r="D21" s="3" t="s">
        <v>31</v>
      </c>
      <c r="E21" s="3" t="s">
        <v>32</v>
      </c>
    </row>
    <row r="22" spans="3:5">
      <c r="C22" s="2">
        <v>15</v>
      </c>
      <c r="D22" s="3" t="s">
        <v>33</v>
      </c>
      <c r="E22" s="3" t="s">
        <v>34</v>
      </c>
    </row>
    <row r="23" spans="3:5" ht="0" hidden="1" customHeight="1"/>
  </sheetData>
  <mergeCells count="2">
    <mergeCell ref="B2:F2"/>
    <mergeCell ref="B4:G4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&amp;"-,Regular"18/05/2024 10:14 AM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D1:R975"/>
  <sheetViews>
    <sheetView showGridLines="0" tabSelected="1" workbookViewId="0">
      <pane ySplit="5" topLeftCell="A295" activePane="bottomLeft" state="frozen"/>
      <selection pane="bottomLeft" activeCell="V309" sqref="V309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14" width="9.85546875" customWidth="1"/>
    <col min="15" max="15" width="8" customWidth="1"/>
    <col min="16" max="16" width="1.85546875" customWidth="1"/>
    <col min="17" max="17" width="7.42578125" customWidth="1"/>
    <col min="18" max="18" width="0" hidden="1" customWidth="1"/>
  </cols>
  <sheetData>
    <row r="1" spans="4:18" ht="0.95" customHeight="1"/>
    <row r="2" spans="4:18" ht="16.149999999999999" customHeight="1"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4:18" ht="6.6" customHeight="1"/>
    <row r="4" spans="4:18" ht="23.85" customHeight="1">
      <c r="D4" s="29" t="s">
        <v>1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4:18" ht="5.0999999999999996" customHeight="1"/>
    <row r="6" spans="4:18" ht="11.25" customHeight="1"/>
    <row r="7" spans="4:18" ht="7.7" customHeight="1"/>
    <row r="8" spans="4:18" ht="0.6" customHeight="1"/>
    <row r="9" spans="4:18">
      <c r="E9" s="38" t="s">
        <v>35</v>
      </c>
      <c r="F9" s="31"/>
      <c r="G9" s="4" t="s">
        <v>36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6" t="s">
        <v>37</v>
      </c>
      <c r="O9" s="39" t="s">
        <v>37</v>
      </c>
      <c r="P9" s="28"/>
      <c r="Q9" s="6" t="s">
        <v>37</v>
      </c>
    </row>
    <row r="10" spans="4:18" ht="21">
      <c r="E10" s="32" t="s">
        <v>38</v>
      </c>
      <c r="F10" s="31"/>
      <c r="G10" s="8" t="s">
        <v>39</v>
      </c>
      <c r="H10" s="8" t="s">
        <v>19</v>
      </c>
      <c r="I10" s="8" t="s">
        <v>9</v>
      </c>
      <c r="J10" s="8" t="s">
        <v>21</v>
      </c>
      <c r="K10" s="8" t="s">
        <v>11</v>
      </c>
      <c r="L10" s="8" t="s">
        <v>17</v>
      </c>
      <c r="M10" s="8" t="s">
        <v>27</v>
      </c>
      <c r="N10" s="8" t="s">
        <v>7</v>
      </c>
      <c r="O10" s="40" t="s">
        <v>25</v>
      </c>
      <c r="P10" s="31"/>
      <c r="Q10" s="8" t="s">
        <v>40</v>
      </c>
    </row>
    <row r="11" spans="4:18" ht="22.5">
      <c r="E11" s="7" t="s">
        <v>41</v>
      </c>
      <c r="F11" s="7" t="s">
        <v>42</v>
      </c>
      <c r="G11" s="9" t="s">
        <v>43</v>
      </c>
      <c r="H11" s="10" t="s">
        <v>44</v>
      </c>
      <c r="I11" s="10" t="s">
        <v>45</v>
      </c>
      <c r="J11" s="10" t="s">
        <v>46</v>
      </c>
      <c r="K11" s="10" t="s">
        <v>47</v>
      </c>
      <c r="L11" s="10" t="s">
        <v>48</v>
      </c>
      <c r="M11" s="10" t="s">
        <v>49</v>
      </c>
      <c r="N11" s="10" t="s">
        <v>50</v>
      </c>
      <c r="O11" s="30" t="s">
        <v>51</v>
      </c>
      <c r="P11" s="31"/>
      <c r="Q11" s="9" t="s">
        <v>37</v>
      </c>
    </row>
    <row r="12" spans="4:18">
      <c r="E12" s="32" t="s">
        <v>52</v>
      </c>
      <c r="F12" s="33"/>
      <c r="G12" s="9" t="s">
        <v>53</v>
      </c>
      <c r="H12" s="10" t="s">
        <v>51</v>
      </c>
      <c r="I12" s="10" t="s">
        <v>51</v>
      </c>
      <c r="J12" s="10" t="s">
        <v>51</v>
      </c>
      <c r="K12" s="10" t="s">
        <v>51</v>
      </c>
      <c r="L12" s="10" t="s">
        <v>51</v>
      </c>
      <c r="M12" s="10" t="s">
        <v>51</v>
      </c>
      <c r="N12" s="10" t="s">
        <v>51</v>
      </c>
      <c r="O12" s="30" t="s">
        <v>54</v>
      </c>
      <c r="P12" s="31"/>
      <c r="Q12" s="9" t="s">
        <v>37</v>
      </c>
    </row>
    <row r="13" spans="4:18">
      <c r="E13" s="34"/>
      <c r="F13" s="35"/>
      <c r="G13" s="9" t="s">
        <v>55</v>
      </c>
      <c r="H13" s="10" t="s">
        <v>37</v>
      </c>
      <c r="I13" s="10" t="s">
        <v>37</v>
      </c>
      <c r="J13" s="10" t="s">
        <v>37</v>
      </c>
      <c r="K13" s="10" t="s">
        <v>37</v>
      </c>
      <c r="L13" s="10" t="s">
        <v>37</v>
      </c>
      <c r="M13" s="10" t="s">
        <v>37</v>
      </c>
      <c r="N13" s="10" t="s">
        <v>37</v>
      </c>
      <c r="O13" s="30" t="s">
        <v>37</v>
      </c>
      <c r="P13" s="31"/>
      <c r="Q13" s="11">
        <v>0</v>
      </c>
    </row>
    <row r="14" spans="4:18">
      <c r="E14" s="36"/>
      <c r="F14" s="37"/>
      <c r="G14" s="9" t="s">
        <v>56</v>
      </c>
      <c r="H14" s="12">
        <v>4</v>
      </c>
      <c r="I14" s="12">
        <v>4</v>
      </c>
      <c r="J14" s="12">
        <v>4</v>
      </c>
      <c r="K14" s="12">
        <v>3</v>
      </c>
      <c r="L14" s="12">
        <v>3</v>
      </c>
      <c r="M14" s="12">
        <v>3</v>
      </c>
      <c r="N14" s="12">
        <v>2</v>
      </c>
      <c r="O14" s="30">
        <v>2</v>
      </c>
      <c r="P14" s="31"/>
      <c r="Q14" s="11">
        <v>25</v>
      </c>
    </row>
    <row r="15" spans="4:18">
      <c r="E15" s="7" t="s">
        <v>57</v>
      </c>
      <c r="F15" s="13">
        <v>7.98</v>
      </c>
      <c r="G15" s="9" t="s">
        <v>58</v>
      </c>
      <c r="H15" s="12">
        <v>7</v>
      </c>
      <c r="I15" s="12">
        <v>9</v>
      </c>
      <c r="J15" s="12">
        <v>7.5</v>
      </c>
      <c r="K15" s="12">
        <v>6.5</v>
      </c>
      <c r="L15" s="12">
        <v>7.5</v>
      </c>
      <c r="M15" s="12">
        <v>8.5</v>
      </c>
      <c r="N15" s="12">
        <v>9.5</v>
      </c>
      <c r="O15" s="30">
        <v>9.5</v>
      </c>
      <c r="P15" s="31"/>
      <c r="Q15" s="9" t="s">
        <v>37</v>
      </c>
    </row>
    <row r="16" spans="4:18">
      <c r="E16" s="7" t="s">
        <v>59</v>
      </c>
      <c r="F16" s="14">
        <v>7.98</v>
      </c>
      <c r="G16" s="9" t="s">
        <v>60</v>
      </c>
      <c r="H16" s="12">
        <v>28</v>
      </c>
      <c r="I16" s="12">
        <v>36</v>
      </c>
      <c r="J16" s="12">
        <v>30</v>
      </c>
      <c r="K16" s="12">
        <v>19.5</v>
      </c>
      <c r="L16" s="12">
        <v>22.5</v>
      </c>
      <c r="M16" s="12">
        <v>25.5</v>
      </c>
      <c r="N16" s="12">
        <v>19</v>
      </c>
      <c r="O16" s="30">
        <v>19</v>
      </c>
      <c r="P16" s="31"/>
      <c r="Q16" s="11">
        <v>199.5</v>
      </c>
    </row>
    <row r="17" spans="5:17">
      <c r="E17" s="32" t="s">
        <v>61</v>
      </c>
      <c r="F17" s="31"/>
      <c r="G17" s="9" t="s">
        <v>40</v>
      </c>
      <c r="H17" s="12">
        <v>67</v>
      </c>
      <c r="I17" s="12">
        <v>89</v>
      </c>
      <c r="J17" s="12">
        <v>74</v>
      </c>
      <c r="K17" s="12">
        <v>60</v>
      </c>
      <c r="L17" s="12">
        <v>74</v>
      </c>
      <c r="M17" s="12">
        <v>80</v>
      </c>
      <c r="N17" s="12">
        <v>45</v>
      </c>
      <c r="O17" s="30">
        <v>45</v>
      </c>
      <c r="P17" s="31"/>
      <c r="Q17" s="11">
        <v>534</v>
      </c>
    </row>
    <row r="18" spans="5:17">
      <c r="E18" s="7" t="s">
        <v>62</v>
      </c>
      <c r="F18" s="7"/>
      <c r="G18" s="9" t="s">
        <v>63</v>
      </c>
      <c r="H18" s="12">
        <v>100</v>
      </c>
      <c r="I18" s="12">
        <v>100</v>
      </c>
      <c r="J18" s="12">
        <v>100</v>
      </c>
      <c r="K18" s="12">
        <v>100</v>
      </c>
      <c r="L18" s="12">
        <v>100</v>
      </c>
      <c r="M18" s="12">
        <v>100</v>
      </c>
      <c r="N18" s="12">
        <v>50</v>
      </c>
      <c r="O18" s="30">
        <v>50</v>
      </c>
      <c r="P18" s="31"/>
      <c r="Q18" s="11">
        <v>700</v>
      </c>
    </row>
    <row r="19" spans="5:17">
      <c r="E19" s="32" t="s">
        <v>64</v>
      </c>
      <c r="F19" s="31"/>
      <c r="G19" s="9" t="s">
        <v>65</v>
      </c>
      <c r="H19" s="10" t="s">
        <v>66</v>
      </c>
      <c r="I19" s="10" t="s">
        <v>67</v>
      </c>
      <c r="J19" s="10" t="s">
        <v>68</v>
      </c>
      <c r="K19" s="10" t="s">
        <v>69</v>
      </c>
      <c r="L19" s="10" t="s">
        <v>68</v>
      </c>
      <c r="M19" s="10" t="s">
        <v>70</v>
      </c>
      <c r="N19" s="10" t="s">
        <v>71</v>
      </c>
      <c r="O19" s="30" t="s">
        <v>71</v>
      </c>
      <c r="P19" s="31"/>
      <c r="Q19" s="9" t="s">
        <v>37</v>
      </c>
    </row>
    <row r="20" spans="5:17">
      <c r="E20" s="15" t="s">
        <v>72</v>
      </c>
      <c r="F20" s="15" t="s">
        <v>73</v>
      </c>
      <c r="G20" s="9" t="s">
        <v>74</v>
      </c>
      <c r="H20" s="10" t="s">
        <v>75</v>
      </c>
      <c r="I20" s="10" t="s">
        <v>75</v>
      </c>
      <c r="J20" s="10" t="s">
        <v>75</v>
      </c>
      <c r="K20" s="10" t="s">
        <v>75</v>
      </c>
      <c r="L20" s="10" t="s">
        <v>75</v>
      </c>
      <c r="M20" s="10" t="s">
        <v>75</v>
      </c>
      <c r="N20" s="10" t="s">
        <v>75</v>
      </c>
      <c r="O20" s="30" t="s">
        <v>75</v>
      </c>
      <c r="P20" s="31"/>
      <c r="Q20" s="9" t="s">
        <v>37</v>
      </c>
    </row>
    <row r="21" spans="5:17">
      <c r="E21" s="16" t="s">
        <v>37</v>
      </c>
      <c r="F21" s="16" t="s">
        <v>37</v>
      </c>
      <c r="G21" s="16" t="s">
        <v>37</v>
      </c>
      <c r="H21" s="17" t="s">
        <v>37</v>
      </c>
      <c r="I21" s="17" t="s">
        <v>37</v>
      </c>
      <c r="J21" s="17" t="s">
        <v>37</v>
      </c>
      <c r="K21" s="17" t="s">
        <v>37</v>
      </c>
      <c r="L21" s="17" t="s">
        <v>37</v>
      </c>
      <c r="M21" s="17" t="s">
        <v>37</v>
      </c>
      <c r="N21" s="17" t="s">
        <v>37</v>
      </c>
      <c r="O21" s="41" t="s">
        <v>37</v>
      </c>
      <c r="P21" s="28"/>
      <c r="Q21" s="17" t="s">
        <v>37</v>
      </c>
    </row>
    <row r="22" spans="5:17" ht="0" hidden="1" customHeight="1"/>
    <row r="23" spans="5:17" ht="0.6" customHeight="1"/>
    <row r="24" spans="5:17">
      <c r="E24" s="38" t="s">
        <v>35</v>
      </c>
      <c r="F24" s="31"/>
      <c r="G24" s="4" t="s">
        <v>36</v>
      </c>
      <c r="H24" s="6" t="s">
        <v>37</v>
      </c>
      <c r="I24" s="6" t="s">
        <v>37</v>
      </c>
      <c r="J24" s="6" t="s">
        <v>37</v>
      </c>
      <c r="K24" s="6" t="s">
        <v>37</v>
      </c>
      <c r="L24" s="6" t="s">
        <v>37</v>
      </c>
      <c r="M24" s="6" t="s">
        <v>37</v>
      </c>
      <c r="N24" s="6" t="s">
        <v>37</v>
      </c>
      <c r="O24" s="39" t="s">
        <v>37</v>
      </c>
      <c r="P24" s="28"/>
      <c r="Q24" s="6" t="s">
        <v>37</v>
      </c>
    </row>
    <row r="25" spans="5:17" ht="21">
      <c r="E25" s="32" t="s">
        <v>76</v>
      </c>
      <c r="F25" s="31"/>
      <c r="G25" s="8" t="s">
        <v>39</v>
      </c>
      <c r="H25" s="8" t="s">
        <v>19</v>
      </c>
      <c r="I25" s="8" t="s">
        <v>9</v>
      </c>
      <c r="J25" s="8" t="s">
        <v>21</v>
      </c>
      <c r="K25" s="8" t="s">
        <v>11</v>
      </c>
      <c r="L25" s="8" t="s">
        <v>17</v>
      </c>
      <c r="M25" s="8" t="s">
        <v>27</v>
      </c>
      <c r="N25" s="8" t="s">
        <v>7</v>
      </c>
      <c r="O25" s="40" t="s">
        <v>29</v>
      </c>
      <c r="P25" s="31"/>
      <c r="Q25" s="8" t="s">
        <v>40</v>
      </c>
    </row>
    <row r="26" spans="5:17" ht="22.5">
      <c r="E26" s="7" t="s">
        <v>41</v>
      </c>
      <c r="F26" s="7" t="s">
        <v>77</v>
      </c>
      <c r="G26" s="9" t="s">
        <v>43</v>
      </c>
      <c r="H26" s="10" t="s">
        <v>78</v>
      </c>
      <c r="I26" s="10" t="s">
        <v>79</v>
      </c>
      <c r="J26" s="10" t="s">
        <v>80</v>
      </c>
      <c r="K26" s="10" t="s">
        <v>81</v>
      </c>
      <c r="L26" s="10" t="s">
        <v>82</v>
      </c>
      <c r="M26" s="10" t="s">
        <v>83</v>
      </c>
      <c r="N26" s="10" t="s">
        <v>84</v>
      </c>
      <c r="O26" s="30" t="s">
        <v>51</v>
      </c>
      <c r="P26" s="31"/>
      <c r="Q26" s="9" t="s">
        <v>37</v>
      </c>
    </row>
    <row r="27" spans="5:17">
      <c r="E27" s="32" t="s">
        <v>85</v>
      </c>
      <c r="F27" s="33"/>
      <c r="G27" s="9" t="s">
        <v>53</v>
      </c>
      <c r="H27" s="10" t="s">
        <v>51</v>
      </c>
      <c r="I27" s="10" t="s">
        <v>51</v>
      </c>
      <c r="J27" s="10" t="s">
        <v>51</v>
      </c>
      <c r="K27" s="10" t="s">
        <v>51</v>
      </c>
      <c r="L27" s="10" t="s">
        <v>51</v>
      </c>
      <c r="M27" s="10" t="s">
        <v>51</v>
      </c>
      <c r="N27" s="10" t="s">
        <v>51</v>
      </c>
      <c r="O27" s="30" t="s">
        <v>86</v>
      </c>
      <c r="P27" s="31"/>
      <c r="Q27" s="9" t="s">
        <v>37</v>
      </c>
    </row>
    <row r="28" spans="5:17">
      <c r="E28" s="34"/>
      <c r="F28" s="35"/>
      <c r="G28" s="9" t="s">
        <v>55</v>
      </c>
      <c r="H28" s="10" t="s">
        <v>37</v>
      </c>
      <c r="I28" s="10" t="s">
        <v>37</v>
      </c>
      <c r="J28" s="10" t="s">
        <v>37</v>
      </c>
      <c r="K28" s="10" t="s">
        <v>37</v>
      </c>
      <c r="L28" s="10" t="s">
        <v>37</v>
      </c>
      <c r="M28" s="10" t="s">
        <v>37</v>
      </c>
      <c r="N28" s="10" t="s">
        <v>37</v>
      </c>
      <c r="O28" s="30" t="s">
        <v>37</v>
      </c>
      <c r="P28" s="31"/>
      <c r="Q28" s="11">
        <v>0</v>
      </c>
    </row>
    <row r="29" spans="5:17">
      <c r="E29" s="36"/>
      <c r="F29" s="37"/>
      <c r="G29" s="9" t="s">
        <v>56</v>
      </c>
      <c r="H29" s="12">
        <v>4</v>
      </c>
      <c r="I29" s="12">
        <v>4</v>
      </c>
      <c r="J29" s="12">
        <v>4</v>
      </c>
      <c r="K29" s="12">
        <v>3</v>
      </c>
      <c r="L29" s="12">
        <v>3</v>
      </c>
      <c r="M29" s="12">
        <v>3</v>
      </c>
      <c r="N29" s="12">
        <v>2</v>
      </c>
      <c r="O29" s="30">
        <v>2</v>
      </c>
      <c r="P29" s="31"/>
      <c r="Q29" s="11">
        <v>25</v>
      </c>
    </row>
    <row r="30" spans="5:17">
      <c r="E30" s="7" t="s">
        <v>57</v>
      </c>
      <c r="F30" s="13">
        <v>9.32</v>
      </c>
      <c r="G30" s="9" t="s">
        <v>58</v>
      </c>
      <c r="H30" s="12">
        <v>9</v>
      </c>
      <c r="I30" s="12">
        <v>10</v>
      </c>
      <c r="J30" s="12">
        <v>9</v>
      </c>
      <c r="K30" s="12">
        <v>7</v>
      </c>
      <c r="L30" s="12">
        <v>10</v>
      </c>
      <c r="M30" s="12">
        <v>10</v>
      </c>
      <c r="N30" s="12">
        <v>10</v>
      </c>
      <c r="O30" s="30">
        <v>10</v>
      </c>
      <c r="P30" s="31"/>
      <c r="Q30" s="9" t="s">
        <v>37</v>
      </c>
    </row>
    <row r="31" spans="5:17">
      <c r="E31" s="7" t="s">
        <v>59</v>
      </c>
      <c r="F31" s="14">
        <v>9.32</v>
      </c>
      <c r="G31" s="9" t="s">
        <v>60</v>
      </c>
      <c r="H31" s="12">
        <v>36</v>
      </c>
      <c r="I31" s="12">
        <v>40</v>
      </c>
      <c r="J31" s="12">
        <v>36</v>
      </c>
      <c r="K31" s="12">
        <v>21</v>
      </c>
      <c r="L31" s="12">
        <v>30</v>
      </c>
      <c r="M31" s="12">
        <v>30</v>
      </c>
      <c r="N31" s="12">
        <v>20</v>
      </c>
      <c r="O31" s="30">
        <v>20</v>
      </c>
      <c r="P31" s="31"/>
      <c r="Q31" s="11">
        <v>233</v>
      </c>
    </row>
    <row r="32" spans="5:17">
      <c r="E32" s="32" t="s">
        <v>61</v>
      </c>
      <c r="F32" s="31"/>
      <c r="G32" s="9" t="s">
        <v>40</v>
      </c>
      <c r="H32" s="12">
        <v>86</v>
      </c>
      <c r="I32" s="12">
        <v>95</v>
      </c>
      <c r="J32" s="12">
        <v>88</v>
      </c>
      <c r="K32" s="12">
        <v>68</v>
      </c>
      <c r="L32" s="12">
        <v>98</v>
      </c>
      <c r="M32" s="12">
        <v>100</v>
      </c>
      <c r="N32" s="12">
        <v>48</v>
      </c>
      <c r="O32" s="30">
        <v>48</v>
      </c>
      <c r="P32" s="31"/>
      <c r="Q32" s="11">
        <v>631</v>
      </c>
    </row>
    <row r="33" spans="5:17">
      <c r="E33" s="7" t="s">
        <v>62</v>
      </c>
      <c r="F33" s="7"/>
      <c r="G33" s="9" t="s">
        <v>63</v>
      </c>
      <c r="H33" s="12">
        <v>100</v>
      </c>
      <c r="I33" s="12">
        <v>100</v>
      </c>
      <c r="J33" s="12">
        <v>100</v>
      </c>
      <c r="K33" s="12">
        <v>100</v>
      </c>
      <c r="L33" s="12">
        <v>100</v>
      </c>
      <c r="M33" s="12">
        <v>100</v>
      </c>
      <c r="N33" s="12">
        <v>50</v>
      </c>
      <c r="O33" s="30">
        <v>50</v>
      </c>
      <c r="P33" s="31"/>
      <c r="Q33" s="11">
        <v>700</v>
      </c>
    </row>
    <row r="34" spans="5:17">
      <c r="E34" s="32" t="s">
        <v>87</v>
      </c>
      <c r="F34" s="31"/>
      <c r="G34" s="9" t="s">
        <v>65</v>
      </c>
      <c r="H34" s="10" t="s">
        <v>67</v>
      </c>
      <c r="I34" s="10" t="s">
        <v>88</v>
      </c>
      <c r="J34" s="10" t="s">
        <v>67</v>
      </c>
      <c r="K34" s="10" t="s">
        <v>66</v>
      </c>
      <c r="L34" s="10" t="s">
        <v>88</v>
      </c>
      <c r="M34" s="10" t="s">
        <v>88</v>
      </c>
      <c r="N34" s="10" t="s">
        <v>88</v>
      </c>
      <c r="O34" s="30" t="s">
        <v>88</v>
      </c>
      <c r="P34" s="31"/>
      <c r="Q34" s="9" t="s">
        <v>37</v>
      </c>
    </row>
    <row r="35" spans="5:17">
      <c r="E35" s="15" t="s">
        <v>72</v>
      </c>
      <c r="F35" s="15" t="s">
        <v>89</v>
      </c>
      <c r="G35" s="9" t="s">
        <v>74</v>
      </c>
      <c r="H35" s="10" t="s">
        <v>75</v>
      </c>
      <c r="I35" s="10" t="s">
        <v>75</v>
      </c>
      <c r="J35" s="10" t="s">
        <v>75</v>
      </c>
      <c r="K35" s="10" t="s">
        <v>75</v>
      </c>
      <c r="L35" s="10" t="s">
        <v>75</v>
      </c>
      <c r="M35" s="10" t="s">
        <v>75</v>
      </c>
      <c r="N35" s="10" t="s">
        <v>75</v>
      </c>
      <c r="O35" s="30" t="s">
        <v>75</v>
      </c>
      <c r="P35" s="31"/>
      <c r="Q35" s="9" t="s">
        <v>37</v>
      </c>
    </row>
    <row r="36" spans="5:17">
      <c r="E36" s="16" t="s">
        <v>37</v>
      </c>
      <c r="F36" s="16" t="s">
        <v>37</v>
      </c>
      <c r="G36" s="16" t="s">
        <v>37</v>
      </c>
      <c r="H36" s="17" t="s">
        <v>37</v>
      </c>
      <c r="I36" s="17" t="s">
        <v>37</v>
      </c>
      <c r="J36" s="17" t="s">
        <v>37</v>
      </c>
      <c r="K36" s="17" t="s">
        <v>37</v>
      </c>
      <c r="L36" s="17" t="s">
        <v>37</v>
      </c>
      <c r="M36" s="17" t="s">
        <v>37</v>
      </c>
      <c r="N36" s="17" t="s">
        <v>37</v>
      </c>
      <c r="O36" s="41" t="s">
        <v>37</v>
      </c>
      <c r="P36" s="28"/>
      <c r="Q36" s="17" t="s">
        <v>37</v>
      </c>
    </row>
    <row r="37" spans="5:17" ht="0" hidden="1" customHeight="1"/>
    <row r="38" spans="5:17" ht="0.6" customHeight="1"/>
    <row r="39" spans="5:17">
      <c r="E39" s="38" t="s">
        <v>35</v>
      </c>
      <c r="F39" s="31"/>
      <c r="G39" s="4" t="s">
        <v>36</v>
      </c>
      <c r="H39" s="6" t="s">
        <v>37</v>
      </c>
      <c r="I39" s="6" t="s">
        <v>37</v>
      </c>
      <c r="J39" s="6" t="s">
        <v>37</v>
      </c>
      <c r="K39" s="6" t="s">
        <v>37</v>
      </c>
      <c r="L39" s="6" t="s">
        <v>37</v>
      </c>
      <c r="M39" s="6" t="s">
        <v>37</v>
      </c>
      <c r="N39" s="6" t="s">
        <v>37</v>
      </c>
      <c r="O39" s="39" t="s">
        <v>37</v>
      </c>
      <c r="P39" s="28"/>
      <c r="Q39" s="6" t="s">
        <v>37</v>
      </c>
    </row>
    <row r="40" spans="5:17" ht="21">
      <c r="E40" s="32" t="s">
        <v>90</v>
      </c>
      <c r="F40" s="31"/>
      <c r="G40" s="8" t="s">
        <v>39</v>
      </c>
      <c r="H40" s="8" t="s">
        <v>19</v>
      </c>
      <c r="I40" s="8" t="s">
        <v>9</v>
      </c>
      <c r="J40" s="8" t="s">
        <v>21</v>
      </c>
      <c r="K40" s="8" t="s">
        <v>11</v>
      </c>
      <c r="L40" s="8" t="s">
        <v>15</v>
      </c>
      <c r="M40" s="8" t="s">
        <v>27</v>
      </c>
      <c r="N40" s="8" t="s">
        <v>5</v>
      </c>
      <c r="O40" s="40" t="s">
        <v>7</v>
      </c>
      <c r="P40" s="31"/>
      <c r="Q40" s="8" t="s">
        <v>40</v>
      </c>
    </row>
    <row r="41" spans="5:17" ht="22.5">
      <c r="E41" s="7" t="s">
        <v>41</v>
      </c>
      <c r="F41" s="7" t="s">
        <v>91</v>
      </c>
      <c r="G41" s="9" t="s">
        <v>43</v>
      </c>
      <c r="H41" s="10" t="s">
        <v>92</v>
      </c>
      <c r="I41" s="10" t="s">
        <v>93</v>
      </c>
      <c r="J41" s="10" t="s">
        <v>94</v>
      </c>
      <c r="K41" s="10" t="s">
        <v>95</v>
      </c>
      <c r="L41" s="10" t="s">
        <v>96</v>
      </c>
      <c r="M41" s="10" t="s">
        <v>97</v>
      </c>
      <c r="N41" s="10" t="s">
        <v>51</v>
      </c>
      <c r="O41" s="30" t="s">
        <v>98</v>
      </c>
      <c r="P41" s="31"/>
      <c r="Q41" s="9" t="s">
        <v>37</v>
      </c>
    </row>
    <row r="42" spans="5:17">
      <c r="E42" s="32" t="s">
        <v>99</v>
      </c>
      <c r="F42" s="33"/>
      <c r="G42" s="9" t="s">
        <v>53</v>
      </c>
      <c r="H42" s="10" t="s">
        <v>51</v>
      </c>
      <c r="I42" s="10" t="s">
        <v>51</v>
      </c>
      <c r="J42" s="10" t="s">
        <v>51</v>
      </c>
      <c r="K42" s="10" t="s">
        <v>51</v>
      </c>
      <c r="L42" s="10" t="s">
        <v>51</v>
      </c>
      <c r="M42" s="10" t="s">
        <v>51</v>
      </c>
      <c r="N42" s="10" t="s">
        <v>100</v>
      </c>
      <c r="O42" s="30" t="s">
        <v>51</v>
      </c>
      <c r="P42" s="31"/>
      <c r="Q42" s="9" t="s">
        <v>37</v>
      </c>
    </row>
    <row r="43" spans="5:17">
      <c r="E43" s="34"/>
      <c r="F43" s="35"/>
      <c r="G43" s="9" t="s">
        <v>55</v>
      </c>
      <c r="H43" s="10" t="s">
        <v>37</v>
      </c>
      <c r="I43" s="10" t="s">
        <v>37</v>
      </c>
      <c r="J43" s="10" t="s">
        <v>37</v>
      </c>
      <c r="K43" s="10" t="s">
        <v>37</v>
      </c>
      <c r="L43" s="10" t="s">
        <v>37</v>
      </c>
      <c r="M43" s="10" t="s">
        <v>37</v>
      </c>
      <c r="N43" s="10" t="s">
        <v>37</v>
      </c>
      <c r="O43" s="30" t="s">
        <v>37</v>
      </c>
      <c r="P43" s="31"/>
      <c r="Q43" s="11">
        <v>0</v>
      </c>
    </row>
    <row r="44" spans="5:17">
      <c r="E44" s="36"/>
      <c r="F44" s="37"/>
      <c r="G44" s="9" t="s">
        <v>56</v>
      </c>
      <c r="H44" s="12">
        <v>4</v>
      </c>
      <c r="I44" s="12">
        <v>4</v>
      </c>
      <c r="J44" s="12">
        <v>4</v>
      </c>
      <c r="K44" s="12">
        <v>3</v>
      </c>
      <c r="L44" s="12">
        <v>3</v>
      </c>
      <c r="M44" s="12">
        <v>3</v>
      </c>
      <c r="N44" s="12">
        <v>2</v>
      </c>
      <c r="O44" s="30">
        <v>2</v>
      </c>
      <c r="P44" s="31"/>
      <c r="Q44" s="11">
        <v>25</v>
      </c>
    </row>
    <row r="45" spans="5:17">
      <c r="E45" s="7" t="s">
        <v>57</v>
      </c>
      <c r="F45" s="13">
        <v>7.44</v>
      </c>
      <c r="G45" s="9" t="s">
        <v>58</v>
      </c>
      <c r="H45" s="12">
        <v>7.5</v>
      </c>
      <c r="I45" s="12">
        <v>8</v>
      </c>
      <c r="J45" s="12">
        <v>7</v>
      </c>
      <c r="K45" s="12">
        <v>6</v>
      </c>
      <c r="L45" s="12">
        <v>7</v>
      </c>
      <c r="M45" s="12">
        <v>6</v>
      </c>
      <c r="N45" s="12">
        <v>10</v>
      </c>
      <c r="O45" s="30">
        <v>9.5</v>
      </c>
      <c r="P45" s="31"/>
      <c r="Q45" s="9" t="s">
        <v>37</v>
      </c>
    </row>
    <row r="46" spans="5:17">
      <c r="E46" s="7" t="s">
        <v>59</v>
      </c>
      <c r="F46" s="14">
        <v>7.44</v>
      </c>
      <c r="G46" s="9" t="s">
        <v>60</v>
      </c>
      <c r="H46" s="12">
        <v>30</v>
      </c>
      <c r="I46" s="12">
        <v>32</v>
      </c>
      <c r="J46" s="12">
        <v>28</v>
      </c>
      <c r="K46" s="12">
        <v>18</v>
      </c>
      <c r="L46" s="12">
        <v>21</v>
      </c>
      <c r="M46" s="12">
        <v>18</v>
      </c>
      <c r="N46" s="12">
        <v>20</v>
      </c>
      <c r="O46" s="30">
        <v>19</v>
      </c>
      <c r="P46" s="31"/>
      <c r="Q46" s="11">
        <v>186</v>
      </c>
    </row>
    <row r="47" spans="5:17">
      <c r="E47" s="32" t="s">
        <v>61</v>
      </c>
      <c r="F47" s="31"/>
      <c r="G47" s="9" t="s">
        <v>40</v>
      </c>
      <c r="H47" s="12">
        <v>72</v>
      </c>
      <c r="I47" s="12">
        <v>78</v>
      </c>
      <c r="J47" s="12">
        <v>66</v>
      </c>
      <c r="K47" s="12">
        <v>55</v>
      </c>
      <c r="L47" s="12">
        <v>66</v>
      </c>
      <c r="M47" s="12">
        <v>59</v>
      </c>
      <c r="N47" s="12">
        <v>50</v>
      </c>
      <c r="O47" s="30">
        <v>46</v>
      </c>
      <c r="P47" s="31"/>
      <c r="Q47" s="11">
        <v>492</v>
      </c>
    </row>
    <row r="48" spans="5:17">
      <c r="E48" s="7" t="s">
        <v>62</v>
      </c>
      <c r="F48" s="7"/>
      <c r="G48" s="9" t="s">
        <v>63</v>
      </c>
      <c r="H48" s="12">
        <v>100</v>
      </c>
      <c r="I48" s="12">
        <v>100</v>
      </c>
      <c r="J48" s="12">
        <v>100</v>
      </c>
      <c r="K48" s="12">
        <v>100</v>
      </c>
      <c r="L48" s="12">
        <v>100</v>
      </c>
      <c r="M48" s="12">
        <v>100</v>
      </c>
      <c r="N48" s="12">
        <v>50</v>
      </c>
      <c r="O48" s="30">
        <v>50</v>
      </c>
      <c r="P48" s="31"/>
      <c r="Q48" s="11">
        <v>700</v>
      </c>
    </row>
    <row r="49" spans="5:17">
      <c r="E49" s="32" t="s">
        <v>101</v>
      </c>
      <c r="F49" s="31"/>
      <c r="G49" s="9" t="s">
        <v>65</v>
      </c>
      <c r="H49" s="10" t="s">
        <v>68</v>
      </c>
      <c r="I49" s="10" t="s">
        <v>102</v>
      </c>
      <c r="J49" s="10" t="s">
        <v>66</v>
      </c>
      <c r="K49" s="10" t="s">
        <v>103</v>
      </c>
      <c r="L49" s="10" t="s">
        <v>66</v>
      </c>
      <c r="M49" s="10" t="s">
        <v>103</v>
      </c>
      <c r="N49" s="10" t="s">
        <v>88</v>
      </c>
      <c r="O49" s="30" t="s">
        <v>71</v>
      </c>
      <c r="P49" s="31"/>
      <c r="Q49" s="9" t="s">
        <v>37</v>
      </c>
    </row>
    <row r="50" spans="5:17">
      <c r="E50" s="15" t="s">
        <v>72</v>
      </c>
      <c r="F50" s="15" t="s">
        <v>104</v>
      </c>
      <c r="G50" s="9" t="s">
        <v>74</v>
      </c>
      <c r="H50" s="10" t="s">
        <v>75</v>
      </c>
      <c r="I50" s="10" t="s">
        <v>75</v>
      </c>
      <c r="J50" s="10" t="s">
        <v>75</v>
      </c>
      <c r="K50" s="10" t="s">
        <v>75</v>
      </c>
      <c r="L50" s="10" t="s">
        <v>75</v>
      </c>
      <c r="M50" s="10" t="s">
        <v>75</v>
      </c>
      <c r="N50" s="10" t="s">
        <v>75</v>
      </c>
      <c r="O50" s="30" t="s">
        <v>75</v>
      </c>
      <c r="P50" s="31"/>
      <c r="Q50" s="9" t="s">
        <v>37</v>
      </c>
    </row>
    <row r="51" spans="5:17">
      <c r="E51" s="16" t="s">
        <v>37</v>
      </c>
      <c r="F51" s="16" t="s">
        <v>37</v>
      </c>
      <c r="G51" s="16" t="s">
        <v>37</v>
      </c>
      <c r="H51" s="17" t="s">
        <v>37</v>
      </c>
      <c r="I51" s="17" t="s">
        <v>37</v>
      </c>
      <c r="J51" s="17" t="s">
        <v>37</v>
      </c>
      <c r="K51" s="17" t="s">
        <v>37</v>
      </c>
      <c r="L51" s="17" t="s">
        <v>37</v>
      </c>
      <c r="M51" s="17" t="s">
        <v>37</v>
      </c>
      <c r="N51" s="17" t="s">
        <v>37</v>
      </c>
      <c r="O51" s="41" t="s">
        <v>37</v>
      </c>
      <c r="P51" s="28"/>
      <c r="Q51" s="17" t="s">
        <v>37</v>
      </c>
    </row>
    <row r="52" spans="5:17" ht="0" hidden="1" customHeight="1"/>
    <row r="53" spans="5:17" ht="0.6" customHeight="1"/>
    <row r="54" spans="5:17">
      <c r="E54" s="38" t="s">
        <v>35</v>
      </c>
      <c r="F54" s="31"/>
      <c r="G54" s="4" t="s">
        <v>36</v>
      </c>
      <c r="H54" s="6" t="s">
        <v>37</v>
      </c>
      <c r="I54" s="6" t="s">
        <v>37</v>
      </c>
      <c r="J54" s="6" t="s">
        <v>37</v>
      </c>
      <c r="K54" s="6" t="s">
        <v>37</v>
      </c>
      <c r="L54" s="6" t="s">
        <v>37</v>
      </c>
      <c r="M54" s="6" t="s">
        <v>37</v>
      </c>
      <c r="N54" s="6" t="s">
        <v>37</v>
      </c>
      <c r="O54" s="39" t="s">
        <v>37</v>
      </c>
      <c r="P54" s="28"/>
      <c r="Q54" s="6" t="s">
        <v>37</v>
      </c>
    </row>
    <row r="55" spans="5:17" ht="21">
      <c r="E55" s="32" t="s">
        <v>105</v>
      </c>
      <c r="F55" s="31"/>
      <c r="G55" s="8" t="s">
        <v>39</v>
      </c>
      <c r="H55" s="8" t="s">
        <v>19</v>
      </c>
      <c r="I55" s="8" t="s">
        <v>9</v>
      </c>
      <c r="J55" s="8" t="s">
        <v>21</v>
      </c>
      <c r="K55" s="8" t="s">
        <v>11</v>
      </c>
      <c r="L55" s="8" t="s">
        <v>17</v>
      </c>
      <c r="M55" s="8" t="s">
        <v>27</v>
      </c>
      <c r="N55" s="8" t="s">
        <v>5</v>
      </c>
      <c r="O55" s="40" t="s">
        <v>7</v>
      </c>
      <c r="P55" s="31"/>
      <c r="Q55" s="8" t="s">
        <v>40</v>
      </c>
    </row>
    <row r="56" spans="5:17" ht="22.5">
      <c r="E56" s="7" t="s">
        <v>41</v>
      </c>
      <c r="F56" s="7" t="s">
        <v>106</v>
      </c>
      <c r="G56" s="9" t="s">
        <v>43</v>
      </c>
      <c r="H56" s="10" t="s">
        <v>107</v>
      </c>
      <c r="I56" s="10" t="s">
        <v>78</v>
      </c>
      <c r="J56" s="10" t="s">
        <v>108</v>
      </c>
      <c r="K56" s="10" t="s">
        <v>109</v>
      </c>
      <c r="L56" s="10" t="s">
        <v>110</v>
      </c>
      <c r="M56" s="10" t="s">
        <v>111</v>
      </c>
      <c r="N56" s="10" t="s">
        <v>51</v>
      </c>
      <c r="O56" s="30" t="s">
        <v>112</v>
      </c>
      <c r="P56" s="31"/>
      <c r="Q56" s="9" t="s">
        <v>37</v>
      </c>
    </row>
    <row r="57" spans="5:17">
      <c r="E57" s="32" t="s">
        <v>113</v>
      </c>
      <c r="F57" s="33"/>
      <c r="G57" s="9" t="s">
        <v>53</v>
      </c>
      <c r="H57" s="10" t="s">
        <v>51</v>
      </c>
      <c r="I57" s="10" t="s">
        <v>51</v>
      </c>
      <c r="J57" s="10" t="s">
        <v>51</v>
      </c>
      <c r="K57" s="10" t="s">
        <v>51</v>
      </c>
      <c r="L57" s="10" t="s">
        <v>51</v>
      </c>
      <c r="M57" s="10" t="s">
        <v>51</v>
      </c>
      <c r="N57" s="10" t="s">
        <v>100</v>
      </c>
      <c r="O57" s="30" t="s">
        <v>51</v>
      </c>
      <c r="P57" s="31"/>
      <c r="Q57" s="9" t="s">
        <v>37</v>
      </c>
    </row>
    <row r="58" spans="5:17">
      <c r="E58" s="34"/>
      <c r="F58" s="35"/>
      <c r="G58" s="9" t="s">
        <v>55</v>
      </c>
      <c r="H58" s="10" t="s">
        <v>37</v>
      </c>
      <c r="I58" s="10" t="s">
        <v>37</v>
      </c>
      <c r="J58" s="10" t="s">
        <v>37</v>
      </c>
      <c r="K58" s="10" t="s">
        <v>37</v>
      </c>
      <c r="L58" s="10" t="s">
        <v>37</v>
      </c>
      <c r="M58" s="10" t="s">
        <v>37</v>
      </c>
      <c r="N58" s="10" t="s">
        <v>37</v>
      </c>
      <c r="O58" s="30" t="s">
        <v>37</v>
      </c>
      <c r="P58" s="31"/>
      <c r="Q58" s="11">
        <v>0</v>
      </c>
    </row>
    <row r="59" spans="5:17">
      <c r="E59" s="36"/>
      <c r="F59" s="37"/>
      <c r="G59" s="9" t="s">
        <v>56</v>
      </c>
      <c r="H59" s="12">
        <v>4</v>
      </c>
      <c r="I59" s="12">
        <v>4</v>
      </c>
      <c r="J59" s="12">
        <v>4</v>
      </c>
      <c r="K59" s="12">
        <v>3</v>
      </c>
      <c r="L59" s="12">
        <v>3</v>
      </c>
      <c r="M59" s="12">
        <v>3</v>
      </c>
      <c r="N59" s="12">
        <v>2</v>
      </c>
      <c r="O59" s="30">
        <v>2</v>
      </c>
      <c r="P59" s="31"/>
      <c r="Q59" s="11">
        <v>25</v>
      </c>
    </row>
    <row r="60" spans="5:17">
      <c r="E60" s="7" t="s">
        <v>57</v>
      </c>
      <c r="F60" s="13">
        <v>7.52</v>
      </c>
      <c r="G60" s="9" t="s">
        <v>58</v>
      </c>
      <c r="H60" s="12">
        <v>7</v>
      </c>
      <c r="I60" s="12">
        <v>9</v>
      </c>
      <c r="J60" s="12">
        <v>7</v>
      </c>
      <c r="K60" s="12">
        <v>6</v>
      </c>
      <c r="L60" s="12">
        <v>8</v>
      </c>
      <c r="M60" s="12">
        <v>6</v>
      </c>
      <c r="N60" s="12">
        <v>10</v>
      </c>
      <c r="O60" s="30">
        <v>8</v>
      </c>
      <c r="P60" s="31"/>
      <c r="Q60" s="9" t="s">
        <v>37</v>
      </c>
    </row>
    <row r="61" spans="5:17">
      <c r="E61" s="7" t="s">
        <v>59</v>
      </c>
      <c r="F61" s="14">
        <v>7.52</v>
      </c>
      <c r="G61" s="9" t="s">
        <v>60</v>
      </c>
      <c r="H61" s="12">
        <v>28</v>
      </c>
      <c r="I61" s="12">
        <v>36</v>
      </c>
      <c r="J61" s="12">
        <v>28</v>
      </c>
      <c r="K61" s="12">
        <v>18</v>
      </c>
      <c r="L61" s="12">
        <v>24</v>
      </c>
      <c r="M61" s="12">
        <v>18</v>
      </c>
      <c r="N61" s="12">
        <v>20</v>
      </c>
      <c r="O61" s="30">
        <v>16</v>
      </c>
      <c r="P61" s="31"/>
      <c r="Q61" s="11">
        <v>188</v>
      </c>
    </row>
    <row r="62" spans="5:17">
      <c r="E62" s="32" t="s">
        <v>61</v>
      </c>
      <c r="F62" s="31"/>
      <c r="G62" s="9" t="s">
        <v>40</v>
      </c>
      <c r="H62" s="12">
        <v>69</v>
      </c>
      <c r="I62" s="12">
        <v>86</v>
      </c>
      <c r="J62" s="12">
        <v>67</v>
      </c>
      <c r="K62" s="12">
        <v>58</v>
      </c>
      <c r="L62" s="12">
        <v>78</v>
      </c>
      <c r="M62" s="12">
        <v>57</v>
      </c>
      <c r="N62" s="12">
        <v>50</v>
      </c>
      <c r="O62" s="30">
        <v>38</v>
      </c>
      <c r="P62" s="31"/>
      <c r="Q62" s="11">
        <v>503</v>
      </c>
    </row>
    <row r="63" spans="5:17">
      <c r="E63" s="7" t="s">
        <v>62</v>
      </c>
      <c r="F63" s="7"/>
      <c r="G63" s="9" t="s">
        <v>63</v>
      </c>
      <c r="H63" s="12">
        <v>100</v>
      </c>
      <c r="I63" s="12">
        <v>100</v>
      </c>
      <c r="J63" s="12">
        <v>100</v>
      </c>
      <c r="K63" s="12">
        <v>100</v>
      </c>
      <c r="L63" s="12">
        <v>100</v>
      </c>
      <c r="M63" s="12">
        <v>100</v>
      </c>
      <c r="N63" s="12">
        <v>50</v>
      </c>
      <c r="O63" s="30">
        <v>50</v>
      </c>
      <c r="P63" s="31"/>
      <c r="Q63" s="11">
        <v>700</v>
      </c>
    </row>
    <row r="64" spans="5:17">
      <c r="E64" s="32" t="s">
        <v>64</v>
      </c>
      <c r="F64" s="31"/>
      <c r="G64" s="9" t="s">
        <v>65</v>
      </c>
      <c r="H64" s="10" t="s">
        <v>66</v>
      </c>
      <c r="I64" s="10" t="s">
        <v>67</v>
      </c>
      <c r="J64" s="10" t="s">
        <v>66</v>
      </c>
      <c r="K64" s="10" t="s">
        <v>103</v>
      </c>
      <c r="L64" s="10" t="s">
        <v>102</v>
      </c>
      <c r="M64" s="10" t="s">
        <v>103</v>
      </c>
      <c r="N64" s="10" t="s">
        <v>88</v>
      </c>
      <c r="O64" s="30" t="s">
        <v>102</v>
      </c>
      <c r="P64" s="31"/>
      <c r="Q64" s="9" t="s">
        <v>37</v>
      </c>
    </row>
    <row r="65" spans="5:17">
      <c r="E65" s="15" t="s">
        <v>72</v>
      </c>
      <c r="F65" s="15" t="s">
        <v>114</v>
      </c>
      <c r="G65" s="9" t="s">
        <v>74</v>
      </c>
      <c r="H65" s="10" t="s">
        <v>75</v>
      </c>
      <c r="I65" s="10" t="s">
        <v>75</v>
      </c>
      <c r="J65" s="10" t="s">
        <v>75</v>
      </c>
      <c r="K65" s="10" t="s">
        <v>75</v>
      </c>
      <c r="L65" s="10" t="s">
        <v>75</v>
      </c>
      <c r="M65" s="10" t="s">
        <v>75</v>
      </c>
      <c r="N65" s="10" t="s">
        <v>75</v>
      </c>
      <c r="O65" s="30" t="s">
        <v>75</v>
      </c>
      <c r="P65" s="31"/>
      <c r="Q65" s="9" t="s">
        <v>37</v>
      </c>
    </row>
    <row r="66" spans="5:17">
      <c r="E66" s="16" t="s">
        <v>37</v>
      </c>
      <c r="F66" s="16" t="s">
        <v>37</v>
      </c>
      <c r="G66" s="16" t="s">
        <v>37</v>
      </c>
      <c r="H66" s="17" t="s">
        <v>37</v>
      </c>
      <c r="I66" s="17" t="s">
        <v>37</v>
      </c>
      <c r="J66" s="17" t="s">
        <v>37</v>
      </c>
      <c r="K66" s="17" t="s">
        <v>37</v>
      </c>
      <c r="L66" s="17" t="s">
        <v>37</v>
      </c>
      <c r="M66" s="17" t="s">
        <v>37</v>
      </c>
      <c r="N66" s="17" t="s">
        <v>37</v>
      </c>
      <c r="O66" s="41" t="s">
        <v>37</v>
      </c>
      <c r="P66" s="28"/>
      <c r="Q66" s="17" t="s">
        <v>37</v>
      </c>
    </row>
    <row r="67" spans="5:17" ht="0.6" customHeight="1"/>
    <row r="68" spans="5:17">
      <c r="E68" s="38" t="s">
        <v>35</v>
      </c>
      <c r="F68" s="31"/>
      <c r="G68" s="4" t="s">
        <v>36</v>
      </c>
      <c r="H68" s="6" t="s">
        <v>37</v>
      </c>
      <c r="I68" s="6" t="s">
        <v>37</v>
      </c>
      <c r="J68" s="6" t="s">
        <v>37</v>
      </c>
      <c r="K68" s="6" t="s">
        <v>37</v>
      </c>
      <c r="L68" s="6" t="s">
        <v>37</v>
      </c>
      <c r="M68" s="6" t="s">
        <v>37</v>
      </c>
      <c r="N68" s="6" t="s">
        <v>37</v>
      </c>
      <c r="O68" s="39" t="s">
        <v>37</v>
      </c>
      <c r="P68" s="28"/>
      <c r="Q68" s="6" t="s">
        <v>37</v>
      </c>
    </row>
    <row r="69" spans="5:17" ht="21">
      <c r="E69" s="32" t="s">
        <v>115</v>
      </c>
      <c r="F69" s="31"/>
      <c r="G69" s="8" t="s">
        <v>39</v>
      </c>
      <c r="H69" s="8" t="s">
        <v>19</v>
      </c>
      <c r="I69" s="8" t="s">
        <v>9</v>
      </c>
      <c r="J69" s="8" t="s">
        <v>21</v>
      </c>
      <c r="K69" s="8" t="s">
        <v>11</v>
      </c>
      <c r="L69" s="8" t="s">
        <v>17</v>
      </c>
      <c r="M69" s="8" t="s">
        <v>27</v>
      </c>
      <c r="N69" s="8" t="s">
        <v>7</v>
      </c>
      <c r="O69" s="40" t="s">
        <v>33</v>
      </c>
      <c r="P69" s="31"/>
      <c r="Q69" s="8" t="s">
        <v>40</v>
      </c>
    </row>
    <row r="70" spans="5:17" ht="22.5">
      <c r="E70" s="7" t="s">
        <v>41</v>
      </c>
      <c r="F70" s="7" t="s">
        <v>116</v>
      </c>
      <c r="G70" s="9" t="s">
        <v>43</v>
      </c>
      <c r="H70" s="10" t="s">
        <v>117</v>
      </c>
      <c r="I70" s="10" t="s">
        <v>118</v>
      </c>
      <c r="J70" s="10" t="s">
        <v>119</v>
      </c>
      <c r="K70" s="10" t="s">
        <v>120</v>
      </c>
      <c r="L70" s="10" t="s">
        <v>121</v>
      </c>
      <c r="M70" s="10" t="s">
        <v>122</v>
      </c>
      <c r="N70" s="10" t="s">
        <v>123</v>
      </c>
      <c r="O70" s="30" t="s">
        <v>51</v>
      </c>
      <c r="P70" s="31"/>
      <c r="Q70" s="9" t="s">
        <v>37</v>
      </c>
    </row>
    <row r="71" spans="5:17">
      <c r="E71" s="32" t="s">
        <v>124</v>
      </c>
      <c r="F71" s="33"/>
      <c r="G71" s="9" t="s">
        <v>53</v>
      </c>
      <c r="H71" s="10" t="s">
        <v>51</v>
      </c>
      <c r="I71" s="10" t="s">
        <v>51</v>
      </c>
      <c r="J71" s="10" t="s">
        <v>51</v>
      </c>
      <c r="K71" s="10" t="s">
        <v>51</v>
      </c>
      <c r="L71" s="10" t="s">
        <v>51</v>
      </c>
      <c r="M71" s="10" t="s">
        <v>51</v>
      </c>
      <c r="N71" s="10" t="s">
        <v>51</v>
      </c>
      <c r="O71" s="30" t="s">
        <v>125</v>
      </c>
      <c r="P71" s="31"/>
      <c r="Q71" s="9" t="s">
        <v>37</v>
      </c>
    </row>
    <row r="72" spans="5:17">
      <c r="E72" s="34"/>
      <c r="F72" s="35"/>
      <c r="G72" s="9" t="s">
        <v>55</v>
      </c>
      <c r="H72" s="10" t="s">
        <v>37</v>
      </c>
      <c r="I72" s="10" t="s">
        <v>37</v>
      </c>
      <c r="J72" s="10" t="s">
        <v>37</v>
      </c>
      <c r="K72" s="12">
        <v>3</v>
      </c>
      <c r="L72" s="10" t="s">
        <v>37</v>
      </c>
      <c r="M72" s="10" t="s">
        <v>37</v>
      </c>
      <c r="N72" s="10" t="s">
        <v>37</v>
      </c>
      <c r="O72" s="30" t="s">
        <v>37</v>
      </c>
      <c r="P72" s="31"/>
      <c r="Q72" s="11">
        <v>3</v>
      </c>
    </row>
    <row r="73" spans="5:17">
      <c r="E73" s="36"/>
      <c r="F73" s="37"/>
      <c r="G73" s="9" t="s">
        <v>56</v>
      </c>
      <c r="H73" s="12">
        <v>4</v>
      </c>
      <c r="I73" s="12">
        <v>4</v>
      </c>
      <c r="J73" s="12">
        <v>4</v>
      </c>
      <c r="K73" s="12">
        <v>3</v>
      </c>
      <c r="L73" s="12">
        <v>3</v>
      </c>
      <c r="M73" s="12">
        <v>3</v>
      </c>
      <c r="N73" s="12">
        <v>2</v>
      </c>
      <c r="O73" s="30">
        <v>2</v>
      </c>
      <c r="P73" s="31"/>
      <c r="Q73" s="11">
        <v>25</v>
      </c>
    </row>
    <row r="74" spans="5:17">
      <c r="E74" s="7" t="s">
        <v>57</v>
      </c>
      <c r="F74" s="13">
        <v>6.72</v>
      </c>
      <c r="G74" s="9" t="s">
        <v>58</v>
      </c>
      <c r="H74" s="12">
        <v>6</v>
      </c>
      <c r="I74" s="12">
        <v>8</v>
      </c>
      <c r="J74" s="12">
        <v>6</v>
      </c>
      <c r="K74" s="12">
        <v>5</v>
      </c>
      <c r="L74" s="12">
        <v>7</v>
      </c>
      <c r="M74" s="12">
        <v>5</v>
      </c>
      <c r="N74" s="12">
        <v>9</v>
      </c>
      <c r="O74" s="30">
        <v>9.5</v>
      </c>
      <c r="P74" s="31"/>
      <c r="Q74" s="9" t="s">
        <v>37</v>
      </c>
    </row>
    <row r="75" spans="5:17">
      <c r="E75" s="7" t="s">
        <v>59</v>
      </c>
      <c r="F75" s="14">
        <v>6.72</v>
      </c>
      <c r="G75" s="9" t="s">
        <v>60</v>
      </c>
      <c r="H75" s="12">
        <v>24</v>
      </c>
      <c r="I75" s="12">
        <v>32</v>
      </c>
      <c r="J75" s="12">
        <v>24</v>
      </c>
      <c r="K75" s="12">
        <v>15</v>
      </c>
      <c r="L75" s="12">
        <v>21</v>
      </c>
      <c r="M75" s="12">
        <v>15</v>
      </c>
      <c r="N75" s="12">
        <v>18</v>
      </c>
      <c r="O75" s="30">
        <v>19</v>
      </c>
      <c r="P75" s="31"/>
      <c r="Q75" s="11">
        <v>168</v>
      </c>
    </row>
    <row r="76" spans="5:17">
      <c r="E76" s="32" t="s">
        <v>61</v>
      </c>
      <c r="F76" s="31"/>
      <c r="G76" s="9" t="s">
        <v>40</v>
      </c>
      <c r="H76" s="12">
        <v>59</v>
      </c>
      <c r="I76" s="12">
        <v>79</v>
      </c>
      <c r="J76" s="12">
        <v>58</v>
      </c>
      <c r="K76" s="12">
        <v>47</v>
      </c>
      <c r="L76" s="12">
        <v>65</v>
      </c>
      <c r="M76" s="12">
        <v>46</v>
      </c>
      <c r="N76" s="12">
        <v>44</v>
      </c>
      <c r="O76" s="30">
        <v>46</v>
      </c>
      <c r="P76" s="31"/>
      <c r="Q76" s="11">
        <v>444</v>
      </c>
    </row>
    <row r="77" spans="5:17">
      <c r="E77" s="7" t="s">
        <v>62</v>
      </c>
      <c r="F77" s="7"/>
      <c r="G77" s="9" t="s">
        <v>63</v>
      </c>
      <c r="H77" s="12">
        <v>100</v>
      </c>
      <c r="I77" s="12">
        <v>100</v>
      </c>
      <c r="J77" s="12">
        <v>100</v>
      </c>
      <c r="K77" s="12">
        <v>100</v>
      </c>
      <c r="L77" s="12">
        <v>100</v>
      </c>
      <c r="M77" s="12">
        <v>100</v>
      </c>
      <c r="N77" s="12">
        <v>50</v>
      </c>
      <c r="O77" s="30">
        <v>50</v>
      </c>
      <c r="P77" s="31"/>
      <c r="Q77" s="11">
        <v>700</v>
      </c>
    </row>
    <row r="78" spans="5:17">
      <c r="E78" s="32" t="s">
        <v>126</v>
      </c>
      <c r="F78" s="31"/>
      <c r="G78" s="9" t="s">
        <v>65</v>
      </c>
      <c r="H78" s="10" t="s">
        <v>103</v>
      </c>
      <c r="I78" s="10" t="s">
        <v>102</v>
      </c>
      <c r="J78" s="10" t="s">
        <v>103</v>
      </c>
      <c r="K78" s="10" t="s">
        <v>127</v>
      </c>
      <c r="L78" s="10" t="s">
        <v>66</v>
      </c>
      <c r="M78" s="10" t="s">
        <v>127</v>
      </c>
      <c r="N78" s="10" t="s">
        <v>67</v>
      </c>
      <c r="O78" s="30" t="s">
        <v>71</v>
      </c>
      <c r="P78" s="31"/>
      <c r="Q78" s="9" t="s">
        <v>37</v>
      </c>
    </row>
    <row r="79" spans="5:17">
      <c r="E79" s="15" t="s">
        <v>72</v>
      </c>
      <c r="F79" s="15" t="s">
        <v>128</v>
      </c>
      <c r="G79" s="9" t="s">
        <v>74</v>
      </c>
      <c r="H79" s="10" t="s">
        <v>75</v>
      </c>
      <c r="I79" s="10" t="s">
        <v>75</v>
      </c>
      <c r="J79" s="10" t="s">
        <v>75</v>
      </c>
      <c r="K79" s="10" t="s">
        <v>75</v>
      </c>
      <c r="L79" s="10" t="s">
        <v>75</v>
      </c>
      <c r="M79" s="10" t="s">
        <v>75</v>
      </c>
      <c r="N79" s="10" t="s">
        <v>75</v>
      </c>
      <c r="O79" s="30" t="s">
        <v>75</v>
      </c>
      <c r="P79" s="31"/>
      <c r="Q79" s="9" t="s">
        <v>37</v>
      </c>
    </row>
    <row r="80" spans="5:17">
      <c r="E80" s="16" t="s">
        <v>37</v>
      </c>
      <c r="F80" s="16" t="s">
        <v>37</v>
      </c>
      <c r="G80" s="16" t="s">
        <v>37</v>
      </c>
      <c r="H80" s="17" t="s">
        <v>37</v>
      </c>
      <c r="I80" s="17" t="s">
        <v>37</v>
      </c>
      <c r="J80" s="17" t="s">
        <v>37</v>
      </c>
      <c r="K80" s="17" t="s">
        <v>37</v>
      </c>
      <c r="L80" s="17" t="s">
        <v>37</v>
      </c>
      <c r="M80" s="17" t="s">
        <v>37</v>
      </c>
      <c r="N80" s="17" t="s">
        <v>37</v>
      </c>
      <c r="O80" s="41" t="s">
        <v>37</v>
      </c>
      <c r="P80" s="28"/>
      <c r="Q80" s="17" t="s">
        <v>37</v>
      </c>
    </row>
    <row r="81" spans="5:17" ht="0" hidden="1" customHeight="1"/>
    <row r="82" spans="5:17" ht="0.6" customHeight="1"/>
    <row r="83" spans="5:17">
      <c r="E83" s="38" t="s">
        <v>35</v>
      </c>
      <c r="F83" s="31"/>
      <c r="G83" s="4" t="s">
        <v>36</v>
      </c>
      <c r="H83" s="6" t="s">
        <v>37</v>
      </c>
      <c r="I83" s="6" t="s">
        <v>37</v>
      </c>
      <c r="J83" s="6" t="s">
        <v>37</v>
      </c>
      <c r="K83" s="6" t="s">
        <v>37</v>
      </c>
      <c r="L83" s="6" t="s">
        <v>37</v>
      </c>
      <c r="M83" s="6" t="s">
        <v>37</v>
      </c>
      <c r="N83" s="6" t="s">
        <v>37</v>
      </c>
      <c r="O83" s="39" t="s">
        <v>37</v>
      </c>
      <c r="P83" s="28"/>
      <c r="Q83" s="6" t="s">
        <v>37</v>
      </c>
    </row>
    <row r="84" spans="5:17" ht="21">
      <c r="E84" s="32" t="s">
        <v>129</v>
      </c>
      <c r="F84" s="31"/>
      <c r="G84" s="8" t="s">
        <v>39</v>
      </c>
      <c r="H84" s="8" t="s">
        <v>19</v>
      </c>
      <c r="I84" s="8" t="s">
        <v>9</v>
      </c>
      <c r="J84" s="8" t="s">
        <v>21</v>
      </c>
      <c r="K84" s="8" t="s">
        <v>11</v>
      </c>
      <c r="L84" s="8" t="s">
        <v>17</v>
      </c>
      <c r="M84" s="8" t="s">
        <v>27</v>
      </c>
      <c r="N84" s="8" t="s">
        <v>7</v>
      </c>
      <c r="O84" s="40" t="s">
        <v>23</v>
      </c>
      <c r="P84" s="31"/>
      <c r="Q84" s="8" t="s">
        <v>40</v>
      </c>
    </row>
    <row r="85" spans="5:17" ht="22.5">
      <c r="E85" s="7" t="s">
        <v>41</v>
      </c>
      <c r="F85" s="7" t="s">
        <v>130</v>
      </c>
      <c r="G85" s="9" t="s">
        <v>43</v>
      </c>
      <c r="H85" s="10" t="s">
        <v>131</v>
      </c>
      <c r="I85" s="10" t="s">
        <v>132</v>
      </c>
      <c r="J85" s="10" t="s">
        <v>109</v>
      </c>
      <c r="K85" s="10" t="s">
        <v>133</v>
      </c>
      <c r="L85" s="10" t="s">
        <v>134</v>
      </c>
      <c r="M85" s="10" t="s">
        <v>135</v>
      </c>
      <c r="N85" s="10" t="s">
        <v>136</v>
      </c>
      <c r="O85" s="30" t="s">
        <v>51</v>
      </c>
      <c r="P85" s="31"/>
      <c r="Q85" s="9" t="s">
        <v>37</v>
      </c>
    </row>
    <row r="86" spans="5:17">
      <c r="E86" s="32" t="s">
        <v>137</v>
      </c>
      <c r="F86" s="33"/>
      <c r="G86" s="9" t="s">
        <v>53</v>
      </c>
      <c r="H86" s="10" t="s">
        <v>51</v>
      </c>
      <c r="I86" s="10" t="s">
        <v>51</v>
      </c>
      <c r="J86" s="10" t="s">
        <v>51</v>
      </c>
      <c r="K86" s="10" t="s">
        <v>51</v>
      </c>
      <c r="L86" s="10" t="s">
        <v>51</v>
      </c>
      <c r="M86" s="10" t="s">
        <v>51</v>
      </c>
      <c r="N86" s="10" t="s">
        <v>51</v>
      </c>
      <c r="O86" s="30" t="s">
        <v>54</v>
      </c>
      <c r="P86" s="31"/>
      <c r="Q86" s="9" t="s">
        <v>37</v>
      </c>
    </row>
    <row r="87" spans="5:17">
      <c r="E87" s="34"/>
      <c r="F87" s="35"/>
      <c r="G87" s="9" t="s">
        <v>55</v>
      </c>
      <c r="H87" s="10" t="s">
        <v>37</v>
      </c>
      <c r="I87" s="10" t="s">
        <v>37</v>
      </c>
      <c r="J87" s="10" t="s">
        <v>37</v>
      </c>
      <c r="K87" s="10" t="s">
        <v>37</v>
      </c>
      <c r="L87" s="10" t="s">
        <v>37</v>
      </c>
      <c r="M87" s="10" t="s">
        <v>37</v>
      </c>
      <c r="N87" s="10" t="s">
        <v>37</v>
      </c>
      <c r="O87" s="30" t="s">
        <v>37</v>
      </c>
      <c r="P87" s="31"/>
      <c r="Q87" s="11">
        <v>0</v>
      </c>
    </row>
    <row r="88" spans="5:17">
      <c r="E88" s="36"/>
      <c r="F88" s="37"/>
      <c r="G88" s="9" t="s">
        <v>56</v>
      </c>
      <c r="H88" s="12">
        <v>4</v>
      </c>
      <c r="I88" s="12">
        <v>4</v>
      </c>
      <c r="J88" s="12">
        <v>4</v>
      </c>
      <c r="K88" s="12">
        <v>3</v>
      </c>
      <c r="L88" s="12">
        <v>3</v>
      </c>
      <c r="M88" s="12">
        <v>3</v>
      </c>
      <c r="N88" s="12">
        <v>2</v>
      </c>
      <c r="O88" s="30">
        <v>2</v>
      </c>
      <c r="P88" s="31"/>
      <c r="Q88" s="11">
        <v>25</v>
      </c>
    </row>
    <row r="89" spans="5:17">
      <c r="E89" s="7" t="s">
        <v>57</v>
      </c>
      <c r="F89" s="13">
        <v>6.52</v>
      </c>
      <c r="G89" s="9" t="s">
        <v>58</v>
      </c>
      <c r="H89" s="12">
        <v>6.5</v>
      </c>
      <c r="I89" s="12">
        <v>7.5</v>
      </c>
      <c r="J89" s="12">
        <v>6</v>
      </c>
      <c r="K89" s="12">
        <v>5.5</v>
      </c>
      <c r="L89" s="12">
        <v>6.5</v>
      </c>
      <c r="M89" s="12">
        <v>6</v>
      </c>
      <c r="N89" s="12">
        <v>5</v>
      </c>
      <c r="O89" s="30">
        <v>9.5</v>
      </c>
      <c r="P89" s="31"/>
      <c r="Q89" s="9" t="s">
        <v>37</v>
      </c>
    </row>
    <row r="90" spans="5:17">
      <c r="E90" s="7" t="s">
        <v>59</v>
      </c>
      <c r="F90" s="14">
        <v>6.52</v>
      </c>
      <c r="G90" s="9" t="s">
        <v>60</v>
      </c>
      <c r="H90" s="12">
        <v>26</v>
      </c>
      <c r="I90" s="12">
        <v>30</v>
      </c>
      <c r="J90" s="12">
        <v>24</v>
      </c>
      <c r="K90" s="12">
        <v>16.5</v>
      </c>
      <c r="L90" s="12">
        <v>19.5</v>
      </c>
      <c r="M90" s="12">
        <v>18</v>
      </c>
      <c r="N90" s="12">
        <v>10</v>
      </c>
      <c r="O90" s="30">
        <v>19</v>
      </c>
      <c r="P90" s="31"/>
      <c r="Q90" s="11">
        <v>163</v>
      </c>
    </row>
    <row r="91" spans="5:17">
      <c r="E91" s="32" t="s">
        <v>61</v>
      </c>
      <c r="F91" s="31"/>
      <c r="G91" s="9" t="s">
        <v>40</v>
      </c>
      <c r="H91" s="12">
        <v>64</v>
      </c>
      <c r="I91" s="12">
        <v>73</v>
      </c>
      <c r="J91" s="12">
        <v>58</v>
      </c>
      <c r="K91" s="12">
        <v>52</v>
      </c>
      <c r="L91" s="12">
        <v>61</v>
      </c>
      <c r="M91" s="12">
        <v>56</v>
      </c>
      <c r="N91" s="12">
        <v>24</v>
      </c>
      <c r="O91" s="30">
        <v>45</v>
      </c>
      <c r="P91" s="31"/>
      <c r="Q91" s="11">
        <v>433</v>
      </c>
    </row>
    <row r="92" spans="5:17">
      <c r="E92" s="7" t="s">
        <v>62</v>
      </c>
      <c r="F92" s="7"/>
      <c r="G92" s="9" t="s">
        <v>63</v>
      </c>
      <c r="H92" s="12">
        <v>100</v>
      </c>
      <c r="I92" s="12">
        <v>100</v>
      </c>
      <c r="J92" s="12">
        <v>100</v>
      </c>
      <c r="K92" s="12">
        <v>100</v>
      </c>
      <c r="L92" s="12">
        <v>100</v>
      </c>
      <c r="M92" s="12">
        <v>100</v>
      </c>
      <c r="N92" s="12">
        <v>50</v>
      </c>
      <c r="O92" s="30">
        <v>50</v>
      </c>
      <c r="P92" s="31"/>
      <c r="Q92" s="11">
        <v>700</v>
      </c>
    </row>
    <row r="93" spans="5:17">
      <c r="E93" s="32" t="s">
        <v>126</v>
      </c>
      <c r="F93" s="31"/>
      <c r="G93" s="9" t="s">
        <v>65</v>
      </c>
      <c r="H93" s="10" t="s">
        <v>69</v>
      </c>
      <c r="I93" s="10" t="s">
        <v>68</v>
      </c>
      <c r="J93" s="10" t="s">
        <v>103</v>
      </c>
      <c r="K93" s="10" t="s">
        <v>138</v>
      </c>
      <c r="L93" s="10" t="s">
        <v>69</v>
      </c>
      <c r="M93" s="10" t="s">
        <v>103</v>
      </c>
      <c r="N93" s="10" t="s">
        <v>127</v>
      </c>
      <c r="O93" s="30" t="s">
        <v>71</v>
      </c>
      <c r="P93" s="31"/>
      <c r="Q93" s="9" t="s">
        <v>37</v>
      </c>
    </row>
    <row r="94" spans="5:17">
      <c r="E94" s="15" t="s">
        <v>72</v>
      </c>
      <c r="F94" s="15" t="s">
        <v>139</v>
      </c>
      <c r="G94" s="9" t="s">
        <v>74</v>
      </c>
      <c r="H94" s="10" t="s">
        <v>75</v>
      </c>
      <c r="I94" s="10" t="s">
        <v>75</v>
      </c>
      <c r="J94" s="10" t="s">
        <v>75</v>
      </c>
      <c r="K94" s="10" t="s">
        <v>75</v>
      </c>
      <c r="L94" s="10" t="s">
        <v>75</v>
      </c>
      <c r="M94" s="10" t="s">
        <v>75</v>
      </c>
      <c r="N94" s="10" t="s">
        <v>75</v>
      </c>
      <c r="O94" s="30" t="s">
        <v>75</v>
      </c>
      <c r="P94" s="31"/>
      <c r="Q94" s="9" t="s">
        <v>37</v>
      </c>
    </row>
    <row r="95" spans="5:17">
      <c r="E95" s="16" t="s">
        <v>37</v>
      </c>
      <c r="F95" s="16" t="s">
        <v>37</v>
      </c>
      <c r="G95" s="16" t="s">
        <v>37</v>
      </c>
      <c r="H95" s="17" t="s">
        <v>37</v>
      </c>
      <c r="I95" s="17" t="s">
        <v>37</v>
      </c>
      <c r="J95" s="17" t="s">
        <v>37</v>
      </c>
      <c r="K95" s="17" t="s">
        <v>37</v>
      </c>
      <c r="L95" s="17" t="s">
        <v>37</v>
      </c>
      <c r="M95" s="17" t="s">
        <v>37</v>
      </c>
      <c r="N95" s="17" t="s">
        <v>37</v>
      </c>
      <c r="O95" s="41" t="s">
        <v>37</v>
      </c>
      <c r="P95" s="28"/>
      <c r="Q95" s="17" t="s">
        <v>37</v>
      </c>
    </row>
    <row r="96" spans="5:17" ht="0" hidden="1" customHeight="1"/>
    <row r="97" spans="5:17" ht="0.6" customHeight="1"/>
    <row r="98" spans="5:17">
      <c r="E98" s="38" t="s">
        <v>35</v>
      </c>
      <c r="F98" s="31"/>
      <c r="G98" s="4" t="s">
        <v>36</v>
      </c>
      <c r="H98" s="6" t="s">
        <v>37</v>
      </c>
      <c r="I98" s="6" t="s">
        <v>37</v>
      </c>
      <c r="J98" s="6" t="s">
        <v>37</v>
      </c>
      <c r="K98" s="6" t="s">
        <v>37</v>
      </c>
      <c r="L98" s="6" t="s">
        <v>37</v>
      </c>
      <c r="M98" s="6" t="s">
        <v>37</v>
      </c>
      <c r="N98" s="6" t="s">
        <v>37</v>
      </c>
      <c r="O98" s="39" t="s">
        <v>37</v>
      </c>
      <c r="P98" s="28"/>
      <c r="Q98" s="6" t="s">
        <v>37</v>
      </c>
    </row>
    <row r="99" spans="5:17" ht="21">
      <c r="E99" s="32" t="s">
        <v>140</v>
      </c>
      <c r="F99" s="31"/>
      <c r="G99" s="8" t="s">
        <v>39</v>
      </c>
      <c r="H99" s="8" t="s">
        <v>19</v>
      </c>
      <c r="I99" s="8" t="s">
        <v>9</v>
      </c>
      <c r="J99" s="8" t="s">
        <v>21</v>
      </c>
      <c r="K99" s="8" t="s">
        <v>11</v>
      </c>
      <c r="L99" s="8" t="s">
        <v>17</v>
      </c>
      <c r="M99" s="8" t="s">
        <v>27</v>
      </c>
      <c r="N99" s="8" t="s">
        <v>7</v>
      </c>
      <c r="O99" s="40" t="s">
        <v>23</v>
      </c>
      <c r="P99" s="31"/>
      <c r="Q99" s="8" t="s">
        <v>40</v>
      </c>
    </row>
    <row r="100" spans="5:17" ht="22.5">
      <c r="E100" s="7" t="s">
        <v>41</v>
      </c>
      <c r="F100" s="7" t="s">
        <v>141</v>
      </c>
      <c r="G100" s="9" t="s">
        <v>43</v>
      </c>
      <c r="H100" s="10" t="s">
        <v>131</v>
      </c>
      <c r="I100" s="10" t="s">
        <v>142</v>
      </c>
      <c r="J100" s="10" t="s">
        <v>143</v>
      </c>
      <c r="K100" s="10" t="s">
        <v>144</v>
      </c>
      <c r="L100" s="10" t="s">
        <v>145</v>
      </c>
      <c r="M100" s="10" t="s">
        <v>146</v>
      </c>
      <c r="N100" s="10" t="s">
        <v>147</v>
      </c>
      <c r="O100" s="30" t="s">
        <v>51</v>
      </c>
      <c r="P100" s="31"/>
      <c r="Q100" s="9" t="s">
        <v>37</v>
      </c>
    </row>
    <row r="101" spans="5:17">
      <c r="E101" s="32" t="s">
        <v>148</v>
      </c>
      <c r="F101" s="33"/>
      <c r="G101" s="9" t="s">
        <v>53</v>
      </c>
      <c r="H101" s="10" t="s">
        <v>51</v>
      </c>
      <c r="I101" s="10" t="s">
        <v>51</v>
      </c>
      <c r="J101" s="10" t="s">
        <v>51</v>
      </c>
      <c r="K101" s="10" t="s">
        <v>51</v>
      </c>
      <c r="L101" s="10" t="s">
        <v>51</v>
      </c>
      <c r="M101" s="10" t="s">
        <v>51</v>
      </c>
      <c r="N101" s="10" t="s">
        <v>51</v>
      </c>
      <c r="O101" s="30" t="s">
        <v>125</v>
      </c>
      <c r="P101" s="31"/>
      <c r="Q101" s="9" t="s">
        <v>37</v>
      </c>
    </row>
    <row r="102" spans="5:17">
      <c r="E102" s="34"/>
      <c r="F102" s="35"/>
      <c r="G102" s="9" t="s">
        <v>55</v>
      </c>
      <c r="H102" s="10" t="s">
        <v>37</v>
      </c>
      <c r="I102" s="10" t="s">
        <v>37</v>
      </c>
      <c r="J102" s="10" t="s">
        <v>37</v>
      </c>
      <c r="K102" s="10" t="s">
        <v>37</v>
      </c>
      <c r="L102" s="10" t="s">
        <v>37</v>
      </c>
      <c r="M102" s="10" t="s">
        <v>37</v>
      </c>
      <c r="N102" s="10" t="s">
        <v>37</v>
      </c>
      <c r="O102" s="30" t="s">
        <v>37</v>
      </c>
      <c r="P102" s="31"/>
      <c r="Q102" s="11">
        <v>0</v>
      </c>
    </row>
    <row r="103" spans="5:17">
      <c r="E103" s="36"/>
      <c r="F103" s="37"/>
      <c r="G103" s="9" t="s">
        <v>56</v>
      </c>
      <c r="H103" s="12">
        <v>4</v>
      </c>
      <c r="I103" s="12">
        <v>4</v>
      </c>
      <c r="J103" s="12">
        <v>4</v>
      </c>
      <c r="K103" s="12">
        <v>3</v>
      </c>
      <c r="L103" s="12">
        <v>3</v>
      </c>
      <c r="M103" s="12">
        <v>3</v>
      </c>
      <c r="N103" s="12">
        <v>2</v>
      </c>
      <c r="O103" s="30">
        <v>2</v>
      </c>
      <c r="P103" s="31"/>
      <c r="Q103" s="11">
        <v>25</v>
      </c>
    </row>
    <row r="104" spans="5:17">
      <c r="E104" s="7" t="s">
        <v>57</v>
      </c>
      <c r="F104" s="13">
        <v>7.42</v>
      </c>
      <c r="G104" s="9" t="s">
        <v>58</v>
      </c>
      <c r="H104" s="12">
        <v>6.5</v>
      </c>
      <c r="I104" s="12">
        <v>7</v>
      </c>
      <c r="J104" s="12">
        <v>7</v>
      </c>
      <c r="K104" s="12">
        <v>6</v>
      </c>
      <c r="L104" s="12">
        <v>8</v>
      </c>
      <c r="M104" s="12">
        <v>7.5</v>
      </c>
      <c r="N104" s="12">
        <v>10</v>
      </c>
      <c r="O104" s="30">
        <v>9.5</v>
      </c>
      <c r="P104" s="31"/>
      <c r="Q104" s="9" t="s">
        <v>37</v>
      </c>
    </row>
    <row r="105" spans="5:17">
      <c r="E105" s="7" t="s">
        <v>59</v>
      </c>
      <c r="F105" s="14">
        <v>7.42</v>
      </c>
      <c r="G105" s="9" t="s">
        <v>60</v>
      </c>
      <c r="H105" s="12">
        <v>26</v>
      </c>
      <c r="I105" s="12">
        <v>28</v>
      </c>
      <c r="J105" s="12">
        <v>28</v>
      </c>
      <c r="K105" s="12">
        <v>18</v>
      </c>
      <c r="L105" s="12">
        <v>24</v>
      </c>
      <c r="M105" s="12">
        <v>22.5</v>
      </c>
      <c r="N105" s="12">
        <v>20</v>
      </c>
      <c r="O105" s="30">
        <v>19</v>
      </c>
      <c r="P105" s="31"/>
      <c r="Q105" s="11">
        <v>185.5</v>
      </c>
    </row>
    <row r="106" spans="5:17">
      <c r="E106" s="32" t="s">
        <v>61</v>
      </c>
      <c r="F106" s="31"/>
      <c r="G106" s="9" t="s">
        <v>40</v>
      </c>
      <c r="H106" s="12">
        <v>64</v>
      </c>
      <c r="I106" s="12">
        <v>68</v>
      </c>
      <c r="J106" s="12">
        <v>65</v>
      </c>
      <c r="K106" s="12">
        <v>58</v>
      </c>
      <c r="L106" s="12">
        <v>75</v>
      </c>
      <c r="M106" s="12">
        <v>73</v>
      </c>
      <c r="N106" s="12">
        <v>48</v>
      </c>
      <c r="O106" s="30">
        <v>46</v>
      </c>
      <c r="P106" s="31"/>
      <c r="Q106" s="11">
        <v>497</v>
      </c>
    </row>
    <row r="107" spans="5:17">
      <c r="E107" s="7" t="s">
        <v>62</v>
      </c>
      <c r="F107" s="7"/>
      <c r="G107" s="9" t="s">
        <v>63</v>
      </c>
      <c r="H107" s="12">
        <v>100</v>
      </c>
      <c r="I107" s="12">
        <v>100</v>
      </c>
      <c r="J107" s="12">
        <v>100</v>
      </c>
      <c r="K107" s="12">
        <v>100</v>
      </c>
      <c r="L107" s="12">
        <v>100</v>
      </c>
      <c r="M107" s="12">
        <v>100</v>
      </c>
      <c r="N107" s="12">
        <v>50</v>
      </c>
      <c r="O107" s="30">
        <v>50</v>
      </c>
      <c r="P107" s="31"/>
      <c r="Q107" s="11">
        <v>700</v>
      </c>
    </row>
    <row r="108" spans="5:17">
      <c r="E108" s="32" t="s">
        <v>101</v>
      </c>
      <c r="F108" s="31"/>
      <c r="G108" s="9" t="s">
        <v>65</v>
      </c>
      <c r="H108" s="10" t="s">
        <v>69</v>
      </c>
      <c r="I108" s="10" t="s">
        <v>66</v>
      </c>
      <c r="J108" s="10" t="s">
        <v>66</v>
      </c>
      <c r="K108" s="10" t="s">
        <v>103</v>
      </c>
      <c r="L108" s="10" t="s">
        <v>102</v>
      </c>
      <c r="M108" s="10" t="s">
        <v>68</v>
      </c>
      <c r="N108" s="10" t="s">
        <v>88</v>
      </c>
      <c r="O108" s="30" t="s">
        <v>71</v>
      </c>
      <c r="P108" s="31"/>
      <c r="Q108" s="9" t="s">
        <v>37</v>
      </c>
    </row>
    <row r="109" spans="5:17">
      <c r="E109" s="15" t="s">
        <v>72</v>
      </c>
      <c r="F109" s="15" t="s">
        <v>149</v>
      </c>
      <c r="G109" s="9" t="s">
        <v>74</v>
      </c>
      <c r="H109" s="10" t="s">
        <v>75</v>
      </c>
      <c r="I109" s="10" t="s">
        <v>75</v>
      </c>
      <c r="J109" s="10" t="s">
        <v>75</v>
      </c>
      <c r="K109" s="10" t="s">
        <v>75</v>
      </c>
      <c r="L109" s="10" t="s">
        <v>75</v>
      </c>
      <c r="M109" s="10" t="s">
        <v>75</v>
      </c>
      <c r="N109" s="10" t="s">
        <v>75</v>
      </c>
      <c r="O109" s="30" t="s">
        <v>75</v>
      </c>
      <c r="P109" s="31"/>
      <c r="Q109" s="9" t="s">
        <v>37</v>
      </c>
    </row>
    <row r="110" spans="5:17">
      <c r="E110" s="16" t="s">
        <v>37</v>
      </c>
      <c r="F110" s="16" t="s">
        <v>37</v>
      </c>
      <c r="G110" s="16" t="s">
        <v>37</v>
      </c>
      <c r="H110" s="17" t="s">
        <v>37</v>
      </c>
      <c r="I110" s="17" t="s">
        <v>37</v>
      </c>
      <c r="J110" s="17" t="s">
        <v>37</v>
      </c>
      <c r="K110" s="17" t="s">
        <v>37</v>
      </c>
      <c r="L110" s="17" t="s">
        <v>37</v>
      </c>
      <c r="M110" s="17" t="s">
        <v>37</v>
      </c>
      <c r="N110" s="17" t="s">
        <v>37</v>
      </c>
      <c r="O110" s="41" t="s">
        <v>37</v>
      </c>
      <c r="P110" s="28"/>
      <c r="Q110" s="17" t="s">
        <v>37</v>
      </c>
    </row>
    <row r="111" spans="5:17" ht="0" hidden="1" customHeight="1"/>
    <row r="112" spans="5:17" ht="0.6" customHeight="1"/>
    <row r="113" spans="5:17">
      <c r="E113" s="38" t="s">
        <v>35</v>
      </c>
      <c r="F113" s="31"/>
      <c r="G113" s="4" t="s">
        <v>36</v>
      </c>
      <c r="H113" s="6" t="s">
        <v>37</v>
      </c>
      <c r="I113" s="6" t="s">
        <v>37</v>
      </c>
      <c r="J113" s="6" t="s">
        <v>37</v>
      </c>
      <c r="K113" s="6" t="s">
        <v>37</v>
      </c>
      <c r="L113" s="6" t="s">
        <v>37</v>
      </c>
      <c r="M113" s="6" t="s">
        <v>37</v>
      </c>
      <c r="N113" s="6" t="s">
        <v>37</v>
      </c>
      <c r="O113" s="39" t="s">
        <v>37</v>
      </c>
      <c r="P113" s="28"/>
      <c r="Q113" s="6" t="s">
        <v>37</v>
      </c>
    </row>
    <row r="114" spans="5:17" ht="21">
      <c r="E114" s="32" t="s">
        <v>150</v>
      </c>
      <c r="F114" s="31"/>
      <c r="G114" s="8" t="s">
        <v>39</v>
      </c>
      <c r="H114" s="8" t="s">
        <v>19</v>
      </c>
      <c r="I114" s="8" t="s">
        <v>9</v>
      </c>
      <c r="J114" s="8" t="s">
        <v>21</v>
      </c>
      <c r="K114" s="8" t="s">
        <v>11</v>
      </c>
      <c r="L114" s="8" t="s">
        <v>17</v>
      </c>
      <c r="M114" s="8" t="s">
        <v>27</v>
      </c>
      <c r="N114" s="8" t="s">
        <v>7</v>
      </c>
      <c r="O114" s="40" t="s">
        <v>25</v>
      </c>
      <c r="P114" s="31"/>
      <c r="Q114" s="8" t="s">
        <v>40</v>
      </c>
    </row>
    <row r="115" spans="5:17" ht="22.5">
      <c r="E115" s="7" t="s">
        <v>41</v>
      </c>
      <c r="F115" s="7" t="s">
        <v>151</v>
      </c>
      <c r="G115" s="9" t="s">
        <v>43</v>
      </c>
      <c r="H115" s="10" t="s">
        <v>152</v>
      </c>
      <c r="I115" s="10" t="s">
        <v>45</v>
      </c>
      <c r="J115" s="10" t="s">
        <v>153</v>
      </c>
      <c r="K115" s="10" t="s">
        <v>154</v>
      </c>
      <c r="L115" s="10" t="s">
        <v>155</v>
      </c>
      <c r="M115" s="10" t="s">
        <v>146</v>
      </c>
      <c r="N115" s="10" t="s">
        <v>123</v>
      </c>
      <c r="O115" s="30" t="s">
        <v>51</v>
      </c>
      <c r="P115" s="31"/>
      <c r="Q115" s="9" t="s">
        <v>37</v>
      </c>
    </row>
    <row r="116" spans="5:17">
      <c r="E116" s="32" t="s">
        <v>156</v>
      </c>
      <c r="F116" s="33"/>
      <c r="G116" s="9" t="s">
        <v>53</v>
      </c>
      <c r="H116" s="10" t="s">
        <v>51</v>
      </c>
      <c r="I116" s="10" t="s">
        <v>51</v>
      </c>
      <c r="J116" s="10" t="s">
        <v>51</v>
      </c>
      <c r="K116" s="10" t="s">
        <v>51</v>
      </c>
      <c r="L116" s="10" t="s">
        <v>51</v>
      </c>
      <c r="M116" s="10" t="s">
        <v>51</v>
      </c>
      <c r="N116" s="10" t="s">
        <v>51</v>
      </c>
      <c r="O116" s="30" t="s">
        <v>125</v>
      </c>
      <c r="P116" s="31"/>
      <c r="Q116" s="9" t="s">
        <v>37</v>
      </c>
    </row>
    <row r="117" spans="5:17">
      <c r="E117" s="34"/>
      <c r="F117" s="35"/>
      <c r="G117" s="9" t="s">
        <v>55</v>
      </c>
      <c r="H117" s="10" t="s">
        <v>37</v>
      </c>
      <c r="I117" s="10" t="s">
        <v>37</v>
      </c>
      <c r="J117" s="10" t="s">
        <v>37</v>
      </c>
      <c r="K117" s="10" t="s">
        <v>37</v>
      </c>
      <c r="L117" s="10" t="s">
        <v>37</v>
      </c>
      <c r="M117" s="10" t="s">
        <v>37</v>
      </c>
      <c r="N117" s="10" t="s">
        <v>37</v>
      </c>
      <c r="O117" s="30" t="s">
        <v>37</v>
      </c>
      <c r="P117" s="31"/>
      <c r="Q117" s="11">
        <v>0</v>
      </c>
    </row>
    <row r="118" spans="5:17">
      <c r="E118" s="36"/>
      <c r="F118" s="37"/>
      <c r="G118" s="9" t="s">
        <v>56</v>
      </c>
      <c r="H118" s="12">
        <v>4</v>
      </c>
      <c r="I118" s="12">
        <v>4</v>
      </c>
      <c r="J118" s="12">
        <v>4</v>
      </c>
      <c r="K118" s="12">
        <v>3</v>
      </c>
      <c r="L118" s="12">
        <v>3</v>
      </c>
      <c r="M118" s="12">
        <v>3</v>
      </c>
      <c r="N118" s="12">
        <v>2</v>
      </c>
      <c r="O118" s="30">
        <v>2</v>
      </c>
      <c r="P118" s="31"/>
      <c r="Q118" s="11">
        <v>25</v>
      </c>
    </row>
    <row r="119" spans="5:17">
      <c r="E119" s="7" t="s">
        <v>57</v>
      </c>
      <c r="F119" s="13">
        <v>7.72</v>
      </c>
      <c r="G119" s="9" t="s">
        <v>58</v>
      </c>
      <c r="H119" s="12">
        <v>7</v>
      </c>
      <c r="I119" s="12">
        <v>9</v>
      </c>
      <c r="J119" s="12">
        <v>6.5</v>
      </c>
      <c r="K119" s="12">
        <v>6</v>
      </c>
      <c r="L119" s="12">
        <v>8.5</v>
      </c>
      <c r="M119" s="12">
        <v>7.5</v>
      </c>
      <c r="N119" s="12">
        <v>9</v>
      </c>
      <c r="O119" s="30">
        <v>9.5</v>
      </c>
      <c r="P119" s="31"/>
      <c r="Q119" s="9" t="s">
        <v>37</v>
      </c>
    </row>
    <row r="120" spans="5:17">
      <c r="E120" s="7" t="s">
        <v>59</v>
      </c>
      <c r="F120" s="14">
        <v>7.72</v>
      </c>
      <c r="G120" s="9" t="s">
        <v>60</v>
      </c>
      <c r="H120" s="12">
        <v>28</v>
      </c>
      <c r="I120" s="12">
        <v>36</v>
      </c>
      <c r="J120" s="12">
        <v>26</v>
      </c>
      <c r="K120" s="12">
        <v>18</v>
      </c>
      <c r="L120" s="12">
        <v>25.5</v>
      </c>
      <c r="M120" s="12">
        <v>22.5</v>
      </c>
      <c r="N120" s="12">
        <v>18</v>
      </c>
      <c r="O120" s="30">
        <v>19</v>
      </c>
      <c r="P120" s="31"/>
      <c r="Q120" s="11">
        <v>193</v>
      </c>
    </row>
    <row r="121" spans="5:17">
      <c r="E121" s="32" t="s">
        <v>61</v>
      </c>
      <c r="F121" s="31"/>
      <c r="G121" s="9" t="s">
        <v>40</v>
      </c>
      <c r="H121" s="12">
        <v>68</v>
      </c>
      <c r="I121" s="12">
        <v>89</v>
      </c>
      <c r="J121" s="12">
        <v>64</v>
      </c>
      <c r="K121" s="12">
        <v>55</v>
      </c>
      <c r="L121" s="12">
        <v>82</v>
      </c>
      <c r="M121" s="12">
        <v>73</v>
      </c>
      <c r="N121" s="12">
        <v>44</v>
      </c>
      <c r="O121" s="30">
        <v>46</v>
      </c>
      <c r="P121" s="31"/>
      <c r="Q121" s="11">
        <v>521</v>
      </c>
    </row>
    <row r="122" spans="5:17">
      <c r="E122" s="7" t="s">
        <v>62</v>
      </c>
      <c r="F122" s="7"/>
      <c r="G122" s="9" t="s">
        <v>63</v>
      </c>
      <c r="H122" s="12">
        <v>100</v>
      </c>
      <c r="I122" s="12">
        <v>100</v>
      </c>
      <c r="J122" s="12">
        <v>100</v>
      </c>
      <c r="K122" s="12">
        <v>100</v>
      </c>
      <c r="L122" s="12">
        <v>100</v>
      </c>
      <c r="M122" s="12">
        <v>100</v>
      </c>
      <c r="N122" s="12">
        <v>50</v>
      </c>
      <c r="O122" s="30">
        <v>50</v>
      </c>
      <c r="P122" s="31"/>
      <c r="Q122" s="11">
        <v>700</v>
      </c>
    </row>
    <row r="123" spans="5:17">
      <c r="E123" s="32" t="s">
        <v>64</v>
      </c>
      <c r="F123" s="31"/>
      <c r="G123" s="9" t="s">
        <v>65</v>
      </c>
      <c r="H123" s="10" t="s">
        <v>66</v>
      </c>
      <c r="I123" s="10" t="s">
        <v>67</v>
      </c>
      <c r="J123" s="10" t="s">
        <v>69</v>
      </c>
      <c r="K123" s="10" t="s">
        <v>103</v>
      </c>
      <c r="L123" s="10" t="s">
        <v>70</v>
      </c>
      <c r="M123" s="10" t="s">
        <v>68</v>
      </c>
      <c r="N123" s="10" t="s">
        <v>67</v>
      </c>
      <c r="O123" s="30" t="s">
        <v>71</v>
      </c>
      <c r="P123" s="31"/>
      <c r="Q123" s="9" t="s">
        <v>37</v>
      </c>
    </row>
    <row r="124" spans="5:17">
      <c r="E124" s="15" t="s">
        <v>72</v>
      </c>
      <c r="F124" s="15" t="s">
        <v>157</v>
      </c>
      <c r="G124" s="9" t="s">
        <v>74</v>
      </c>
      <c r="H124" s="10" t="s">
        <v>75</v>
      </c>
      <c r="I124" s="10" t="s">
        <v>75</v>
      </c>
      <c r="J124" s="10" t="s">
        <v>75</v>
      </c>
      <c r="K124" s="10" t="s">
        <v>75</v>
      </c>
      <c r="L124" s="10" t="s">
        <v>75</v>
      </c>
      <c r="M124" s="10" t="s">
        <v>75</v>
      </c>
      <c r="N124" s="10" t="s">
        <v>75</v>
      </c>
      <c r="O124" s="30" t="s">
        <v>75</v>
      </c>
      <c r="P124" s="31"/>
      <c r="Q124" s="9" t="s">
        <v>37</v>
      </c>
    </row>
    <row r="125" spans="5:17">
      <c r="E125" s="16" t="s">
        <v>37</v>
      </c>
      <c r="F125" s="16" t="s">
        <v>37</v>
      </c>
      <c r="G125" s="16" t="s">
        <v>37</v>
      </c>
      <c r="H125" s="17" t="s">
        <v>37</v>
      </c>
      <c r="I125" s="17" t="s">
        <v>37</v>
      </c>
      <c r="J125" s="17" t="s">
        <v>37</v>
      </c>
      <c r="K125" s="17" t="s">
        <v>37</v>
      </c>
      <c r="L125" s="17" t="s">
        <v>37</v>
      </c>
      <c r="M125" s="17" t="s">
        <v>37</v>
      </c>
      <c r="N125" s="17" t="s">
        <v>37</v>
      </c>
      <c r="O125" s="41" t="s">
        <v>37</v>
      </c>
      <c r="P125" s="28"/>
      <c r="Q125" s="17" t="s">
        <v>37</v>
      </c>
    </row>
    <row r="126" spans="5:17" ht="0" hidden="1" customHeight="1"/>
    <row r="127" spans="5:17" ht="0.6" customHeight="1"/>
    <row r="128" spans="5:17">
      <c r="E128" s="38" t="s">
        <v>35</v>
      </c>
      <c r="F128" s="31"/>
      <c r="G128" s="4" t="s">
        <v>36</v>
      </c>
      <c r="H128" s="6" t="s">
        <v>37</v>
      </c>
      <c r="I128" s="6" t="s">
        <v>37</v>
      </c>
      <c r="J128" s="6" t="s">
        <v>37</v>
      </c>
      <c r="K128" s="6" t="s">
        <v>37</v>
      </c>
      <c r="L128" s="6" t="s">
        <v>37</v>
      </c>
      <c r="M128" s="6" t="s">
        <v>37</v>
      </c>
      <c r="N128" s="6" t="s">
        <v>37</v>
      </c>
      <c r="O128" s="39" t="s">
        <v>37</v>
      </c>
      <c r="P128" s="28"/>
      <c r="Q128" s="6" t="s">
        <v>37</v>
      </c>
    </row>
    <row r="129" spans="5:17" ht="21">
      <c r="E129" s="32" t="s">
        <v>158</v>
      </c>
      <c r="F129" s="31"/>
      <c r="G129" s="8" t="s">
        <v>39</v>
      </c>
      <c r="H129" s="8" t="s">
        <v>19</v>
      </c>
      <c r="I129" s="8" t="s">
        <v>9</v>
      </c>
      <c r="J129" s="8" t="s">
        <v>21</v>
      </c>
      <c r="K129" s="8" t="s">
        <v>11</v>
      </c>
      <c r="L129" s="8" t="s">
        <v>17</v>
      </c>
      <c r="M129" s="8" t="s">
        <v>27</v>
      </c>
      <c r="N129" s="8" t="s">
        <v>7</v>
      </c>
      <c r="O129" s="40" t="s">
        <v>25</v>
      </c>
      <c r="P129" s="31"/>
      <c r="Q129" s="8" t="s">
        <v>40</v>
      </c>
    </row>
    <row r="130" spans="5:17" ht="22.5">
      <c r="E130" s="7" t="s">
        <v>41</v>
      </c>
      <c r="F130" s="7" t="s">
        <v>159</v>
      </c>
      <c r="G130" s="9" t="s">
        <v>43</v>
      </c>
      <c r="H130" s="10" t="s">
        <v>160</v>
      </c>
      <c r="I130" s="10" t="s">
        <v>161</v>
      </c>
      <c r="J130" s="10" t="s">
        <v>162</v>
      </c>
      <c r="K130" s="10" t="s">
        <v>163</v>
      </c>
      <c r="L130" s="10" t="s">
        <v>164</v>
      </c>
      <c r="M130" s="10" t="s">
        <v>165</v>
      </c>
      <c r="N130" s="10" t="s">
        <v>166</v>
      </c>
      <c r="O130" s="30" t="s">
        <v>51</v>
      </c>
      <c r="P130" s="31"/>
      <c r="Q130" s="9" t="s">
        <v>37</v>
      </c>
    </row>
    <row r="131" spans="5:17">
      <c r="E131" s="32" t="s">
        <v>167</v>
      </c>
      <c r="F131" s="33"/>
      <c r="G131" s="9" t="s">
        <v>53</v>
      </c>
      <c r="H131" s="10" t="s">
        <v>51</v>
      </c>
      <c r="I131" s="10" t="s">
        <v>51</v>
      </c>
      <c r="J131" s="10" t="s">
        <v>51</v>
      </c>
      <c r="K131" s="10" t="s">
        <v>51</v>
      </c>
      <c r="L131" s="10" t="s">
        <v>51</v>
      </c>
      <c r="M131" s="10" t="s">
        <v>51</v>
      </c>
      <c r="N131" s="10" t="s">
        <v>51</v>
      </c>
      <c r="O131" s="30" t="s">
        <v>54</v>
      </c>
      <c r="P131" s="31"/>
      <c r="Q131" s="9" t="s">
        <v>37</v>
      </c>
    </row>
    <row r="132" spans="5:17">
      <c r="E132" s="34"/>
      <c r="F132" s="35"/>
      <c r="G132" s="9" t="s">
        <v>55</v>
      </c>
      <c r="H132" s="10" t="s">
        <v>37</v>
      </c>
      <c r="I132" s="10" t="s">
        <v>37</v>
      </c>
      <c r="J132" s="10" t="s">
        <v>37</v>
      </c>
      <c r="K132" s="10" t="s">
        <v>37</v>
      </c>
      <c r="L132" s="10" t="s">
        <v>37</v>
      </c>
      <c r="M132" s="10" t="s">
        <v>37</v>
      </c>
      <c r="N132" s="10" t="s">
        <v>37</v>
      </c>
      <c r="O132" s="30" t="s">
        <v>37</v>
      </c>
      <c r="P132" s="31"/>
      <c r="Q132" s="11">
        <v>0</v>
      </c>
    </row>
    <row r="133" spans="5:17">
      <c r="E133" s="36"/>
      <c r="F133" s="37"/>
      <c r="G133" s="9" t="s">
        <v>56</v>
      </c>
      <c r="H133" s="12">
        <v>4</v>
      </c>
      <c r="I133" s="12">
        <v>4</v>
      </c>
      <c r="J133" s="12">
        <v>4</v>
      </c>
      <c r="K133" s="12">
        <v>3</v>
      </c>
      <c r="L133" s="12">
        <v>3</v>
      </c>
      <c r="M133" s="12">
        <v>3</v>
      </c>
      <c r="N133" s="12">
        <v>2</v>
      </c>
      <c r="O133" s="30">
        <v>2</v>
      </c>
      <c r="P133" s="31"/>
      <c r="Q133" s="11">
        <v>25</v>
      </c>
    </row>
    <row r="134" spans="5:17">
      <c r="E134" s="7" t="s">
        <v>57</v>
      </c>
      <c r="F134" s="13">
        <v>7.74</v>
      </c>
      <c r="G134" s="9" t="s">
        <v>58</v>
      </c>
      <c r="H134" s="12">
        <v>7.5</v>
      </c>
      <c r="I134" s="12">
        <v>8.5</v>
      </c>
      <c r="J134" s="12">
        <v>6.5</v>
      </c>
      <c r="K134" s="12">
        <v>5.5</v>
      </c>
      <c r="L134" s="12">
        <v>9</v>
      </c>
      <c r="M134" s="12">
        <v>7</v>
      </c>
      <c r="N134" s="12">
        <v>10</v>
      </c>
      <c r="O134" s="30">
        <v>9.5</v>
      </c>
      <c r="P134" s="31"/>
      <c r="Q134" s="9" t="s">
        <v>37</v>
      </c>
    </row>
    <row r="135" spans="5:17">
      <c r="E135" s="7" t="s">
        <v>59</v>
      </c>
      <c r="F135" s="14">
        <v>7.74</v>
      </c>
      <c r="G135" s="9" t="s">
        <v>60</v>
      </c>
      <c r="H135" s="12">
        <v>30</v>
      </c>
      <c r="I135" s="12">
        <v>34</v>
      </c>
      <c r="J135" s="12">
        <v>26</v>
      </c>
      <c r="K135" s="12">
        <v>16.5</v>
      </c>
      <c r="L135" s="12">
        <v>27</v>
      </c>
      <c r="M135" s="12">
        <v>21</v>
      </c>
      <c r="N135" s="12">
        <v>20</v>
      </c>
      <c r="O135" s="30">
        <v>19</v>
      </c>
      <c r="P135" s="31"/>
      <c r="Q135" s="11">
        <v>193.5</v>
      </c>
    </row>
    <row r="136" spans="5:17">
      <c r="E136" s="32" t="s">
        <v>61</v>
      </c>
      <c r="F136" s="31"/>
      <c r="G136" s="9" t="s">
        <v>40</v>
      </c>
      <c r="H136" s="12">
        <v>70</v>
      </c>
      <c r="I136" s="12">
        <v>81</v>
      </c>
      <c r="J136" s="12">
        <v>64</v>
      </c>
      <c r="K136" s="12">
        <v>53</v>
      </c>
      <c r="L136" s="12">
        <v>85</v>
      </c>
      <c r="M136" s="12">
        <v>65</v>
      </c>
      <c r="N136" s="12">
        <v>49</v>
      </c>
      <c r="O136" s="30">
        <v>45</v>
      </c>
      <c r="P136" s="31"/>
      <c r="Q136" s="11">
        <v>512</v>
      </c>
    </row>
    <row r="137" spans="5:17">
      <c r="E137" s="7" t="s">
        <v>62</v>
      </c>
      <c r="F137" s="7"/>
      <c r="G137" s="9" t="s">
        <v>63</v>
      </c>
      <c r="H137" s="12">
        <v>100</v>
      </c>
      <c r="I137" s="12">
        <v>100</v>
      </c>
      <c r="J137" s="12">
        <v>100</v>
      </c>
      <c r="K137" s="12">
        <v>100</v>
      </c>
      <c r="L137" s="12">
        <v>100</v>
      </c>
      <c r="M137" s="12">
        <v>100</v>
      </c>
      <c r="N137" s="12">
        <v>50</v>
      </c>
      <c r="O137" s="30">
        <v>50</v>
      </c>
      <c r="P137" s="31"/>
      <c r="Q137" s="11">
        <v>700</v>
      </c>
    </row>
    <row r="138" spans="5:17">
      <c r="E138" s="32" t="s">
        <v>64</v>
      </c>
      <c r="F138" s="31"/>
      <c r="G138" s="9" t="s">
        <v>65</v>
      </c>
      <c r="H138" s="10" t="s">
        <v>68</v>
      </c>
      <c r="I138" s="10" t="s">
        <v>70</v>
      </c>
      <c r="J138" s="10" t="s">
        <v>69</v>
      </c>
      <c r="K138" s="10" t="s">
        <v>138</v>
      </c>
      <c r="L138" s="10" t="s">
        <v>67</v>
      </c>
      <c r="M138" s="10" t="s">
        <v>66</v>
      </c>
      <c r="N138" s="10" t="s">
        <v>88</v>
      </c>
      <c r="O138" s="30" t="s">
        <v>71</v>
      </c>
      <c r="P138" s="31"/>
      <c r="Q138" s="9" t="s">
        <v>37</v>
      </c>
    </row>
    <row r="139" spans="5:17">
      <c r="E139" s="15" t="s">
        <v>72</v>
      </c>
      <c r="F139" s="15" t="s">
        <v>168</v>
      </c>
      <c r="G139" s="9" t="s">
        <v>74</v>
      </c>
      <c r="H139" s="10" t="s">
        <v>75</v>
      </c>
      <c r="I139" s="10" t="s">
        <v>75</v>
      </c>
      <c r="J139" s="10" t="s">
        <v>75</v>
      </c>
      <c r="K139" s="10" t="s">
        <v>75</v>
      </c>
      <c r="L139" s="10" t="s">
        <v>75</v>
      </c>
      <c r="M139" s="10" t="s">
        <v>75</v>
      </c>
      <c r="N139" s="10" t="s">
        <v>75</v>
      </c>
      <c r="O139" s="30" t="s">
        <v>75</v>
      </c>
      <c r="P139" s="31"/>
      <c r="Q139" s="9" t="s">
        <v>37</v>
      </c>
    </row>
    <row r="140" spans="5:17">
      <c r="E140" s="16" t="s">
        <v>37</v>
      </c>
      <c r="F140" s="16" t="s">
        <v>37</v>
      </c>
      <c r="G140" s="16" t="s">
        <v>37</v>
      </c>
      <c r="H140" s="17" t="s">
        <v>37</v>
      </c>
      <c r="I140" s="17" t="s">
        <v>37</v>
      </c>
      <c r="J140" s="17" t="s">
        <v>37</v>
      </c>
      <c r="K140" s="17" t="s">
        <v>37</v>
      </c>
      <c r="L140" s="17" t="s">
        <v>37</v>
      </c>
      <c r="M140" s="17" t="s">
        <v>37</v>
      </c>
      <c r="N140" s="17" t="s">
        <v>37</v>
      </c>
      <c r="O140" s="41" t="s">
        <v>37</v>
      </c>
      <c r="P140" s="28"/>
      <c r="Q140" s="17" t="s">
        <v>37</v>
      </c>
    </row>
    <row r="141" spans="5:17" ht="0" hidden="1" customHeight="1"/>
    <row r="142" spans="5:17" ht="0.6" customHeight="1"/>
    <row r="143" spans="5:17">
      <c r="E143" s="38" t="s">
        <v>35</v>
      </c>
      <c r="F143" s="31"/>
      <c r="G143" s="4" t="s">
        <v>36</v>
      </c>
      <c r="H143" s="6" t="s">
        <v>37</v>
      </c>
      <c r="I143" s="6" t="s">
        <v>37</v>
      </c>
      <c r="J143" s="6" t="s">
        <v>37</v>
      </c>
      <c r="K143" s="6" t="s">
        <v>37</v>
      </c>
      <c r="L143" s="6" t="s">
        <v>37</v>
      </c>
      <c r="M143" s="6" t="s">
        <v>37</v>
      </c>
      <c r="N143" s="6" t="s">
        <v>37</v>
      </c>
      <c r="O143" s="39" t="s">
        <v>37</v>
      </c>
      <c r="P143" s="28"/>
      <c r="Q143" s="6" t="s">
        <v>37</v>
      </c>
    </row>
    <row r="144" spans="5:17" ht="21">
      <c r="E144" s="32" t="s">
        <v>169</v>
      </c>
      <c r="F144" s="31"/>
      <c r="G144" s="8" t="s">
        <v>39</v>
      </c>
      <c r="H144" s="8" t="s">
        <v>19</v>
      </c>
      <c r="I144" s="8" t="s">
        <v>9</v>
      </c>
      <c r="J144" s="8" t="s">
        <v>21</v>
      </c>
      <c r="K144" s="8" t="s">
        <v>11</v>
      </c>
      <c r="L144" s="8" t="s">
        <v>17</v>
      </c>
      <c r="M144" s="8" t="s">
        <v>27</v>
      </c>
      <c r="N144" s="8" t="s">
        <v>7</v>
      </c>
      <c r="O144" s="40" t="s">
        <v>23</v>
      </c>
      <c r="P144" s="31"/>
      <c r="Q144" s="8" t="s">
        <v>40</v>
      </c>
    </row>
    <row r="145" spans="5:17" ht="22.5">
      <c r="E145" s="7" t="s">
        <v>41</v>
      </c>
      <c r="F145" s="7" t="s">
        <v>170</v>
      </c>
      <c r="G145" s="9" t="s">
        <v>43</v>
      </c>
      <c r="H145" s="10" t="s">
        <v>171</v>
      </c>
      <c r="I145" s="10" t="s">
        <v>172</v>
      </c>
      <c r="J145" s="10" t="s">
        <v>173</v>
      </c>
      <c r="K145" s="10" t="s">
        <v>174</v>
      </c>
      <c r="L145" s="10" t="s">
        <v>131</v>
      </c>
      <c r="M145" s="10" t="s">
        <v>175</v>
      </c>
      <c r="N145" s="10" t="s">
        <v>176</v>
      </c>
      <c r="O145" s="30" t="s">
        <v>51</v>
      </c>
      <c r="P145" s="31"/>
      <c r="Q145" s="9" t="s">
        <v>37</v>
      </c>
    </row>
    <row r="146" spans="5:17">
      <c r="E146" s="32" t="s">
        <v>177</v>
      </c>
      <c r="F146" s="33"/>
      <c r="G146" s="9" t="s">
        <v>53</v>
      </c>
      <c r="H146" s="10" t="s">
        <v>51</v>
      </c>
      <c r="I146" s="10" t="s">
        <v>51</v>
      </c>
      <c r="J146" s="10" t="s">
        <v>51</v>
      </c>
      <c r="K146" s="10" t="s">
        <v>51</v>
      </c>
      <c r="L146" s="10" t="s">
        <v>51</v>
      </c>
      <c r="M146" s="10" t="s">
        <v>51</v>
      </c>
      <c r="N146" s="10" t="s">
        <v>51</v>
      </c>
      <c r="O146" s="30" t="s">
        <v>178</v>
      </c>
      <c r="P146" s="31"/>
      <c r="Q146" s="9" t="s">
        <v>37</v>
      </c>
    </row>
    <row r="147" spans="5:17">
      <c r="E147" s="34"/>
      <c r="F147" s="35"/>
      <c r="G147" s="9" t="s">
        <v>55</v>
      </c>
      <c r="H147" s="10" t="s">
        <v>37</v>
      </c>
      <c r="I147" s="10" t="s">
        <v>37</v>
      </c>
      <c r="J147" s="10" t="s">
        <v>37</v>
      </c>
      <c r="K147" s="10" t="s">
        <v>37</v>
      </c>
      <c r="L147" s="10" t="s">
        <v>37</v>
      </c>
      <c r="M147" s="10" t="s">
        <v>37</v>
      </c>
      <c r="N147" s="10" t="s">
        <v>37</v>
      </c>
      <c r="O147" s="30" t="s">
        <v>37</v>
      </c>
      <c r="P147" s="31"/>
      <c r="Q147" s="11">
        <v>0</v>
      </c>
    </row>
    <row r="148" spans="5:17">
      <c r="E148" s="36"/>
      <c r="F148" s="37"/>
      <c r="G148" s="9" t="s">
        <v>56</v>
      </c>
      <c r="H148" s="12">
        <v>4</v>
      </c>
      <c r="I148" s="12">
        <v>4</v>
      </c>
      <c r="J148" s="12">
        <v>4</v>
      </c>
      <c r="K148" s="12">
        <v>3</v>
      </c>
      <c r="L148" s="12">
        <v>3</v>
      </c>
      <c r="M148" s="12">
        <v>3</v>
      </c>
      <c r="N148" s="12">
        <v>2</v>
      </c>
      <c r="O148" s="30">
        <v>2</v>
      </c>
      <c r="P148" s="31"/>
      <c r="Q148" s="11">
        <v>25</v>
      </c>
    </row>
    <row r="149" spans="5:17">
      <c r="E149" s="7" t="s">
        <v>57</v>
      </c>
      <c r="F149" s="13">
        <v>7.74</v>
      </c>
      <c r="G149" s="9" t="s">
        <v>58</v>
      </c>
      <c r="H149" s="12">
        <v>7.5</v>
      </c>
      <c r="I149" s="12">
        <v>8.5</v>
      </c>
      <c r="J149" s="12">
        <v>8</v>
      </c>
      <c r="K149" s="12">
        <v>6</v>
      </c>
      <c r="L149" s="12">
        <v>6.5</v>
      </c>
      <c r="M149" s="12">
        <v>7</v>
      </c>
      <c r="N149" s="12">
        <v>10</v>
      </c>
      <c r="O149" s="30">
        <v>9.5</v>
      </c>
      <c r="P149" s="31"/>
      <c r="Q149" s="9" t="s">
        <v>37</v>
      </c>
    </row>
    <row r="150" spans="5:17">
      <c r="E150" s="7" t="s">
        <v>59</v>
      </c>
      <c r="F150" s="14">
        <v>7.74</v>
      </c>
      <c r="G150" s="9" t="s">
        <v>60</v>
      </c>
      <c r="H150" s="12">
        <v>30</v>
      </c>
      <c r="I150" s="12">
        <v>34</v>
      </c>
      <c r="J150" s="12">
        <v>32</v>
      </c>
      <c r="K150" s="12">
        <v>18</v>
      </c>
      <c r="L150" s="12">
        <v>19.5</v>
      </c>
      <c r="M150" s="12">
        <v>21</v>
      </c>
      <c r="N150" s="12">
        <v>20</v>
      </c>
      <c r="O150" s="30">
        <v>19</v>
      </c>
      <c r="P150" s="31"/>
      <c r="Q150" s="11">
        <v>193.5</v>
      </c>
    </row>
    <row r="151" spans="5:17">
      <c r="E151" s="32" t="s">
        <v>61</v>
      </c>
      <c r="F151" s="31"/>
      <c r="G151" s="9" t="s">
        <v>40</v>
      </c>
      <c r="H151" s="12">
        <v>70</v>
      </c>
      <c r="I151" s="12">
        <v>84</v>
      </c>
      <c r="J151" s="12">
        <v>78</v>
      </c>
      <c r="K151" s="12">
        <v>55</v>
      </c>
      <c r="L151" s="12">
        <v>64</v>
      </c>
      <c r="M151" s="12">
        <v>66</v>
      </c>
      <c r="N151" s="12">
        <v>48</v>
      </c>
      <c r="O151" s="30">
        <v>47</v>
      </c>
      <c r="P151" s="31"/>
      <c r="Q151" s="11">
        <v>512</v>
      </c>
    </row>
    <row r="152" spans="5:17">
      <c r="E152" s="7" t="s">
        <v>62</v>
      </c>
      <c r="F152" s="7"/>
      <c r="G152" s="9" t="s">
        <v>63</v>
      </c>
      <c r="H152" s="12">
        <v>100</v>
      </c>
      <c r="I152" s="12">
        <v>100</v>
      </c>
      <c r="J152" s="12">
        <v>100</v>
      </c>
      <c r="K152" s="12">
        <v>100</v>
      </c>
      <c r="L152" s="12">
        <v>100</v>
      </c>
      <c r="M152" s="12">
        <v>100</v>
      </c>
      <c r="N152" s="12">
        <v>50</v>
      </c>
      <c r="O152" s="30">
        <v>50</v>
      </c>
      <c r="P152" s="31"/>
      <c r="Q152" s="11">
        <v>700</v>
      </c>
    </row>
    <row r="153" spans="5:17">
      <c r="E153" s="32" t="s">
        <v>64</v>
      </c>
      <c r="F153" s="31"/>
      <c r="G153" s="9" t="s">
        <v>65</v>
      </c>
      <c r="H153" s="10" t="s">
        <v>68</v>
      </c>
      <c r="I153" s="10" t="s">
        <v>70</v>
      </c>
      <c r="J153" s="10" t="s">
        <v>102</v>
      </c>
      <c r="K153" s="10" t="s">
        <v>103</v>
      </c>
      <c r="L153" s="10" t="s">
        <v>69</v>
      </c>
      <c r="M153" s="10" t="s">
        <v>66</v>
      </c>
      <c r="N153" s="10" t="s">
        <v>88</v>
      </c>
      <c r="O153" s="30" t="s">
        <v>71</v>
      </c>
      <c r="P153" s="31"/>
      <c r="Q153" s="9" t="s">
        <v>37</v>
      </c>
    </row>
    <row r="154" spans="5:17">
      <c r="E154" s="15" t="s">
        <v>72</v>
      </c>
      <c r="F154" s="15" t="s">
        <v>179</v>
      </c>
      <c r="G154" s="9" t="s">
        <v>74</v>
      </c>
      <c r="H154" s="10" t="s">
        <v>75</v>
      </c>
      <c r="I154" s="10" t="s">
        <v>75</v>
      </c>
      <c r="J154" s="10" t="s">
        <v>75</v>
      </c>
      <c r="K154" s="10" t="s">
        <v>75</v>
      </c>
      <c r="L154" s="10" t="s">
        <v>75</v>
      </c>
      <c r="M154" s="10" t="s">
        <v>75</v>
      </c>
      <c r="N154" s="10" t="s">
        <v>75</v>
      </c>
      <c r="O154" s="30" t="s">
        <v>75</v>
      </c>
      <c r="P154" s="31"/>
      <c r="Q154" s="9" t="s">
        <v>37</v>
      </c>
    </row>
    <row r="155" spans="5:17">
      <c r="E155" s="16" t="s">
        <v>37</v>
      </c>
      <c r="F155" s="16" t="s">
        <v>37</v>
      </c>
      <c r="G155" s="16" t="s">
        <v>37</v>
      </c>
      <c r="H155" s="17" t="s">
        <v>37</v>
      </c>
      <c r="I155" s="17" t="s">
        <v>37</v>
      </c>
      <c r="J155" s="17" t="s">
        <v>37</v>
      </c>
      <c r="K155" s="17" t="s">
        <v>37</v>
      </c>
      <c r="L155" s="17" t="s">
        <v>37</v>
      </c>
      <c r="M155" s="17" t="s">
        <v>37</v>
      </c>
      <c r="N155" s="17" t="s">
        <v>37</v>
      </c>
      <c r="O155" s="41" t="s">
        <v>37</v>
      </c>
      <c r="P155" s="28"/>
      <c r="Q155" s="17" t="s">
        <v>37</v>
      </c>
    </row>
    <row r="156" spans="5:17" ht="0" hidden="1" customHeight="1"/>
    <row r="157" spans="5:17" ht="0.6" customHeight="1"/>
    <row r="158" spans="5:17">
      <c r="E158" s="38" t="s">
        <v>35</v>
      </c>
      <c r="F158" s="31"/>
      <c r="G158" s="4" t="s">
        <v>36</v>
      </c>
      <c r="H158" s="6" t="s">
        <v>37</v>
      </c>
      <c r="I158" s="6" t="s">
        <v>37</v>
      </c>
      <c r="J158" s="6" t="s">
        <v>37</v>
      </c>
      <c r="K158" s="6" t="s">
        <v>37</v>
      </c>
      <c r="L158" s="6" t="s">
        <v>37</v>
      </c>
      <c r="M158" s="6" t="s">
        <v>37</v>
      </c>
      <c r="N158" s="6" t="s">
        <v>37</v>
      </c>
      <c r="O158" s="39" t="s">
        <v>37</v>
      </c>
      <c r="P158" s="28"/>
      <c r="Q158" s="6" t="s">
        <v>37</v>
      </c>
    </row>
    <row r="159" spans="5:17" ht="21">
      <c r="E159" s="32" t="s">
        <v>180</v>
      </c>
      <c r="F159" s="31"/>
      <c r="G159" s="8" t="s">
        <v>39</v>
      </c>
      <c r="H159" s="8" t="s">
        <v>19</v>
      </c>
      <c r="I159" s="8" t="s">
        <v>9</v>
      </c>
      <c r="J159" s="8" t="s">
        <v>21</v>
      </c>
      <c r="K159" s="8" t="s">
        <v>11</v>
      </c>
      <c r="L159" s="8" t="s">
        <v>17</v>
      </c>
      <c r="M159" s="8" t="s">
        <v>27</v>
      </c>
      <c r="N159" s="8" t="s">
        <v>7</v>
      </c>
      <c r="O159" s="40" t="s">
        <v>23</v>
      </c>
      <c r="P159" s="31"/>
      <c r="Q159" s="8" t="s">
        <v>40</v>
      </c>
    </row>
    <row r="160" spans="5:17" ht="22.5">
      <c r="E160" s="7" t="s">
        <v>41</v>
      </c>
      <c r="F160" s="7" t="s">
        <v>181</v>
      </c>
      <c r="G160" s="9" t="s">
        <v>43</v>
      </c>
      <c r="H160" s="10" t="s">
        <v>182</v>
      </c>
      <c r="I160" s="10" t="s">
        <v>183</v>
      </c>
      <c r="J160" s="10" t="s">
        <v>184</v>
      </c>
      <c r="K160" s="10" t="s">
        <v>121</v>
      </c>
      <c r="L160" s="10" t="s">
        <v>185</v>
      </c>
      <c r="M160" s="10" t="s">
        <v>186</v>
      </c>
      <c r="N160" s="10" t="s">
        <v>176</v>
      </c>
      <c r="O160" s="30" t="s">
        <v>51</v>
      </c>
      <c r="P160" s="31"/>
      <c r="Q160" s="9" t="s">
        <v>37</v>
      </c>
    </row>
    <row r="161" spans="5:17">
      <c r="E161" s="32" t="s">
        <v>187</v>
      </c>
      <c r="F161" s="33"/>
      <c r="G161" s="9" t="s">
        <v>53</v>
      </c>
      <c r="H161" s="10" t="s">
        <v>51</v>
      </c>
      <c r="I161" s="10" t="s">
        <v>51</v>
      </c>
      <c r="J161" s="10" t="s">
        <v>51</v>
      </c>
      <c r="K161" s="10" t="s">
        <v>51</v>
      </c>
      <c r="L161" s="10" t="s">
        <v>51</v>
      </c>
      <c r="M161" s="10" t="s">
        <v>51</v>
      </c>
      <c r="N161" s="10" t="s">
        <v>51</v>
      </c>
      <c r="O161" s="30" t="s">
        <v>178</v>
      </c>
      <c r="P161" s="31"/>
      <c r="Q161" s="9" t="s">
        <v>37</v>
      </c>
    </row>
    <row r="162" spans="5:17">
      <c r="E162" s="34"/>
      <c r="F162" s="35"/>
      <c r="G162" s="9" t="s">
        <v>55</v>
      </c>
      <c r="H162" s="10" t="s">
        <v>37</v>
      </c>
      <c r="I162" s="10" t="s">
        <v>37</v>
      </c>
      <c r="J162" s="10" t="s">
        <v>37</v>
      </c>
      <c r="K162" s="10" t="s">
        <v>37</v>
      </c>
      <c r="L162" s="10" t="s">
        <v>37</v>
      </c>
      <c r="M162" s="10" t="s">
        <v>37</v>
      </c>
      <c r="N162" s="10" t="s">
        <v>37</v>
      </c>
      <c r="O162" s="30" t="s">
        <v>37</v>
      </c>
      <c r="P162" s="31"/>
      <c r="Q162" s="11">
        <v>0</v>
      </c>
    </row>
    <row r="163" spans="5:17">
      <c r="E163" s="36"/>
      <c r="F163" s="37"/>
      <c r="G163" s="9" t="s">
        <v>56</v>
      </c>
      <c r="H163" s="12">
        <v>4</v>
      </c>
      <c r="I163" s="12">
        <v>4</v>
      </c>
      <c r="J163" s="12">
        <v>4</v>
      </c>
      <c r="K163" s="12">
        <v>3</v>
      </c>
      <c r="L163" s="12">
        <v>3</v>
      </c>
      <c r="M163" s="12">
        <v>3</v>
      </c>
      <c r="N163" s="12">
        <v>2</v>
      </c>
      <c r="O163" s="30">
        <v>2</v>
      </c>
      <c r="P163" s="31"/>
      <c r="Q163" s="11">
        <v>25</v>
      </c>
    </row>
    <row r="164" spans="5:17">
      <c r="E164" s="7" t="s">
        <v>57</v>
      </c>
      <c r="F164" s="13">
        <v>8.64</v>
      </c>
      <c r="G164" s="9" t="s">
        <v>58</v>
      </c>
      <c r="H164" s="12">
        <v>8</v>
      </c>
      <c r="I164" s="12">
        <v>9.5</v>
      </c>
      <c r="J164" s="12">
        <v>8</v>
      </c>
      <c r="K164" s="12">
        <v>7</v>
      </c>
      <c r="L164" s="12">
        <v>8.5</v>
      </c>
      <c r="M164" s="12">
        <v>9.5</v>
      </c>
      <c r="N164" s="12">
        <v>10</v>
      </c>
      <c r="O164" s="30">
        <v>9.5</v>
      </c>
      <c r="P164" s="31"/>
      <c r="Q164" s="9" t="s">
        <v>37</v>
      </c>
    </row>
    <row r="165" spans="5:17">
      <c r="E165" s="7" t="s">
        <v>59</v>
      </c>
      <c r="F165" s="14">
        <v>8.64</v>
      </c>
      <c r="G165" s="9" t="s">
        <v>60</v>
      </c>
      <c r="H165" s="12">
        <v>32</v>
      </c>
      <c r="I165" s="12">
        <v>38</v>
      </c>
      <c r="J165" s="12">
        <v>32</v>
      </c>
      <c r="K165" s="12">
        <v>21</v>
      </c>
      <c r="L165" s="12">
        <v>25.5</v>
      </c>
      <c r="M165" s="12">
        <v>28.5</v>
      </c>
      <c r="N165" s="12">
        <v>20</v>
      </c>
      <c r="O165" s="30">
        <v>19</v>
      </c>
      <c r="P165" s="31"/>
      <c r="Q165" s="11">
        <v>216</v>
      </c>
    </row>
    <row r="166" spans="5:17">
      <c r="E166" s="32" t="s">
        <v>61</v>
      </c>
      <c r="F166" s="31"/>
      <c r="G166" s="9" t="s">
        <v>40</v>
      </c>
      <c r="H166" s="12">
        <v>79</v>
      </c>
      <c r="I166" s="12">
        <v>94</v>
      </c>
      <c r="J166" s="12">
        <v>77</v>
      </c>
      <c r="K166" s="12">
        <v>65</v>
      </c>
      <c r="L166" s="12">
        <v>82</v>
      </c>
      <c r="M166" s="12">
        <v>90</v>
      </c>
      <c r="N166" s="12">
        <v>48</v>
      </c>
      <c r="O166" s="30">
        <v>47</v>
      </c>
      <c r="P166" s="31"/>
      <c r="Q166" s="11">
        <v>582</v>
      </c>
    </row>
    <row r="167" spans="5:17">
      <c r="E167" s="7" t="s">
        <v>62</v>
      </c>
      <c r="F167" s="7"/>
      <c r="G167" s="9" t="s">
        <v>63</v>
      </c>
      <c r="H167" s="12">
        <v>100</v>
      </c>
      <c r="I167" s="12">
        <v>100</v>
      </c>
      <c r="J167" s="12">
        <v>100</v>
      </c>
      <c r="K167" s="12">
        <v>100</v>
      </c>
      <c r="L167" s="12">
        <v>100</v>
      </c>
      <c r="M167" s="12">
        <v>100</v>
      </c>
      <c r="N167" s="12">
        <v>50</v>
      </c>
      <c r="O167" s="30">
        <v>50</v>
      </c>
      <c r="P167" s="31"/>
      <c r="Q167" s="11">
        <v>700</v>
      </c>
    </row>
    <row r="168" spans="5:17">
      <c r="E168" s="32" t="s">
        <v>188</v>
      </c>
      <c r="F168" s="31"/>
      <c r="G168" s="9" t="s">
        <v>65</v>
      </c>
      <c r="H168" s="10" t="s">
        <v>102</v>
      </c>
      <c r="I168" s="10" t="s">
        <v>71</v>
      </c>
      <c r="J168" s="10" t="s">
        <v>102</v>
      </c>
      <c r="K168" s="10" t="s">
        <v>66</v>
      </c>
      <c r="L168" s="10" t="s">
        <v>70</v>
      </c>
      <c r="M168" s="10" t="s">
        <v>71</v>
      </c>
      <c r="N168" s="10" t="s">
        <v>88</v>
      </c>
      <c r="O168" s="30" t="s">
        <v>71</v>
      </c>
      <c r="P168" s="31"/>
      <c r="Q168" s="9" t="s">
        <v>37</v>
      </c>
    </row>
    <row r="169" spans="5:17">
      <c r="E169" s="15" t="s">
        <v>72</v>
      </c>
      <c r="F169" s="15" t="s">
        <v>189</v>
      </c>
      <c r="G169" s="9" t="s">
        <v>74</v>
      </c>
      <c r="H169" s="10" t="s">
        <v>75</v>
      </c>
      <c r="I169" s="10" t="s">
        <v>75</v>
      </c>
      <c r="J169" s="10" t="s">
        <v>75</v>
      </c>
      <c r="K169" s="10" t="s">
        <v>75</v>
      </c>
      <c r="L169" s="10" t="s">
        <v>75</v>
      </c>
      <c r="M169" s="10" t="s">
        <v>75</v>
      </c>
      <c r="N169" s="10" t="s">
        <v>75</v>
      </c>
      <c r="O169" s="30" t="s">
        <v>75</v>
      </c>
      <c r="P169" s="31"/>
      <c r="Q169" s="9" t="s">
        <v>37</v>
      </c>
    </row>
    <row r="170" spans="5:17">
      <c r="E170" s="16" t="s">
        <v>37</v>
      </c>
      <c r="F170" s="16" t="s">
        <v>37</v>
      </c>
      <c r="G170" s="16" t="s">
        <v>37</v>
      </c>
      <c r="H170" s="17" t="s">
        <v>37</v>
      </c>
      <c r="I170" s="17" t="s">
        <v>37</v>
      </c>
      <c r="J170" s="17" t="s">
        <v>37</v>
      </c>
      <c r="K170" s="17" t="s">
        <v>37</v>
      </c>
      <c r="L170" s="17" t="s">
        <v>37</v>
      </c>
      <c r="M170" s="17" t="s">
        <v>37</v>
      </c>
      <c r="N170" s="17" t="s">
        <v>37</v>
      </c>
      <c r="O170" s="41" t="s">
        <v>37</v>
      </c>
      <c r="P170" s="28"/>
      <c r="Q170" s="17" t="s">
        <v>37</v>
      </c>
    </row>
    <row r="171" spans="5:17" ht="0" hidden="1" customHeight="1"/>
    <row r="172" spans="5:17" ht="0.6" customHeight="1"/>
    <row r="173" spans="5:17">
      <c r="E173" s="38" t="s">
        <v>35</v>
      </c>
      <c r="F173" s="31"/>
      <c r="G173" s="4" t="s">
        <v>36</v>
      </c>
      <c r="H173" s="6" t="s">
        <v>37</v>
      </c>
      <c r="I173" s="6" t="s">
        <v>37</v>
      </c>
      <c r="J173" s="6" t="s">
        <v>37</v>
      </c>
      <c r="K173" s="6" t="s">
        <v>37</v>
      </c>
      <c r="L173" s="6" t="s">
        <v>37</v>
      </c>
      <c r="M173" s="6" t="s">
        <v>37</v>
      </c>
      <c r="N173" s="6" t="s">
        <v>37</v>
      </c>
      <c r="O173" s="39" t="s">
        <v>37</v>
      </c>
      <c r="P173" s="28"/>
      <c r="Q173" s="6" t="s">
        <v>37</v>
      </c>
    </row>
    <row r="174" spans="5:17" ht="21">
      <c r="E174" s="32" t="s">
        <v>190</v>
      </c>
      <c r="F174" s="31"/>
      <c r="G174" s="8" t="s">
        <v>39</v>
      </c>
      <c r="H174" s="8" t="s">
        <v>19</v>
      </c>
      <c r="I174" s="8" t="s">
        <v>9</v>
      </c>
      <c r="J174" s="8" t="s">
        <v>21</v>
      </c>
      <c r="K174" s="8" t="s">
        <v>11</v>
      </c>
      <c r="L174" s="8" t="s">
        <v>17</v>
      </c>
      <c r="M174" s="8" t="s">
        <v>27</v>
      </c>
      <c r="N174" s="8" t="s">
        <v>7</v>
      </c>
      <c r="O174" s="40" t="s">
        <v>23</v>
      </c>
      <c r="P174" s="31"/>
      <c r="Q174" s="8" t="s">
        <v>40</v>
      </c>
    </row>
    <row r="175" spans="5:17" ht="22.5">
      <c r="E175" s="7" t="s">
        <v>41</v>
      </c>
      <c r="F175" s="7" t="s">
        <v>191</v>
      </c>
      <c r="G175" s="9" t="s">
        <v>43</v>
      </c>
      <c r="H175" s="10" t="s">
        <v>192</v>
      </c>
      <c r="I175" s="10" t="s">
        <v>172</v>
      </c>
      <c r="J175" s="10" t="s">
        <v>193</v>
      </c>
      <c r="K175" s="10" t="s">
        <v>194</v>
      </c>
      <c r="L175" s="10" t="s">
        <v>195</v>
      </c>
      <c r="M175" s="10" t="s">
        <v>196</v>
      </c>
      <c r="N175" s="10" t="s">
        <v>197</v>
      </c>
      <c r="O175" s="30" t="s">
        <v>51</v>
      </c>
      <c r="P175" s="31"/>
      <c r="Q175" s="9" t="s">
        <v>37</v>
      </c>
    </row>
    <row r="176" spans="5:17">
      <c r="E176" s="32" t="s">
        <v>198</v>
      </c>
      <c r="F176" s="33"/>
      <c r="G176" s="9" t="s">
        <v>53</v>
      </c>
      <c r="H176" s="10" t="s">
        <v>51</v>
      </c>
      <c r="I176" s="10" t="s">
        <v>51</v>
      </c>
      <c r="J176" s="10" t="s">
        <v>51</v>
      </c>
      <c r="K176" s="10" t="s">
        <v>51</v>
      </c>
      <c r="L176" s="10" t="s">
        <v>51</v>
      </c>
      <c r="M176" s="10" t="s">
        <v>51</v>
      </c>
      <c r="N176" s="10" t="s">
        <v>51</v>
      </c>
      <c r="O176" s="30" t="s">
        <v>199</v>
      </c>
      <c r="P176" s="31"/>
      <c r="Q176" s="9" t="s">
        <v>37</v>
      </c>
    </row>
    <row r="177" spans="5:17">
      <c r="E177" s="34"/>
      <c r="F177" s="35"/>
      <c r="G177" s="9" t="s">
        <v>55</v>
      </c>
      <c r="H177" s="10" t="s">
        <v>37</v>
      </c>
      <c r="I177" s="10" t="s">
        <v>37</v>
      </c>
      <c r="J177" s="10" t="s">
        <v>37</v>
      </c>
      <c r="K177" s="10" t="s">
        <v>37</v>
      </c>
      <c r="L177" s="10" t="s">
        <v>37</v>
      </c>
      <c r="M177" s="10" t="s">
        <v>37</v>
      </c>
      <c r="N177" s="10" t="s">
        <v>37</v>
      </c>
      <c r="O177" s="30" t="s">
        <v>37</v>
      </c>
      <c r="P177" s="31"/>
      <c r="Q177" s="11">
        <v>0</v>
      </c>
    </row>
    <row r="178" spans="5:17">
      <c r="E178" s="36"/>
      <c r="F178" s="37"/>
      <c r="G178" s="9" t="s">
        <v>56</v>
      </c>
      <c r="H178" s="12">
        <v>4</v>
      </c>
      <c r="I178" s="12">
        <v>4</v>
      </c>
      <c r="J178" s="12">
        <v>4</v>
      </c>
      <c r="K178" s="12">
        <v>3</v>
      </c>
      <c r="L178" s="12">
        <v>3</v>
      </c>
      <c r="M178" s="12">
        <v>3</v>
      </c>
      <c r="N178" s="12">
        <v>2</v>
      </c>
      <c r="O178" s="30">
        <v>2</v>
      </c>
      <c r="P178" s="31"/>
      <c r="Q178" s="11">
        <v>25</v>
      </c>
    </row>
    <row r="179" spans="5:17">
      <c r="E179" s="7" t="s">
        <v>57</v>
      </c>
      <c r="F179" s="13">
        <v>8.14</v>
      </c>
      <c r="G179" s="9" t="s">
        <v>58</v>
      </c>
      <c r="H179" s="12">
        <v>8.5</v>
      </c>
      <c r="I179" s="12">
        <v>8.5</v>
      </c>
      <c r="J179" s="12">
        <v>7</v>
      </c>
      <c r="K179" s="12">
        <v>7.5</v>
      </c>
      <c r="L179" s="12">
        <v>9.5</v>
      </c>
      <c r="M179" s="12">
        <v>6.5</v>
      </c>
      <c r="N179" s="12">
        <v>8.5</v>
      </c>
      <c r="O179" s="30">
        <v>10</v>
      </c>
      <c r="P179" s="31"/>
      <c r="Q179" s="9" t="s">
        <v>37</v>
      </c>
    </row>
    <row r="180" spans="5:17">
      <c r="E180" s="7" t="s">
        <v>59</v>
      </c>
      <c r="F180" s="14">
        <v>8.14</v>
      </c>
      <c r="G180" s="9" t="s">
        <v>60</v>
      </c>
      <c r="H180" s="12">
        <v>34</v>
      </c>
      <c r="I180" s="12">
        <v>34</v>
      </c>
      <c r="J180" s="12">
        <v>28</v>
      </c>
      <c r="K180" s="12">
        <v>22.5</v>
      </c>
      <c r="L180" s="12">
        <v>28.5</v>
      </c>
      <c r="M180" s="12">
        <v>19.5</v>
      </c>
      <c r="N180" s="12">
        <v>17</v>
      </c>
      <c r="O180" s="30">
        <v>20</v>
      </c>
      <c r="P180" s="31"/>
      <c r="Q180" s="11">
        <v>203.5</v>
      </c>
    </row>
    <row r="181" spans="5:17">
      <c r="E181" s="32" t="s">
        <v>61</v>
      </c>
      <c r="F181" s="31"/>
      <c r="G181" s="9" t="s">
        <v>40</v>
      </c>
      <c r="H181" s="12">
        <v>80</v>
      </c>
      <c r="I181" s="12">
        <v>84</v>
      </c>
      <c r="J181" s="12">
        <v>68</v>
      </c>
      <c r="K181" s="12">
        <v>72</v>
      </c>
      <c r="L181" s="12">
        <v>91</v>
      </c>
      <c r="M181" s="12">
        <v>61</v>
      </c>
      <c r="N181" s="12">
        <v>42</v>
      </c>
      <c r="O181" s="30">
        <v>49</v>
      </c>
      <c r="P181" s="31"/>
      <c r="Q181" s="11">
        <v>547</v>
      </c>
    </row>
    <row r="182" spans="5:17">
      <c r="E182" s="7" t="s">
        <v>62</v>
      </c>
      <c r="F182" s="7"/>
      <c r="G182" s="9" t="s">
        <v>63</v>
      </c>
      <c r="H182" s="12">
        <v>100</v>
      </c>
      <c r="I182" s="12">
        <v>100</v>
      </c>
      <c r="J182" s="12">
        <v>100</v>
      </c>
      <c r="K182" s="12">
        <v>100</v>
      </c>
      <c r="L182" s="12">
        <v>100</v>
      </c>
      <c r="M182" s="12">
        <v>100</v>
      </c>
      <c r="N182" s="12">
        <v>50</v>
      </c>
      <c r="O182" s="30">
        <v>50</v>
      </c>
      <c r="P182" s="31"/>
      <c r="Q182" s="11">
        <v>700</v>
      </c>
    </row>
    <row r="183" spans="5:17">
      <c r="E183" s="32" t="s">
        <v>200</v>
      </c>
      <c r="F183" s="31"/>
      <c r="G183" s="9" t="s">
        <v>65</v>
      </c>
      <c r="H183" s="10" t="s">
        <v>70</v>
      </c>
      <c r="I183" s="10" t="s">
        <v>70</v>
      </c>
      <c r="J183" s="10" t="s">
        <v>66</v>
      </c>
      <c r="K183" s="10" t="s">
        <v>68</v>
      </c>
      <c r="L183" s="10" t="s">
        <v>71</v>
      </c>
      <c r="M183" s="10" t="s">
        <v>69</v>
      </c>
      <c r="N183" s="10" t="s">
        <v>70</v>
      </c>
      <c r="O183" s="30" t="s">
        <v>88</v>
      </c>
      <c r="P183" s="31"/>
      <c r="Q183" s="9" t="s">
        <v>37</v>
      </c>
    </row>
    <row r="184" spans="5:17">
      <c r="E184" s="15" t="s">
        <v>72</v>
      </c>
      <c r="F184" s="15" t="s">
        <v>201</v>
      </c>
      <c r="G184" s="9" t="s">
        <v>74</v>
      </c>
      <c r="H184" s="10" t="s">
        <v>75</v>
      </c>
      <c r="I184" s="10" t="s">
        <v>75</v>
      </c>
      <c r="J184" s="10" t="s">
        <v>75</v>
      </c>
      <c r="K184" s="10" t="s">
        <v>75</v>
      </c>
      <c r="L184" s="10" t="s">
        <v>75</v>
      </c>
      <c r="M184" s="10" t="s">
        <v>75</v>
      </c>
      <c r="N184" s="10" t="s">
        <v>75</v>
      </c>
      <c r="O184" s="30" t="s">
        <v>75</v>
      </c>
      <c r="P184" s="31"/>
      <c r="Q184" s="9" t="s">
        <v>37</v>
      </c>
    </row>
    <row r="185" spans="5:17">
      <c r="E185" s="16" t="s">
        <v>37</v>
      </c>
      <c r="F185" s="16" t="s">
        <v>37</v>
      </c>
      <c r="G185" s="16" t="s">
        <v>37</v>
      </c>
      <c r="H185" s="17" t="s">
        <v>37</v>
      </c>
      <c r="I185" s="17" t="s">
        <v>37</v>
      </c>
      <c r="J185" s="17" t="s">
        <v>37</v>
      </c>
      <c r="K185" s="17" t="s">
        <v>37</v>
      </c>
      <c r="L185" s="17" t="s">
        <v>37</v>
      </c>
      <c r="M185" s="17" t="s">
        <v>37</v>
      </c>
      <c r="N185" s="17" t="s">
        <v>37</v>
      </c>
      <c r="O185" s="41" t="s">
        <v>37</v>
      </c>
      <c r="P185" s="28"/>
      <c r="Q185" s="17" t="s">
        <v>37</v>
      </c>
    </row>
    <row r="186" spans="5:17" ht="0" hidden="1" customHeight="1"/>
    <row r="187" spans="5:17" ht="0.6" customHeight="1"/>
    <row r="188" spans="5:17">
      <c r="E188" s="38" t="s">
        <v>35</v>
      </c>
      <c r="F188" s="31"/>
      <c r="G188" s="4" t="s">
        <v>36</v>
      </c>
      <c r="H188" s="6" t="s">
        <v>37</v>
      </c>
      <c r="I188" s="6" t="s">
        <v>37</v>
      </c>
      <c r="J188" s="6" t="s">
        <v>37</v>
      </c>
      <c r="K188" s="6" t="s">
        <v>37</v>
      </c>
      <c r="L188" s="6" t="s">
        <v>37</v>
      </c>
      <c r="M188" s="6" t="s">
        <v>37</v>
      </c>
      <c r="N188" s="6" t="s">
        <v>37</v>
      </c>
      <c r="O188" s="39" t="s">
        <v>37</v>
      </c>
      <c r="P188" s="28"/>
      <c r="Q188" s="6" t="s">
        <v>37</v>
      </c>
    </row>
    <row r="189" spans="5:17" ht="21">
      <c r="E189" s="32" t="s">
        <v>202</v>
      </c>
      <c r="F189" s="31"/>
      <c r="G189" s="8" t="s">
        <v>39</v>
      </c>
      <c r="H189" s="8" t="s">
        <v>19</v>
      </c>
      <c r="I189" s="8" t="s">
        <v>9</v>
      </c>
      <c r="J189" s="8" t="s">
        <v>21</v>
      </c>
      <c r="K189" s="8" t="s">
        <v>11</v>
      </c>
      <c r="L189" s="8" t="s">
        <v>15</v>
      </c>
      <c r="M189" s="8" t="s">
        <v>27</v>
      </c>
      <c r="N189" s="8" t="s">
        <v>7</v>
      </c>
      <c r="O189" s="40" t="s">
        <v>33</v>
      </c>
      <c r="P189" s="31"/>
      <c r="Q189" s="8" t="s">
        <v>40</v>
      </c>
    </row>
    <row r="190" spans="5:17" ht="22.5">
      <c r="E190" s="7" t="s">
        <v>41</v>
      </c>
      <c r="F190" s="7" t="s">
        <v>203</v>
      </c>
      <c r="G190" s="9" t="s">
        <v>43</v>
      </c>
      <c r="H190" s="10" t="s">
        <v>204</v>
      </c>
      <c r="I190" s="10" t="s">
        <v>205</v>
      </c>
      <c r="J190" s="10" t="s">
        <v>206</v>
      </c>
      <c r="K190" s="10" t="s">
        <v>207</v>
      </c>
      <c r="L190" s="10" t="s">
        <v>78</v>
      </c>
      <c r="M190" s="10" t="s">
        <v>208</v>
      </c>
      <c r="N190" s="10" t="s">
        <v>209</v>
      </c>
      <c r="O190" s="30" t="s">
        <v>51</v>
      </c>
      <c r="P190" s="31"/>
      <c r="Q190" s="9" t="s">
        <v>37</v>
      </c>
    </row>
    <row r="191" spans="5:17">
      <c r="E191" s="32" t="s">
        <v>210</v>
      </c>
      <c r="F191" s="33"/>
      <c r="G191" s="9" t="s">
        <v>53</v>
      </c>
      <c r="H191" s="10" t="s">
        <v>51</v>
      </c>
      <c r="I191" s="10" t="s">
        <v>51</v>
      </c>
      <c r="J191" s="10" t="s">
        <v>51</v>
      </c>
      <c r="K191" s="10" t="s">
        <v>51</v>
      </c>
      <c r="L191" s="10" t="s">
        <v>51</v>
      </c>
      <c r="M191" s="10" t="s">
        <v>51</v>
      </c>
      <c r="N191" s="10" t="s">
        <v>51</v>
      </c>
      <c r="O191" s="30" t="s">
        <v>100</v>
      </c>
      <c r="P191" s="31"/>
      <c r="Q191" s="9" t="s">
        <v>37</v>
      </c>
    </row>
    <row r="192" spans="5:17">
      <c r="E192" s="34"/>
      <c r="F192" s="35"/>
      <c r="G192" s="9" t="s">
        <v>55</v>
      </c>
      <c r="H192" s="10" t="s">
        <v>37</v>
      </c>
      <c r="I192" s="10" t="s">
        <v>37</v>
      </c>
      <c r="J192" s="10" t="s">
        <v>37</v>
      </c>
      <c r="K192" s="10" t="s">
        <v>37</v>
      </c>
      <c r="L192" s="10" t="s">
        <v>37</v>
      </c>
      <c r="M192" s="10" t="s">
        <v>37</v>
      </c>
      <c r="N192" s="10" t="s">
        <v>37</v>
      </c>
      <c r="O192" s="30" t="s">
        <v>37</v>
      </c>
      <c r="P192" s="31"/>
      <c r="Q192" s="11">
        <v>0</v>
      </c>
    </row>
    <row r="193" spans="5:17">
      <c r="E193" s="36"/>
      <c r="F193" s="37"/>
      <c r="G193" s="9" t="s">
        <v>56</v>
      </c>
      <c r="H193" s="12">
        <v>4</v>
      </c>
      <c r="I193" s="12">
        <v>4</v>
      </c>
      <c r="J193" s="12">
        <v>4</v>
      </c>
      <c r="K193" s="12">
        <v>3</v>
      </c>
      <c r="L193" s="12">
        <v>3</v>
      </c>
      <c r="M193" s="12">
        <v>3</v>
      </c>
      <c r="N193" s="12">
        <v>2</v>
      </c>
      <c r="O193" s="30">
        <v>2</v>
      </c>
      <c r="P193" s="31"/>
      <c r="Q193" s="11">
        <v>25</v>
      </c>
    </row>
    <row r="194" spans="5:17">
      <c r="E194" s="7" t="s">
        <v>57</v>
      </c>
      <c r="F194" s="13">
        <v>8.76</v>
      </c>
      <c r="G194" s="9" t="s">
        <v>58</v>
      </c>
      <c r="H194" s="12">
        <v>8.5</v>
      </c>
      <c r="I194" s="12">
        <v>9.5</v>
      </c>
      <c r="J194" s="12">
        <v>8</v>
      </c>
      <c r="K194" s="12">
        <v>7.5</v>
      </c>
      <c r="L194" s="12">
        <v>9</v>
      </c>
      <c r="M194" s="12">
        <v>8.5</v>
      </c>
      <c r="N194" s="12">
        <v>10</v>
      </c>
      <c r="O194" s="30">
        <v>10</v>
      </c>
      <c r="P194" s="31"/>
      <c r="Q194" s="9" t="s">
        <v>37</v>
      </c>
    </row>
    <row r="195" spans="5:17">
      <c r="E195" s="7" t="s">
        <v>59</v>
      </c>
      <c r="F195" s="14">
        <v>8.76</v>
      </c>
      <c r="G195" s="9" t="s">
        <v>60</v>
      </c>
      <c r="H195" s="12">
        <v>34</v>
      </c>
      <c r="I195" s="12">
        <v>38</v>
      </c>
      <c r="J195" s="12">
        <v>32</v>
      </c>
      <c r="K195" s="12">
        <v>22.5</v>
      </c>
      <c r="L195" s="12">
        <v>27</v>
      </c>
      <c r="M195" s="12">
        <v>25.5</v>
      </c>
      <c r="N195" s="12">
        <v>20</v>
      </c>
      <c r="O195" s="30">
        <v>20</v>
      </c>
      <c r="P195" s="31"/>
      <c r="Q195" s="11">
        <v>219</v>
      </c>
    </row>
    <row r="196" spans="5:17">
      <c r="E196" s="32" t="s">
        <v>61</v>
      </c>
      <c r="F196" s="31"/>
      <c r="G196" s="9" t="s">
        <v>40</v>
      </c>
      <c r="H196" s="12">
        <v>82</v>
      </c>
      <c r="I196" s="12">
        <v>90</v>
      </c>
      <c r="J196" s="12">
        <v>76</v>
      </c>
      <c r="K196" s="12">
        <v>73</v>
      </c>
      <c r="L196" s="12">
        <v>86</v>
      </c>
      <c r="M196" s="12">
        <v>84</v>
      </c>
      <c r="N196" s="12">
        <v>50</v>
      </c>
      <c r="O196" s="30">
        <v>50</v>
      </c>
      <c r="P196" s="31"/>
      <c r="Q196" s="11">
        <v>591</v>
      </c>
    </row>
    <row r="197" spans="5:17">
      <c r="E197" s="7" t="s">
        <v>62</v>
      </c>
      <c r="F197" s="7"/>
      <c r="G197" s="9" t="s">
        <v>63</v>
      </c>
      <c r="H197" s="12">
        <v>100</v>
      </c>
      <c r="I197" s="12">
        <v>100</v>
      </c>
      <c r="J197" s="12">
        <v>100</v>
      </c>
      <c r="K197" s="12">
        <v>100</v>
      </c>
      <c r="L197" s="12">
        <v>100</v>
      </c>
      <c r="M197" s="12">
        <v>100</v>
      </c>
      <c r="N197" s="12">
        <v>50</v>
      </c>
      <c r="O197" s="30">
        <v>50</v>
      </c>
      <c r="P197" s="31"/>
      <c r="Q197" s="11">
        <v>700</v>
      </c>
    </row>
    <row r="198" spans="5:17">
      <c r="E198" s="32" t="s">
        <v>188</v>
      </c>
      <c r="F198" s="31"/>
      <c r="G198" s="9" t="s">
        <v>65</v>
      </c>
      <c r="H198" s="10" t="s">
        <v>70</v>
      </c>
      <c r="I198" s="10" t="s">
        <v>71</v>
      </c>
      <c r="J198" s="10" t="s">
        <v>102</v>
      </c>
      <c r="K198" s="10" t="s">
        <v>68</v>
      </c>
      <c r="L198" s="10" t="s">
        <v>67</v>
      </c>
      <c r="M198" s="10" t="s">
        <v>70</v>
      </c>
      <c r="N198" s="10" t="s">
        <v>88</v>
      </c>
      <c r="O198" s="30" t="s">
        <v>88</v>
      </c>
      <c r="P198" s="31"/>
      <c r="Q198" s="9" t="s">
        <v>37</v>
      </c>
    </row>
    <row r="199" spans="5:17">
      <c r="E199" s="15" t="s">
        <v>72</v>
      </c>
      <c r="F199" s="15" t="s">
        <v>211</v>
      </c>
      <c r="G199" s="9" t="s">
        <v>74</v>
      </c>
      <c r="H199" s="10" t="s">
        <v>75</v>
      </c>
      <c r="I199" s="10" t="s">
        <v>75</v>
      </c>
      <c r="J199" s="10" t="s">
        <v>75</v>
      </c>
      <c r="K199" s="10" t="s">
        <v>75</v>
      </c>
      <c r="L199" s="10" t="s">
        <v>75</v>
      </c>
      <c r="M199" s="10" t="s">
        <v>75</v>
      </c>
      <c r="N199" s="10" t="s">
        <v>75</v>
      </c>
      <c r="O199" s="30" t="s">
        <v>75</v>
      </c>
      <c r="P199" s="31"/>
      <c r="Q199" s="9" t="s">
        <v>37</v>
      </c>
    </row>
    <row r="200" spans="5:17">
      <c r="E200" s="16" t="s">
        <v>37</v>
      </c>
      <c r="F200" s="16" t="s">
        <v>37</v>
      </c>
      <c r="G200" s="16" t="s">
        <v>37</v>
      </c>
      <c r="H200" s="17" t="s">
        <v>37</v>
      </c>
      <c r="I200" s="17" t="s">
        <v>37</v>
      </c>
      <c r="J200" s="17" t="s">
        <v>37</v>
      </c>
      <c r="K200" s="17" t="s">
        <v>37</v>
      </c>
      <c r="L200" s="17" t="s">
        <v>37</v>
      </c>
      <c r="M200" s="17" t="s">
        <v>37</v>
      </c>
      <c r="N200" s="17" t="s">
        <v>37</v>
      </c>
      <c r="O200" s="41" t="s">
        <v>37</v>
      </c>
      <c r="P200" s="28"/>
      <c r="Q200" s="17" t="s">
        <v>37</v>
      </c>
    </row>
    <row r="201" spans="5:17" ht="0.6" customHeight="1"/>
    <row r="202" spans="5:17">
      <c r="E202" s="38" t="s">
        <v>35</v>
      </c>
      <c r="F202" s="31"/>
      <c r="G202" s="4" t="s">
        <v>36</v>
      </c>
      <c r="H202" s="6" t="s">
        <v>37</v>
      </c>
      <c r="I202" s="6" t="s">
        <v>37</v>
      </c>
      <c r="J202" s="6" t="s">
        <v>37</v>
      </c>
      <c r="K202" s="6" t="s">
        <v>37</v>
      </c>
      <c r="L202" s="6" t="s">
        <v>37</v>
      </c>
      <c r="M202" s="6" t="s">
        <v>37</v>
      </c>
      <c r="N202" s="6" t="s">
        <v>37</v>
      </c>
      <c r="O202" s="39" t="s">
        <v>37</v>
      </c>
      <c r="P202" s="28"/>
      <c r="Q202" s="6" t="s">
        <v>37</v>
      </c>
    </row>
    <row r="203" spans="5:17" ht="21">
      <c r="E203" s="32" t="s">
        <v>212</v>
      </c>
      <c r="F203" s="31"/>
      <c r="G203" s="8" t="s">
        <v>39</v>
      </c>
      <c r="H203" s="8" t="s">
        <v>19</v>
      </c>
      <c r="I203" s="8" t="s">
        <v>9</v>
      </c>
      <c r="J203" s="8" t="s">
        <v>21</v>
      </c>
      <c r="K203" s="8" t="s">
        <v>11</v>
      </c>
      <c r="L203" s="8" t="s">
        <v>17</v>
      </c>
      <c r="M203" s="8" t="s">
        <v>27</v>
      </c>
      <c r="N203" s="8" t="s">
        <v>7</v>
      </c>
      <c r="O203" s="40" t="s">
        <v>25</v>
      </c>
      <c r="P203" s="31"/>
      <c r="Q203" s="8" t="s">
        <v>40</v>
      </c>
    </row>
    <row r="204" spans="5:17" ht="22.5">
      <c r="E204" s="7" t="s">
        <v>41</v>
      </c>
      <c r="F204" s="7" t="s">
        <v>213</v>
      </c>
      <c r="G204" s="9" t="s">
        <v>43</v>
      </c>
      <c r="H204" s="10" t="s">
        <v>214</v>
      </c>
      <c r="I204" s="10" t="s">
        <v>172</v>
      </c>
      <c r="J204" s="10" t="s">
        <v>215</v>
      </c>
      <c r="K204" s="10" t="s">
        <v>121</v>
      </c>
      <c r="L204" s="10" t="s">
        <v>216</v>
      </c>
      <c r="M204" s="10" t="s">
        <v>217</v>
      </c>
      <c r="N204" s="10" t="s">
        <v>218</v>
      </c>
      <c r="O204" s="30" t="s">
        <v>51</v>
      </c>
      <c r="P204" s="31"/>
      <c r="Q204" s="9" t="s">
        <v>37</v>
      </c>
    </row>
    <row r="205" spans="5:17">
      <c r="E205" s="32" t="s">
        <v>198</v>
      </c>
      <c r="F205" s="33"/>
      <c r="G205" s="9" t="s">
        <v>53</v>
      </c>
      <c r="H205" s="10" t="s">
        <v>51</v>
      </c>
      <c r="I205" s="10" t="s">
        <v>51</v>
      </c>
      <c r="J205" s="10" t="s">
        <v>51</v>
      </c>
      <c r="K205" s="10" t="s">
        <v>51</v>
      </c>
      <c r="L205" s="10" t="s">
        <v>51</v>
      </c>
      <c r="M205" s="10" t="s">
        <v>51</v>
      </c>
      <c r="N205" s="10" t="s">
        <v>51</v>
      </c>
      <c r="O205" s="30" t="s">
        <v>54</v>
      </c>
      <c r="P205" s="31"/>
      <c r="Q205" s="9" t="s">
        <v>37</v>
      </c>
    </row>
    <row r="206" spans="5:17">
      <c r="E206" s="34"/>
      <c r="F206" s="35"/>
      <c r="G206" s="9" t="s">
        <v>55</v>
      </c>
      <c r="H206" s="10" t="s">
        <v>37</v>
      </c>
      <c r="I206" s="10" t="s">
        <v>37</v>
      </c>
      <c r="J206" s="10" t="s">
        <v>37</v>
      </c>
      <c r="K206" s="10" t="s">
        <v>37</v>
      </c>
      <c r="L206" s="10" t="s">
        <v>37</v>
      </c>
      <c r="M206" s="10" t="s">
        <v>37</v>
      </c>
      <c r="N206" s="10" t="s">
        <v>37</v>
      </c>
      <c r="O206" s="30" t="s">
        <v>37</v>
      </c>
      <c r="P206" s="31"/>
      <c r="Q206" s="11">
        <v>0</v>
      </c>
    </row>
    <row r="207" spans="5:17">
      <c r="E207" s="36"/>
      <c r="F207" s="37"/>
      <c r="G207" s="9" t="s">
        <v>56</v>
      </c>
      <c r="H207" s="12">
        <v>4</v>
      </c>
      <c r="I207" s="12">
        <v>4</v>
      </c>
      <c r="J207" s="12">
        <v>4</v>
      </c>
      <c r="K207" s="12">
        <v>3</v>
      </c>
      <c r="L207" s="12">
        <v>3</v>
      </c>
      <c r="M207" s="12">
        <v>3</v>
      </c>
      <c r="N207" s="12">
        <v>2</v>
      </c>
      <c r="O207" s="30">
        <v>2</v>
      </c>
      <c r="P207" s="31"/>
      <c r="Q207" s="11">
        <v>25</v>
      </c>
    </row>
    <row r="208" spans="5:17">
      <c r="E208" s="7" t="s">
        <v>57</v>
      </c>
      <c r="F208" s="13">
        <v>7.9</v>
      </c>
      <c r="G208" s="9" t="s">
        <v>58</v>
      </c>
      <c r="H208" s="12">
        <v>7.5</v>
      </c>
      <c r="I208" s="12">
        <v>8.5</v>
      </c>
      <c r="J208" s="12">
        <v>7</v>
      </c>
      <c r="K208" s="12">
        <v>7</v>
      </c>
      <c r="L208" s="12">
        <v>8</v>
      </c>
      <c r="M208" s="12">
        <v>7.5</v>
      </c>
      <c r="N208" s="12">
        <v>9.5</v>
      </c>
      <c r="O208" s="30">
        <v>9.5</v>
      </c>
      <c r="P208" s="31"/>
      <c r="Q208" s="9" t="s">
        <v>37</v>
      </c>
    </row>
    <row r="209" spans="5:17">
      <c r="E209" s="7" t="s">
        <v>59</v>
      </c>
      <c r="F209" s="14">
        <v>7.9</v>
      </c>
      <c r="G209" s="9" t="s">
        <v>60</v>
      </c>
      <c r="H209" s="12">
        <v>30</v>
      </c>
      <c r="I209" s="12">
        <v>34</v>
      </c>
      <c r="J209" s="12">
        <v>28</v>
      </c>
      <c r="K209" s="12">
        <v>21</v>
      </c>
      <c r="L209" s="12">
        <v>24</v>
      </c>
      <c r="M209" s="12">
        <v>22.5</v>
      </c>
      <c r="N209" s="12">
        <v>19</v>
      </c>
      <c r="O209" s="30">
        <v>19</v>
      </c>
      <c r="P209" s="31"/>
      <c r="Q209" s="11">
        <v>197.5</v>
      </c>
    </row>
    <row r="210" spans="5:17">
      <c r="E210" s="32" t="s">
        <v>61</v>
      </c>
      <c r="F210" s="31"/>
      <c r="G210" s="9" t="s">
        <v>40</v>
      </c>
      <c r="H210" s="12">
        <v>74</v>
      </c>
      <c r="I210" s="12">
        <v>84</v>
      </c>
      <c r="J210" s="12">
        <v>68</v>
      </c>
      <c r="K210" s="12">
        <v>65</v>
      </c>
      <c r="L210" s="12">
        <v>78</v>
      </c>
      <c r="M210" s="12">
        <v>72</v>
      </c>
      <c r="N210" s="12">
        <v>47</v>
      </c>
      <c r="O210" s="30">
        <v>45</v>
      </c>
      <c r="P210" s="31"/>
      <c r="Q210" s="11">
        <v>533</v>
      </c>
    </row>
    <row r="211" spans="5:17">
      <c r="E211" s="7" t="s">
        <v>62</v>
      </c>
      <c r="F211" s="7"/>
      <c r="G211" s="9" t="s">
        <v>63</v>
      </c>
      <c r="H211" s="12">
        <v>100</v>
      </c>
      <c r="I211" s="12">
        <v>100</v>
      </c>
      <c r="J211" s="12">
        <v>100</v>
      </c>
      <c r="K211" s="12">
        <v>100</v>
      </c>
      <c r="L211" s="12">
        <v>100</v>
      </c>
      <c r="M211" s="12">
        <v>100</v>
      </c>
      <c r="N211" s="12">
        <v>50</v>
      </c>
      <c r="O211" s="30">
        <v>50</v>
      </c>
      <c r="P211" s="31"/>
      <c r="Q211" s="11">
        <v>700</v>
      </c>
    </row>
    <row r="212" spans="5:17">
      <c r="E212" s="32" t="s">
        <v>64</v>
      </c>
      <c r="F212" s="31"/>
      <c r="G212" s="9" t="s">
        <v>65</v>
      </c>
      <c r="H212" s="10" t="s">
        <v>68</v>
      </c>
      <c r="I212" s="10" t="s">
        <v>70</v>
      </c>
      <c r="J212" s="10" t="s">
        <v>66</v>
      </c>
      <c r="K212" s="10" t="s">
        <v>66</v>
      </c>
      <c r="L212" s="10" t="s">
        <v>102</v>
      </c>
      <c r="M212" s="10" t="s">
        <v>68</v>
      </c>
      <c r="N212" s="10" t="s">
        <v>71</v>
      </c>
      <c r="O212" s="30" t="s">
        <v>71</v>
      </c>
      <c r="P212" s="31"/>
      <c r="Q212" s="9" t="s">
        <v>37</v>
      </c>
    </row>
    <row r="213" spans="5:17">
      <c r="E213" s="15" t="s">
        <v>72</v>
      </c>
      <c r="F213" s="15" t="s">
        <v>219</v>
      </c>
      <c r="G213" s="9" t="s">
        <v>74</v>
      </c>
      <c r="H213" s="10" t="s">
        <v>75</v>
      </c>
      <c r="I213" s="10" t="s">
        <v>75</v>
      </c>
      <c r="J213" s="10" t="s">
        <v>75</v>
      </c>
      <c r="K213" s="10" t="s">
        <v>75</v>
      </c>
      <c r="L213" s="10" t="s">
        <v>75</v>
      </c>
      <c r="M213" s="10" t="s">
        <v>75</v>
      </c>
      <c r="N213" s="10" t="s">
        <v>75</v>
      </c>
      <c r="O213" s="30" t="s">
        <v>75</v>
      </c>
      <c r="P213" s="31"/>
      <c r="Q213" s="9" t="s">
        <v>37</v>
      </c>
    </row>
    <row r="214" spans="5:17">
      <c r="E214" s="16" t="s">
        <v>37</v>
      </c>
      <c r="F214" s="16" t="s">
        <v>37</v>
      </c>
      <c r="G214" s="16" t="s">
        <v>37</v>
      </c>
      <c r="H214" s="17" t="s">
        <v>37</v>
      </c>
      <c r="I214" s="17" t="s">
        <v>37</v>
      </c>
      <c r="J214" s="17" t="s">
        <v>37</v>
      </c>
      <c r="K214" s="17" t="s">
        <v>37</v>
      </c>
      <c r="L214" s="17" t="s">
        <v>37</v>
      </c>
      <c r="M214" s="17" t="s">
        <v>37</v>
      </c>
      <c r="N214" s="17" t="s">
        <v>37</v>
      </c>
      <c r="O214" s="41" t="s">
        <v>37</v>
      </c>
      <c r="P214" s="28"/>
      <c r="Q214" s="17" t="s">
        <v>37</v>
      </c>
    </row>
    <row r="215" spans="5:17" ht="0" hidden="1" customHeight="1"/>
    <row r="216" spans="5:17" ht="0.6" customHeight="1"/>
    <row r="217" spans="5:17">
      <c r="E217" s="38" t="s">
        <v>35</v>
      </c>
      <c r="F217" s="31"/>
      <c r="G217" s="4" t="s">
        <v>36</v>
      </c>
      <c r="H217" s="6" t="s">
        <v>37</v>
      </c>
      <c r="I217" s="6" t="s">
        <v>37</v>
      </c>
      <c r="J217" s="6" t="s">
        <v>37</v>
      </c>
      <c r="K217" s="6" t="s">
        <v>37</v>
      </c>
      <c r="L217" s="6" t="s">
        <v>37</v>
      </c>
      <c r="M217" s="6" t="s">
        <v>37</v>
      </c>
      <c r="N217" s="6" t="s">
        <v>37</v>
      </c>
      <c r="O217" s="39" t="s">
        <v>37</v>
      </c>
      <c r="P217" s="28"/>
      <c r="Q217" s="6" t="s">
        <v>37</v>
      </c>
    </row>
    <row r="218" spans="5:17" ht="21">
      <c r="E218" s="32" t="s">
        <v>220</v>
      </c>
      <c r="F218" s="31"/>
      <c r="G218" s="8" t="s">
        <v>39</v>
      </c>
      <c r="H218" s="8" t="s">
        <v>19</v>
      </c>
      <c r="I218" s="8" t="s">
        <v>9</v>
      </c>
      <c r="J218" s="8" t="s">
        <v>21</v>
      </c>
      <c r="K218" s="8" t="s">
        <v>11</v>
      </c>
      <c r="L218" s="8" t="s">
        <v>17</v>
      </c>
      <c r="M218" s="8" t="s">
        <v>27</v>
      </c>
      <c r="N218" s="8" t="s">
        <v>7</v>
      </c>
      <c r="O218" s="40" t="s">
        <v>25</v>
      </c>
      <c r="P218" s="31"/>
      <c r="Q218" s="8" t="s">
        <v>40</v>
      </c>
    </row>
    <row r="219" spans="5:17" ht="22.5">
      <c r="E219" s="7" t="s">
        <v>41</v>
      </c>
      <c r="F219" s="7" t="s">
        <v>221</v>
      </c>
      <c r="G219" s="9" t="s">
        <v>43</v>
      </c>
      <c r="H219" s="10" t="s">
        <v>222</v>
      </c>
      <c r="I219" s="10" t="s">
        <v>223</v>
      </c>
      <c r="J219" s="10" t="s">
        <v>224</v>
      </c>
      <c r="K219" s="10" t="s">
        <v>225</v>
      </c>
      <c r="L219" s="10" t="s">
        <v>226</v>
      </c>
      <c r="M219" s="10" t="s">
        <v>227</v>
      </c>
      <c r="N219" s="10" t="s">
        <v>166</v>
      </c>
      <c r="O219" s="30" t="s">
        <v>51</v>
      </c>
      <c r="P219" s="31"/>
      <c r="Q219" s="9" t="s">
        <v>37</v>
      </c>
    </row>
    <row r="220" spans="5:17">
      <c r="E220" s="32" t="s">
        <v>228</v>
      </c>
      <c r="F220" s="33"/>
      <c r="G220" s="9" t="s">
        <v>53</v>
      </c>
      <c r="H220" s="10" t="s">
        <v>51</v>
      </c>
      <c r="I220" s="10" t="s">
        <v>51</v>
      </c>
      <c r="J220" s="10" t="s">
        <v>51</v>
      </c>
      <c r="K220" s="10" t="s">
        <v>51</v>
      </c>
      <c r="L220" s="10" t="s">
        <v>51</v>
      </c>
      <c r="M220" s="10" t="s">
        <v>51</v>
      </c>
      <c r="N220" s="10" t="s">
        <v>51</v>
      </c>
      <c r="O220" s="30" t="s">
        <v>54</v>
      </c>
      <c r="P220" s="31"/>
      <c r="Q220" s="9" t="s">
        <v>37</v>
      </c>
    </row>
    <row r="221" spans="5:17">
      <c r="E221" s="34"/>
      <c r="F221" s="35"/>
      <c r="G221" s="9" t="s">
        <v>55</v>
      </c>
      <c r="H221" s="10" t="s">
        <v>37</v>
      </c>
      <c r="I221" s="10" t="s">
        <v>37</v>
      </c>
      <c r="J221" s="10" t="s">
        <v>37</v>
      </c>
      <c r="K221" s="10" t="s">
        <v>37</v>
      </c>
      <c r="L221" s="10" t="s">
        <v>37</v>
      </c>
      <c r="M221" s="10" t="s">
        <v>37</v>
      </c>
      <c r="N221" s="10" t="s">
        <v>37</v>
      </c>
      <c r="O221" s="30" t="s">
        <v>37</v>
      </c>
      <c r="P221" s="31"/>
      <c r="Q221" s="11">
        <v>0</v>
      </c>
    </row>
    <row r="222" spans="5:17">
      <c r="E222" s="36"/>
      <c r="F222" s="37"/>
      <c r="G222" s="9" t="s">
        <v>56</v>
      </c>
      <c r="H222" s="12">
        <v>4</v>
      </c>
      <c r="I222" s="12">
        <v>4</v>
      </c>
      <c r="J222" s="12">
        <v>4</v>
      </c>
      <c r="K222" s="12">
        <v>3</v>
      </c>
      <c r="L222" s="12">
        <v>3</v>
      </c>
      <c r="M222" s="12">
        <v>3</v>
      </c>
      <c r="N222" s="12">
        <v>2</v>
      </c>
      <c r="O222" s="30">
        <v>2</v>
      </c>
      <c r="P222" s="31"/>
      <c r="Q222" s="11">
        <v>25</v>
      </c>
    </row>
    <row r="223" spans="5:17">
      <c r="E223" s="7" t="s">
        <v>57</v>
      </c>
      <c r="F223" s="13">
        <v>8.36</v>
      </c>
      <c r="G223" s="9" t="s">
        <v>58</v>
      </c>
      <c r="H223" s="12">
        <v>8.5</v>
      </c>
      <c r="I223" s="12">
        <v>9.5</v>
      </c>
      <c r="J223" s="12">
        <v>8</v>
      </c>
      <c r="K223" s="12">
        <v>7</v>
      </c>
      <c r="L223" s="12">
        <v>7</v>
      </c>
      <c r="M223" s="12">
        <v>8</v>
      </c>
      <c r="N223" s="12">
        <v>10</v>
      </c>
      <c r="O223" s="30">
        <v>9.5</v>
      </c>
      <c r="P223" s="31"/>
      <c r="Q223" s="9" t="s">
        <v>37</v>
      </c>
    </row>
    <row r="224" spans="5:17">
      <c r="E224" s="7" t="s">
        <v>59</v>
      </c>
      <c r="F224" s="14">
        <v>8.36</v>
      </c>
      <c r="G224" s="9" t="s">
        <v>60</v>
      </c>
      <c r="H224" s="12">
        <v>34</v>
      </c>
      <c r="I224" s="12">
        <v>38</v>
      </c>
      <c r="J224" s="12">
        <v>32</v>
      </c>
      <c r="K224" s="12">
        <v>21</v>
      </c>
      <c r="L224" s="12">
        <v>21</v>
      </c>
      <c r="M224" s="12">
        <v>24</v>
      </c>
      <c r="N224" s="12">
        <v>20</v>
      </c>
      <c r="O224" s="30">
        <v>19</v>
      </c>
      <c r="P224" s="31"/>
      <c r="Q224" s="11">
        <v>209</v>
      </c>
    </row>
    <row r="225" spans="5:17">
      <c r="E225" s="32" t="s">
        <v>61</v>
      </c>
      <c r="F225" s="31"/>
      <c r="G225" s="9" t="s">
        <v>40</v>
      </c>
      <c r="H225" s="12">
        <v>82</v>
      </c>
      <c r="I225" s="12">
        <v>93</v>
      </c>
      <c r="J225" s="12">
        <v>78</v>
      </c>
      <c r="K225" s="12">
        <v>69</v>
      </c>
      <c r="L225" s="12">
        <v>69</v>
      </c>
      <c r="M225" s="12">
        <v>79</v>
      </c>
      <c r="N225" s="12">
        <v>49</v>
      </c>
      <c r="O225" s="30">
        <v>45</v>
      </c>
      <c r="P225" s="31"/>
      <c r="Q225" s="11">
        <v>564</v>
      </c>
    </row>
    <row r="226" spans="5:17">
      <c r="E226" s="7" t="s">
        <v>62</v>
      </c>
      <c r="F226" s="7"/>
      <c r="G226" s="9" t="s">
        <v>63</v>
      </c>
      <c r="H226" s="12">
        <v>100</v>
      </c>
      <c r="I226" s="12">
        <v>100</v>
      </c>
      <c r="J226" s="12">
        <v>100</v>
      </c>
      <c r="K226" s="12">
        <v>100</v>
      </c>
      <c r="L226" s="12">
        <v>100</v>
      </c>
      <c r="M226" s="12">
        <v>100</v>
      </c>
      <c r="N226" s="12">
        <v>50</v>
      </c>
      <c r="O226" s="30">
        <v>50</v>
      </c>
      <c r="P226" s="31"/>
      <c r="Q226" s="11">
        <v>700</v>
      </c>
    </row>
    <row r="227" spans="5:17">
      <c r="E227" s="32" t="s">
        <v>200</v>
      </c>
      <c r="F227" s="31"/>
      <c r="G227" s="9" t="s">
        <v>65</v>
      </c>
      <c r="H227" s="10" t="s">
        <v>70</v>
      </c>
      <c r="I227" s="10" t="s">
        <v>71</v>
      </c>
      <c r="J227" s="10" t="s">
        <v>102</v>
      </c>
      <c r="K227" s="10" t="s">
        <v>66</v>
      </c>
      <c r="L227" s="10" t="s">
        <v>66</v>
      </c>
      <c r="M227" s="10" t="s">
        <v>102</v>
      </c>
      <c r="N227" s="10" t="s">
        <v>88</v>
      </c>
      <c r="O227" s="30" t="s">
        <v>71</v>
      </c>
      <c r="P227" s="31"/>
      <c r="Q227" s="9" t="s">
        <v>37</v>
      </c>
    </row>
    <row r="228" spans="5:17">
      <c r="E228" s="15" t="s">
        <v>72</v>
      </c>
      <c r="F228" s="15" t="s">
        <v>229</v>
      </c>
      <c r="G228" s="9" t="s">
        <v>74</v>
      </c>
      <c r="H228" s="10" t="s">
        <v>75</v>
      </c>
      <c r="I228" s="10" t="s">
        <v>75</v>
      </c>
      <c r="J228" s="10" t="s">
        <v>75</v>
      </c>
      <c r="K228" s="10" t="s">
        <v>75</v>
      </c>
      <c r="L228" s="10" t="s">
        <v>75</v>
      </c>
      <c r="M228" s="10" t="s">
        <v>75</v>
      </c>
      <c r="N228" s="10" t="s">
        <v>75</v>
      </c>
      <c r="O228" s="30" t="s">
        <v>75</v>
      </c>
      <c r="P228" s="31"/>
      <c r="Q228" s="9" t="s">
        <v>37</v>
      </c>
    </row>
    <row r="229" spans="5:17">
      <c r="E229" s="16" t="s">
        <v>37</v>
      </c>
      <c r="F229" s="16" t="s">
        <v>37</v>
      </c>
      <c r="G229" s="16" t="s">
        <v>37</v>
      </c>
      <c r="H229" s="17" t="s">
        <v>37</v>
      </c>
      <c r="I229" s="17" t="s">
        <v>37</v>
      </c>
      <c r="J229" s="17" t="s">
        <v>37</v>
      </c>
      <c r="K229" s="17" t="s">
        <v>37</v>
      </c>
      <c r="L229" s="17" t="s">
        <v>37</v>
      </c>
      <c r="M229" s="17" t="s">
        <v>37</v>
      </c>
      <c r="N229" s="17" t="s">
        <v>37</v>
      </c>
      <c r="O229" s="41" t="s">
        <v>37</v>
      </c>
      <c r="P229" s="28"/>
      <c r="Q229" s="17" t="s">
        <v>37</v>
      </c>
    </row>
    <row r="230" spans="5:17" ht="0" hidden="1" customHeight="1"/>
    <row r="231" spans="5:17" ht="0.6" customHeight="1"/>
    <row r="232" spans="5:17">
      <c r="E232" s="38" t="s">
        <v>35</v>
      </c>
      <c r="F232" s="31"/>
      <c r="G232" s="4" t="s">
        <v>36</v>
      </c>
      <c r="H232" s="6" t="s">
        <v>37</v>
      </c>
      <c r="I232" s="6" t="s">
        <v>37</v>
      </c>
      <c r="J232" s="6" t="s">
        <v>37</v>
      </c>
      <c r="K232" s="6" t="s">
        <v>37</v>
      </c>
      <c r="L232" s="6" t="s">
        <v>37</v>
      </c>
      <c r="M232" s="6" t="s">
        <v>37</v>
      </c>
      <c r="N232" s="6" t="s">
        <v>37</v>
      </c>
      <c r="O232" s="39" t="s">
        <v>37</v>
      </c>
      <c r="P232" s="28"/>
      <c r="Q232" s="6" t="s">
        <v>37</v>
      </c>
    </row>
    <row r="233" spans="5:17" ht="21">
      <c r="E233" s="32" t="s">
        <v>230</v>
      </c>
      <c r="F233" s="31"/>
      <c r="G233" s="8" t="s">
        <v>39</v>
      </c>
      <c r="H233" s="8" t="s">
        <v>19</v>
      </c>
      <c r="I233" s="8" t="s">
        <v>9</v>
      </c>
      <c r="J233" s="8" t="s">
        <v>21</v>
      </c>
      <c r="K233" s="8" t="s">
        <v>11</v>
      </c>
      <c r="L233" s="8" t="s">
        <v>17</v>
      </c>
      <c r="M233" s="8" t="s">
        <v>27</v>
      </c>
      <c r="N233" s="8" t="s">
        <v>5</v>
      </c>
      <c r="O233" s="40" t="s">
        <v>7</v>
      </c>
      <c r="P233" s="31"/>
      <c r="Q233" s="8" t="s">
        <v>40</v>
      </c>
    </row>
    <row r="234" spans="5:17" ht="22.5">
      <c r="E234" s="7" t="s">
        <v>41</v>
      </c>
      <c r="F234" s="7" t="s">
        <v>231</v>
      </c>
      <c r="G234" s="9" t="s">
        <v>43</v>
      </c>
      <c r="H234" s="10" t="s">
        <v>232</v>
      </c>
      <c r="I234" s="10" t="s">
        <v>233</v>
      </c>
      <c r="J234" s="10" t="s">
        <v>234</v>
      </c>
      <c r="K234" s="10" t="s">
        <v>235</v>
      </c>
      <c r="L234" s="10" t="s">
        <v>107</v>
      </c>
      <c r="M234" s="10" t="s">
        <v>236</v>
      </c>
      <c r="N234" s="10" t="s">
        <v>51</v>
      </c>
      <c r="O234" s="30" t="s">
        <v>112</v>
      </c>
      <c r="P234" s="31"/>
      <c r="Q234" s="9" t="s">
        <v>37</v>
      </c>
    </row>
    <row r="235" spans="5:17">
      <c r="E235" s="32" t="s">
        <v>237</v>
      </c>
      <c r="F235" s="33"/>
      <c r="G235" s="9" t="s">
        <v>53</v>
      </c>
      <c r="H235" s="10" t="s">
        <v>51</v>
      </c>
      <c r="I235" s="10" t="s">
        <v>51</v>
      </c>
      <c r="J235" s="10" t="s">
        <v>51</v>
      </c>
      <c r="K235" s="10" t="s">
        <v>51</v>
      </c>
      <c r="L235" s="10" t="s">
        <v>51</v>
      </c>
      <c r="M235" s="10" t="s">
        <v>51</v>
      </c>
      <c r="N235" s="10" t="s">
        <v>100</v>
      </c>
      <c r="O235" s="30" t="s">
        <v>51</v>
      </c>
      <c r="P235" s="31"/>
      <c r="Q235" s="9" t="s">
        <v>37</v>
      </c>
    </row>
    <row r="236" spans="5:17">
      <c r="E236" s="34"/>
      <c r="F236" s="35"/>
      <c r="G236" s="9" t="s">
        <v>55</v>
      </c>
      <c r="H236" s="10" t="s">
        <v>37</v>
      </c>
      <c r="I236" s="10" t="s">
        <v>37</v>
      </c>
      <c r="J236" s="10" t="s">
        <v>37</v>
      </c>
      <c r="K236" s="10" t="s">
        <v>37</v>
      </c>
      <c r="L236" s="10" t="s">
        <v>37</v>
      </c>
      <c r="M236" s="10" t="s">
        <v>37</v>
      </c>
      <c r="N236" s="10" t="s">
        <v>37</v>
      </c>
      <c r="O236" s="30" t="s">
        <v>37</v>
      </c>
      <c r="P236" s="31"/>
      <c r="Q236" s="11">
        <v>0</v>
      </c>
    </row>
    <row r="237" spans="5:17">
      <c r="E237" s="36"/>
      <c r="F237" s="37"/>
      <c r="G237" s="9" t="s">
        <v>56</v>
      </c>
      <c r="H237" s="12">
        <v>4</v>
      </c>
      <c r="I237" s="12">
        <v>4</v>
      </c>
      <c r="J237" s="12">
        <v>4</v>
      </c>
      <c r="K237" s="12">
        <v>3</v>
      </c>
      <c r="L237" s="12">
        <v>3</v>
      </c>
      <c r="M237" s="12">
        <v>3</v>
      </c>
      <c r="N237" s="12">
        <v>2</v>
      </c>
      <c r="O237" s="30">
        <v>2</v>
      </c>
      <c r="P237" s="31"/>
      <c r="Q237" s="11">
        <v>25</v>
      </c>
    </row>
    <row r="238" spans="5:17">
      <c r="E238" s="7" t="s">
        <v>57</v>
      </c>
      <c r="F238" s="13">
        <v>7.08</v>
      </c>
      <c r="G238" s="9" t="s">
        <v>58</v>
      </c>
      <c r="H238" s="12">
        <v>7</v>
      </c>
      <c r="I238" s="12">
        <v>6.5</v>
      </c>
      <c r="J238" s="12">
        <v>7.5</v>
      </c>
      <c r="K238" s="12">
        <v>6</v>
      </c>
      <c r="L238" s="12">
        <v>7</v>
      </c>
      <c r="M238" s="12">
        <v>6</v>
      </c>
      <c r="N238" s="12">
        <v>10</v>
      </c>
      <c r="O238" s="30">
        <v>8</v>
      </c>
      <c r="P238" s="31"/>
      <c r="Q238" s="9" t="s">
        <v>37</v>
      </c>
    </row>
    <row r="239" spans="5:17">
      <c r="E239" s="7" t="s">
        <v>59</v>
      </c>
      <c r="F239" s="14">
        <v>7.08</v>
      </c>
      <c r="G239" s="9" t="s">
        <v>60</v>
      </c>
      <c r="H239" s="12">
        <v>28</v>
      </c>
      <c r="I239" s="12">
        <v>26</v>
      </c>
      <c r="J239" s="12">
        <v>30</v>
      </c>
      <c r="K239" s="12">
        <v>18</v>
      </c>
      <c r="L239" s="12">
        <v>21</v>
      </c>
      <c r="M239" s="12">
        <v>18</v>
      </c>
      <c r="N239" s="12">
        <v>20</v>
      </c>
      <c r="O239" s="30">
        <v>16</v>
      </c>
      <c r="P239" s="31"/>
      <c r="Q239" s="11">
        <v>177</v>
      </c>
    </row>
    <row r="240" spans="5:17">
      <c r="E240" s="32" t="s">
        <v>61</v>
      </c>
      <c r="F240" s="31"/>
      <c r="G240" s="9" t="s">
        <v>40</v>
      </c>
      <c r="H240" s="12">
        <v>66</v>
      </c>
      <c r="I240" s="12">
        <v>60</v>
      </c>
      <c r="J240" s="12">
        <v>72</v>
      </c>
      <c r="K240" s="12">
        <v>58</v>
      </c>
      <c r="L240" s="12">
        <v>69</v>
      </c>
      <c r="M240" s="12">
        <v>56</v>
      </c>
      <c r="N240" s="12">
        <v>50</v>
      </c>
      <c r="O240" s="30">
        <v>38</v>
      </c>
      <c r="P240" s="31"/>
      <c r="Q240" s="11">
        <v>469</v>
      </c>
    </row>
    <row r="241" spans="5:17">
      <c r="E241" s="7" t="s">
        <v>62</v>
      </c>
      <c r="F241" s="7"/>
      <c r="G241" s="9" t="s">
        <v>63</v>
      </c>
      <c r="H241" s="12">
        <v>100</v>
      </c>
      <c r="I241" s="12">
        <v>100</v>
      </c>
      <c r="J241" s="12">
        <v>100</v>
      </c>
      <c r="K241" s="12">
        <v>100</v>
      </c>
      <c r="L241" s="12">
        <v>100</v>
      </c>
      <c r="M241" s="12">
        <v>100</v>
      </c>
      <c r="N241" s="12">
        <v>50</v>
      </c>
      <c r="O241" s="30">
        <v>50</v>
      </c>
      <c r="P241" s="31"/>
      <c r="Q241" s="11">
        <v>700</v>
      </c>
    </row>
    <row r="242" spans="5:17">
      <c r="E242" s="32" t="s">
        <v>101</v>
      </c>
      <c r="F242" s="31"/>
      <c r="G242" s="9" t="s">
        <v>65</v>
      </c>
      <c r="H242" s="10" t="s">
        <v>66</v>
      </c>
      <c r="I242" s="10" t="s">
        <v>69</v>
      </c>
      <c r="J242" s="10" t="s">
        <v>68</v>
      </c>
      <c r="K242" s="10" t="s">
        <v>103</v>
      </c>
      <c r="L242" s="10" t="s">
        <v>66</v>
      </c>
      <c r="M242" s="10" t="s">
        <v>103</v>
      </c>
      <c r="N242" s="10" t="s">
        <v>88</v>
      </c>
      <c r="O242" s="30" t="s">
        <v>102</v>
      </c>
      <c r="P242" s="31"/>
      <c r="Q242" s="9" t="s">
        <v>37</v>
      </c>
    </row>
    <row r="243" spans="5:17">
      <c r="E243" s="15" t="s">
        <v>72</v>
      </c>
      <c r="F243" s="15" t="s">
        <v>238</v>
      </c>
      <c r="G243" s="9" t="s">
        <v>74</v>
      </c>
      <c r="H243" s="10" t="s">
        <v>75</v>
      </c>
      <c r="I243" s="10" t="s">
        <v>75</v>
      </c>
      <c r="J243" s="10" t="s">
        <v>75</v>
      </c>
      <c r="K243" s="10" t="s">
        <v>75</v>
      </c>
      <c r="L243" s="10" t="s">
        <v>75</v>
      </c>
      <c r="M243" s="10" t="s">
        <v>75</v>
      </c>
      <c r="N243" s="10" t="s">
        <v>75</v>
      </c>
      <c r="O243" s="30" t="s">
        <v>75</v>
      </c>
      <c r="P243" s="31"/>
      <c r="Q243" s="9" t="s">
        <v>37</v>
      </c>
    </row>
    <row r="244" spans="5:17">
      <c r="E244" s="16" t="s">
        <v>37</v>
      </c>
      <c r="F244" s="16" t="s">
        <v>37</v>
      </c>
      <c r="G244" s="16" t="s">
        <v>37</v>
      </c>
      <c r="H244" s="17" t="s">
        <v>37</v>
      </c>
      <c r="I244" s="17" t="s">
        <v>37</v>
      </c>
      <c r="J244" s="17" t="s">
        <v>37</v>
      </c>
      <c r="K244" s="17" t="s">
        <v>37</v>
      </c>
      <c r="L244" s="17" t="s">
        <v>37</v>
      </c>
      <c r="M244" s="17" t="s">
        <v>37</v>
      </c>
      <c r="N244" s="17" t="s">
        <v>37</v>
      </c>
      <c r="O244" s="41" t="s">
        <v>37</v>
      </c>
      <c r="P244" s="28"/>
      <c r="Q244" s="17" t="s">
        <v>37</v>
      </c>
    </row>
    <row r="245" spans="5:17" ht="0" hidden="1" customHeight="1"/>
    <row r="246" spans="5:17" ht="0.6" customHeight="1"/>
    <row r="247" spans="5:17">
      <c r="E247" s="38" t="s">
        <v>35</v>
      </c>
      <c r="F247" s="31"/>
      <c r="G247" s="4" t="s">
        <v>36</v>
      </c>
      <c r="H247" s="6" t="s">
        <v>37</v>
      </c>
      <c r="I247" s="6" t="s">
        <v>37</v>
      </c>
      <c r="J247" s="6" t="s">
        <v>37</v>
      </c>
      <c r="K247" s="6" t="s">
        <v>37</v>
      </c>
      <c r="L247" s="6" t="s">
        <v>37</v>
      </c>
      <c r="M247" s="6" t="s">
        <v>37</v>
      </c>
      <c r="N247" s="6" t="s">
        <v>37</v>
      </c>
      <c r="O247" s="39" t="s">
        <v>37</v>
      </c>
      <c r="P247" s="28"/>
      <c r="Q247" s="6" t="s">
        <v>37</v>
      </c>
    </row>
    <row r="248" spans="5:17" ht="21">
      <c r="E248" s="32" t="s">
        <v>239</v>
      </c>
      <c r="F248" s="31"/>
      <c r="G248" s="8" t="s">
        <v>39</v>
      </c>
      <c r="H248" s="8" t="s">
        <v>19</v>
      </c>
      <c r="I248" s="8" t="s">
        <v>9</v>
      </c>
      <c r="J248" s="8" t="s">
        <v>21</v>
      </c>
      <c r="K248" s="8" t="s">
        <v>11</v>
      </c>
      <c r="L248" s="8" t="s">
        <v>17</v>
      </c>
      <c r="M248" s="8" t="s">
        <v>27</v>
      </c>
      <c r="N248" s="8" t="s">
        <v>5</v>
      </c>
      <c r="O248" s="40" t="s">
        <v>7</v>
      </c>
      <c r="P248" s="31"/>
      <c r="Q248" s="8" t="s">
        <v>40</v>
      </c>
    </row>
    <row r="249" spans="5:17" ht="22.5">
      <c r="E249" s="7" t="s">
        <v>41</v>
      </c>
      <c r="F249" s="7" t="s">
        <v>240</v>
      </c>
      <c r="G249" s="9" t="s">
        <v>43</v>
      </c>
      <c r="H249" s="10" t="s">
        <v>241</v>
      </c>
      <c r="I249" s="10" t="s">
        <v>242</v>
      </c>
      <c r="J249" s="10" t="s">
        <v>243</v>
      </c>
      <c r="K249" s="10" t="s">
        <v>244</v>
      </c>
      <c r="L249" s="10" t="s">
        <v>245</v>
      </c>
      <c r="M249" s="10" t="s">
        <v>246</v>
      </c>
      <c r="N249" s="10" t="s">
        <v>51</v>
      </c>
      <c r="O249" s="30" t="s">
        <v>247</v>
      </c>
      <c r="P249" s="31"/>
      <c r="Q249" s="9" t="s">
        <v>37</v>
      </c>
    </row>
    <row r="250" spans="5:17">
      <c r="E250" s="32" t="s">
        <v>248</v>
      </c>
      <c r="F250" s="33"/>
      <c r="G250" s="9" t="s">
        <v>53</v>
      </c>
      <c r="H250" s="10" t="s">
        <v>51</v>
      </c>
      <c r="I250" s="10" t="s">
        <v>51</v>
      </c>
      <c r="J250" s="10" t="s">
        <v>51</v>
      </c>
      <c r="K250" s="10" t="s">
        <v>51</v>
      </c>
      <c r="L250" s="10" t="s">
        <v>51</v>
      </c>
      <c r="M250" s="10" t="s">
        <v>51</v>
      </c>
      <c r="N250" s="10" t="s">
        <v>100</v>
      </c>
      <c r="O250" s="30" t="s">
        <v>51</v>
      </c>
      <c r="P250" s="31"/>
      <c r="Q250" s="9" t="s">
        <v>37</v>
      </c>
    </row>
    <row r="251" spans="5:17">
      <c r="E251" s="34"/>
      <c r="F251" s="35"/>
      <c r="G251" s="9" t="s">
        <v>55</v>
      </c>
      <c r="H251" s="10" t="s">
        <v>37</v>
      </c>
      <c r="I251" s="10" t="s">
        <v>37</v>
      </c>
      <c r="J251" s="10" t="s">
        <v>37</v>
      </c>
      <c r="K251" s="10" t="s">
        <v>37</v>
      </c>
      <c r="L251" s="10" t="s">
        <v>37</v>
      </c>
      <c r="M251" s="10" t="s">
        <v>37</v>
      </c>
      <c r="N251" s="10" t="s">
        <v>37</v>
      </c>
      <c r="O251" s="30" t="s">
        <v>37</v>
      </c>
      <c r="P251" s="31"/>
      <c r="Q251" s="11">
        <v>0</v>
      </c>
    </row>
    <row r="252" spans="5:17">
      <c r="E252" s="36"/>
      <c r="F252" s="37"/>
      <c r="G252" s="9" t="s">
        <v>56</v>
      </c>
      <c r="H252" s="12">
        <v>4</v>
      </c>
      <c r="I252" s="12">
        <v>4</v>
      </c>
      <c r="J252" s="12">
        <v>4</v>
      </c>
      <c r="K252" s="12">
        <v>3</v>
      </c>
      <c r="L252" s="12">
        <v>3</v>
      </c>
      <c r="M252" s="12">
        <v>3</v>
      </c>
      <c r="N252" s="12">
        <v>2</v>
      </c>
      <c r="O252" s="30">
        <v>2</v>
      </c>
      <c r="P252" s="31"/>
      <c r="Q252" s="11">
        <v>25</v>
      </c>
    </row>
    <row r="253" spans="5:17">
      <c r="E253" s="7" t="s">
        <v>57</v>
      </c>
      <c r="F253" s="13">
        <v>8.02</v>
      </c>
      <c r="G253" s="9" t="s">
        <v>58</v>
      </c>
      <c r="H253" s="12">
        <v>7.5</v>
      </c>
      <c r="I253" s="12">
        <v>7</v>
      </c>
      <c r="J253" s="12">
        <v>8</v>
      </c>
      <c r="K253" s="12">
        <v>7.5</v>
      </c>
      <c r="L253" s="12">
        <v>8.5</v>
      </c>
      <c r="M253" s="12">
        <v>8.5</v>
      </c>
      <c r="N253" s="12">
        <v>10</v>
      </c>
      <c r="O253" s="30">
        <v>8.5</v>
      </c>
      <c r="P253" s="31"/>
      <c r="Q253" s="9" t="s">
        <v>37</v>
      </c>
    </row>
    <row r="254" spans="5:17">
      <c r="E254" s="7" t="s">
        <v>59</v>
      </c>
      <c r="F254" s="14">
        <v>8.02</v>
      </c>
      <c r="G254" s="9" t="s">
        <v>60</v>
      </c>
      <c r="H254" s="12">
        <v>30</v>
      </c>
      <c r="I254" s="12">
        <v>28</v>
      </c>
      <c r="J254" s="12">
        <v>32</v>
      </c>
      <c r="K254" s="12">
        <v>22.5</v>
      </c>
      <c r="L254" s="12">
        <v>25.5</v>
      </c>
      <c r="M254" s="12">
        <v>25.5</v>
      </c>
      <c r="N254" s="12">
        <v>20</v>
      </c>
      <c r="O254" s="30">
        <v>17</v>
      </c>
      <c r="P254" s="31"/>
      <c r="Q254" s="11">
        <v>200.5</v>
      </c>
    </row>
    <row r="255" spans="5:17">
      <c r="E255" s="32" t="s">
        <v>61</v>
      </c>
      <c r="F255" s="31"/>
      <c r="G255" s="9" t="s">
        <v>40</v>
      </c>
      <c r="H255" s="12">
        <v>74</v>
      </c>
      <c r="I255" s="12">
        <v>67</v>
      </c>
      <c r="J255" s="12">
        <v>79</v>
      </c>
      <c r="K255" s="12">
        <v>74</v>
      </c>
      <c r="L255" s="12">
        <v>80</v>
      </c>
      <c r="M255" s="12">
        <v>84</v>
      </c>
      <c r="N255" s="12">
        <v>50</v>
      </c>
      <c r="O255" s="30">
        <v>40</v>
      </c>
      <c r="P255" s="31"/>
      <c r="Q255" s="11">
        <v>548</v>
      </c>
    </row>
    <row r="256" spans="5:17">
      <c r="E256" s="7" t="s">
        <v>62</v>
      </c>
      <c r="F256" s="7"/>
      <c r="G256" s="9" t="s">
        <v>63</v>
      </c>
      <c r="H256" s="12">
        <v>100</v>
      </c>
      <c r="I256" s="12">
        <v>100</v>
      </c>
      <c r="J256" s="12">
        <v>100</v>
      </c>
      <c r="K256" s="12">
        <v>100</v>
      </c>
      <c r="L256" s="12">
        <v>100</v>
      </c>
      <c r="M256" s="12">
        <v>100</v>
      </c>
      <c r="N256" s="12">
        <v>50</v>
      </c>
      <c r="O256" s="30">
        <v>50</v>
      </c>
      <c r="P256" s="31"/>
      <c r="Q256" s="11">
        <v>700</v>
      </c>
    </row>
    <row r="257" spans="5:17">
      <c r="E257" s="32" t="s">
        <v>200</v>
      </c>
      <c r="F257" s="31"/>
      <c r="G257" s="9" t="s">
        <v>65</v>
      </c>
      <c r="H257" s="10" t="s">
        <v>68</v>
      </c>
      <c r="I257" s="10" t="s">
        <v>66</v>
      </c>
      <c r="J257" s="10" t="s">
        <v>102</v>
      </c>
      <c r="K257" s="10" t="s">
        <v>68</v>
      </c>
      <c r="L257" s="10" t="s">
        <v>70</v>
      </c>
      <c r="M257" s="10" t="s">
        <v>70</v>
      </c>
      <c r="N257" s="10" t="s">
        <v>88</v>
      </c>
      <c r="O257" s="30" t="s">
        <v>70</v>
      </c>
      <c r="P257" s="31"/>
      <c r="Q257" s="9" t="s">
        <v>37</v>
      </c>
    </row>
    <row r="258" spans="5:17">
      <c r="E258" s="15" t="s">
        <v>72</v>
      </c>
      <c r="F258" s="15" t="s">
        <v>249</v>
      </c>
      <c r="G258" s="9" t="s">
        <v>74</v>
      </c>
      <c r="H258" s="10" t="s">
        <v>75</v>
      </c>
      <c r="I258" s="10" t="s">
        <v>75</v>
      </c>
      <c r="J258" s="10" t="s">
        <v>75</v>
      </c>
      <c r="K258" s="10" t="s">
        <v>75</v>
      </c>
      <c r="L258" s="10" t="s">
        <v>75</v>
      </c>
      <c r="M258" s="10" t="s">
        <v>75</v>
      </c>
      <c r="N258" s="10" t="s">
        <v>75</v>
      </c>
      <c r="O258" s="30" t="s">
        <v>75</v>
      </c>
      <c r="P258" s="31"/>
      <c r="Q258" s="9" t="s">
        <v>37</v>
      </c>
    </row>
    <row r="259" spans="5:17">
      <c r="E259" s="16" t="s">
        <v>37</v>
      </c>
      <c r="F259" s="16" t="s">
        <v>37</v>
      </c>
      <c r="G259" s="16" t="s">
        <v>37</v>
      </c>
      <c r="H259" s="17" t="s">
        <v>37</v>
      </c>
      <c r="I259" s="17" t="s">
        <v>37</v>
      </c>
      <c r="J259" s="17" t="s">
        <v>37</v>
      </c>
      <c r="K259" s="17" t="s">
        <v>37</v>
      </c>
      <c r="L259" s="17" t="s">
        <v>37</v>
      </c>
      <c r="M259" s="17" t="s">
        <v>37</v>
      </c>
      <c r="N259" s="17" t="s">
        <v>37</v>
      </c>
      <c r="O259" s="41" t="s">
        <v>37</v>
      </c>
      <c r="P259" s="28"/>
      <c r="Q259" s="17" t="s">
        <v>37</v>
      </c>
    </row>
    <row r="260" spans="5:17" ht="0" hidden="1" customHeight="1"/>
    <row r="261" spans="5:17" ht="0.6" customHeight="1"/>
    <row r="262" spans="5:17">
      <c r="E262" s="38" t="s">
        <v>35</v>
      </c>
      <c r="F262" s="31"/>
      <c r="G262" s="4" t="s">
        <v>36</v>
      </c>
      <c r="H262" s="6" t="s">
        <v>37</v>
      </c>
      <c r="I262" s="6" t="s">
        <v>37</v>
      </c>
      <c r="J262" s="6" t="s">
        <v>37</v>
      </c>
      <c r="K262" s="6" t="s">
        <v>37</v>
      </c>
      <c r="L262" s="6" t="s">
        <v>37</v>
      </c>
      <c r="M262" s="6" t="s">
        <v>37</v>
      </c>
      <c r="N262" s="6" t="s">
        <v>37</v>
      </c>
      <c r="O262" s="39" t="s">
        <v>37</v>
      </c>
      <c r="P262" s="28"/>
      <c r="Q262" s="6" t="s">
        <v>37</v>
      </c>
    </row>
    <row r="263" spans="5:17" ht="21">
      <c r="E263" s="32" t="s">
        <v>250</v>
      </c>
      <c r="F263" s="31"/>
      <c r="G263" s="8" t="s">
        <v>39</v>
      </c>
      <c r="H263" s="8" t="s">
        <v>19</v>
      </c>
      <c r="I263" s="8" t="s">
        <v>9</v>
      </c>
      <c r="J263" s="8" t="s">
        <v>21</v>
      </c>
      <c r="K263" s="8" t="s">
        <v>11</v>
      </c>
      <c r="L263" s="8" t="s">
        <v>17</v>
      </c>
      <c r="M263" s="8" t="s">
        <v>27</v>
      </c>
      <c r="N263" s="8" t="s">
        <v>7</v>
      </c>
      <c r="O263" s="40" t="s">
        <v>29</v>
      </c>
      <c r="P263" s="31"/>
      <c r="Q263" s="8" t="s">
        <v>40</v>
      </c>
    </row>
    <row r="264" spans="5:17" ht="22.5">
      <c r="E264" s="7" t="s">
        <v>41</v>
      </c>
      <c r="F264" s="7" t="s">
        <v>251</v>
      </c>
      <c r="G264" s="9" t="s">
        <v>43</v>
      </c>
      <c r="H264" s="10" t="s">
        <v>252</v>
      </c>
      <c r="I264" s="10" t="s">
        <v>253</v>
      </c>
      <c r="J264" s="10" t="s">
        <v>252</v>
      </c>
      <c r="K264" s="10" t="s">
        <v>254</v>
      </c>
      <c r="L264" s="10" t="s">
        <v>255</v>
      </c>
      <c r="M264" s="10" t="s">
        <v>256</v>
      </c>
      <c r="N264" s="10" t="s">
        <v>257</v>
      </c>
      <c r="O264" s="30" t="s">
        <v>51</v>
      </c>
      <c r="P264" s="31"/>
      <c r="Q264" s="9" t="s">
        <v>37</v>
      </c>
    </row>
    <row r="265" spans="5:17">
      <c r="E265" s="32" t="s">
        <v>258</v>
      </c>
      <c r="F265" s="33"/>
      <c r="G265" s="9" t="s">
        <v>53</v>
      </c>
      <c r="H265" s="10" t="s">
        <v>51</v>
      </c>
      <c r="I265" s="10" t="s">
        <v>51</v>
      </c>
      <c r="J265" s="10" t="s">
        <v>51</v>
      </c>
      <c r="K265" s="10" t="s">
        <v>51</v>
      </c>
      <c r="L265" s="10" t="s">
        <v>51</v>
      </c>
      <c r="M265" s="10" t="s">
        <v>51</v>
      </c>
      <c r="N265" s="10" t="s">
        <v>51</v>
      </c>
      <c r="O265" s="30" t="s">
        <v>259</v>
      </c>
      <c r="P265" s="31"/>
      <c r="Q265" s="9" t="s">
        <v>37</v>
      </c>
    </row>
    <row r="266" spans="5:17">
      <c r="E266" s="34"/>
      <c r="F266" s="35"/>
      <c r="G266" s="9" t="s">
        <v>55</v>
      </c>
      <c r="H266" s="10" t="s">
        <v>37</v>
      </c>
      <c r="I266" s="10" t="s">
        <v>37</v>
      </c>
      <c r="J266" s="10" t="s">
        <v>37</v>
      </c>
      <c r="K266" s="10" t="s">
        <v>37</v>
      </c>
      <c r="L266" s="10" t="s">
        <v>37</v>
      </c>
      <c r="M266" s="10" t="s">
        <v>37</v>
      </c>
      <c r="N266" s="10" t="s">
        <v>37</v>
      </c>
      <c r="O266" s="30" t="s">
        <v>37</v>
      </c>
      <c r="P266" s="31"/>
      <c r="Q266" s="11">
        <v>0</v>
      </c>
    </row>
    <row r="267" spans="5:17">
      <c r="E267" s="36"/>
      <c r="F267" s="37"/>
      <c r="G267" s="9" t="s">
        <v>56</v>
      </c>
      <c r="H267" s="12">
        <v>4</v>
      </c>
      <c r="I267" s="12">
        <v>4</v>
      </c>
      <c r="J267" s="12">
        <v>4</v>
      </c>
      <c r="K267" s="12">
        <v>3</v>
      </c>
      <c r="L267" s="12">
        <v>3</v>
      </c>
      <c r="M267" s="12">
        <v>3</v>
      </c>
      <c r="N267" s="12">
        <v>2</v>
      </c>
      <c r="O267" s="30">
        <v>2</v>
      </c>
      <c r="P267" s="31"/>
      <c r="Q267" s="11">
        <v>15</v>
      </c>
    </row>
    <row r="268" spans="5:17">
      <c r="E268" s="7" t="s">
        <v>57</v>
      </c>
      <c r="F268" s="13">
        <v>3.46</v>
      </c>
      <c r="G268" s="9" t="s">
        <v>58</v>
      </c>
      <c r="H268" s="12">
        <v>5</v>
      </c>
      <c r="I268" s="10"/>
      <c r="J268" s="12">
        <v>5</v>
      </c>
      <c r="K268" s="12">
        <v>5.5</v>
      </c>
      <c r="L268" s="10"/>
      <c r="M268" s="10"/>
      <c r="N268" s="12">
        <v>6.5</v>
      </c>
      <c r="O268" s="30">
        <v>8.5</v>
      </c>
      <c r="P268" s="31"/>
      <c r="Q268" s="9" t="s">
        <v>37</v>
      </c>
    </row>
    <row r="269" spans="5:17">
      <c r="E269" s="7" t="s">
        <v>59</v>
      </c>
      <c r="F269" s="7"/>
      <c r="G269" s="9" t="s">
        <v>60</v>
      </c>
      <c r="H269" s="12">
        <v>20</v>
      </c>
      <c r="I269" s="10"/>
      <c r="J269" s="12">
        <v>20</v>
      </c>
      <c r="K269" s="12">
        <v>16.5</v>
      </c>
      <c r="L269" s="10"/>
      <c r="M269" s="10"/>
      <c r="N269" s="12">
        <v>13</v>
      </c>
      <c r="O269" s="30">
        <v>17</v>
      </c>
      <c r="P269" s="31"/>
      <c r="Q269" s="11">
        <v>86.5</v>
      </c>
    </row>
    <row r="270" spans="5:17">
      <c r="E270" s="32" t="s">
        <v>260</v>
      </c>
      <c r="F270" s="31"/>
      <c r="G270" s="9" t="s">
        <v>40</v>
      </c>
      <c r="H270" s="12">
        <v>47</v>
      </c>
      <c r="I270" s="12">
        <v>38</v>
      </c>
      <c r="J270" s="12">
        <v>47</v>
      </c>
      <c r="K270" s="12">
        <v>51</v>
      </c>
      <c r="L270" s="12">
        <v>39</v>
      </c>
      <c r="M270" s="12">
        <v>28</v>
      </c>
      <c r="N270" s="12">
        <v>30</v>
      </c>
      <c r="O270" s="30">
        <v>42</v>
      </c>
      <c r="P270" s="31"/>
      <c r="Q270" s="11">
        <v>322</v>
      </c>
    </row>
    <row r="271" spans="5:17">
      <c r="E271" s="7" t="s">
        <v>62</v>
      </c>
      <c r="F271" s="7"/>
      <c r="G271" s="9" t="s">
        <v>63</v>
      </c>
      <c r="H271" s="12">
        <v>100</v>
      </c>
      <c r="I271" s="12">
        <v>100</v>
      </c>
      <c r="J271" s="12">
        <v>100</v>
      </c>
      <c r="K271" s="12">
        <v>100</v>
      </c>
      <c r="L271" s="12">
        <v>100</v>
      </c>
      <c r="M271" s="12">
        <v>100</v>
      </c>
      <c r="N271" s="12">
        <v>50</v>
      </c>
      <c r="O271" s="30">
        <v>50</v>
      </c>
      <c r="P271" s="31"/>
      <c r="Q271" s="11">
        <v>700</v>
      </c>
    </row>
    <row r="272" spans="5:17">
      <c r="E272" s="32" t="s">
        <v>261</v>
      </c>
      <c r="F272" s="31"/>
      <c r="G272" s="9" t="s">
        <v>65</v>
      </c>
      <c r="H272" s="10" t="s">
        <v>127</v>
      </c>
      <c r="I272" s="10"/>
      <c r="J272" s="10" t="s">
        <v>127</v>
      </c>
      <c r="K272" s="10" t="s">
        <v>138</v>
      </c>
      <c r="L272" s="10"/>
      <c r="M272" s="10"/>
      <c r="N272" s="10" t="s">
        <v>69</v>
      </c>
      <c r="O272" s="30" t="s">
        <v>70</v>
      </c>
      <c r="P272" s="31"/>
      <c r="Q272" s="9" t="s">
        <v>37</v>
      </c>
    </row>
    <row r="273" spans="5:17">
      <c r="E273" s="15" t="s">
        <v>72</v>
      </c>
      <c r="F273" s="15" t="s">
        <v>262</v>
      </c>
      <c r="G273" s="9" t="s">
        <v>74</v>
      </c>
      <c r="H273" s="10" t="s">
        <v>75</v>
      </c>
      <c r="I273" s="10" t="s">
        <v>263</v>
      </c>
      <c r="J273" s="10" t="s">
        <v>75</v>
      </c>
      <c r="K273" s="10" t="s">
        <v>75</v>
      </c>
      <c r="L273" s="10" t="s">
        <v>263</v>
      </c>
      <c r="M273" s="10" t="s">
        <v>263</v>
      </c>
      <c r="N273" s="10" t="s">
        <v>75</v>
      </c>
      <c r="O273" s="30" t="s">
        <v>75</v>
      </c>
      <c r="P273" s="31"/>
      <c r="Q273" s="9" t="s">
        <v>37</v>
      </c>
    </row>
    <row r="274" spans="5:17">
      <c r="E274" s="16" t="s">
        <v>37</v>
      </c>
      <c r="F274" s="16" t="s">
        <v>37</v>
      </c>
      <c r="G274" s="16" t="s">
        <v>37</v>
      </c>
      <c r="H274" s="17" t="s">
        <v>37</v>
      </c>
      <c r="I274" s="17" t="s">
        <v>37</v>
      </c>
      <c r="J274" s="17" t="s">
        <v>37</v>
      </c>
      <c r="K274" s="17" t="s">
        <v>37</v>
      </c>
      <c r="L274" s="17" t="s">
        <v>37</v>
      </c>
      <c r="M274" s="17" t="s">
        <v>37</v>
      </c>
      <c r="N274" s="17" t="s">
        <v>37</v>
      </c>
      <c r="O274" s="41" t="s">
        <v>37</v>
      </c>
      <c r="P274" s="28"/>
      <c r="Q274" s="17" t="s">
        <v>37</v>
      </c>
    </row>
    <row r="275" spans="5:17" ht="0" hidden="1" customHeight="1"/>
    <row r="276" spans="5:17" ht="0.6" customHeight="1"/>
    <row r="277" spans="5:17">
      <c r="E277" s="38" t="s">
        <v>35</v>
      </c>
      <c r="F277" s="31"/>
      <c r="G277" s="4" t="s">
        <v>36</v>
      </c>
      <c r="H277" s="6" t="s">
        <v>37</v>
      </c>
      <c r="I277" s="6" t="s">
        <v>37</v>
      </c>
      <c r="J277" s="6" t="s">
        <v>37</v>
      </c>
      <c r="K277" s="6" t="s">
        <v>37</v>
      </c>
      <c r="L277" s="6" t="s">
        <v>37</v>
      </c>
      <c r="M277" s="6" t="s">
        <v>37</v>
      </c>
      <c r="N277" s="6" t="s">
        <v>37</v>
      </c>
      <c r="O277" s="39" t="s">
        <v>37</v>
      </c>
      <c r="P277" s="28"/>
      <c r="Q277" s="6" t="s">
        <v>37</v>
      </c>
    </row>
    <row r="278" spans="5:17" ht="21">
      <c r="E278" s="32" t="s">
        <v>264</v>
      </c>
      <c r="F278" s="31"/>
      <c r="G278" s="8" t="s">
        <v>39</v>
      </c>
      <c r="H278" s="8" t="s">
        <v>19</v>
      </c>
      <c r="I278" s="8" t="s">
        <v>9</v>
      </c>
      <c r="J278" s="8" t="s">
        <v>21</v>
      </c>
      <c r="K278" s="8" t="s">
        <v>11</v>
      </c>
      <c r="L278" s="8" t="s">
        <v>15</v>
      </c>
      <c r="M278" s="8" t="s">
        <v>27</v>
      </c>
      <c r="N278" s="8" t="s">
        <v>7</v>
      </c>
      <c r="O278" s="40" t="s">
        <v>13</v>
      </c>
      <c r="P278" s="31"/>
      <c r="Q278" s="8" t="s">
        <v>40</v>
      </c>
    </row>
    <row r="279" spans="5:17" ht="22.5">
      <c r="E279" s="7" t="s">
        <v>41</v>
      </c>
      <c r="F279" s="7" t="s">
        <v>265</v>
      </c>
      <c r="G279" s="9" t="s">
        <v>43</v>
      </c>
      <c r="H279" s="10" t="s">
        <v>266</v>
      </c>
      <c r="I279" s="10" t="s">
        <v>267</v>
      </c>
      <c r="J279" s="10" t="s">
        <v>268</v>
      </c>
      <c r="K279" s="10" t="s">
        <v>269</v>
      </c>
      <c r="L279" s="10" t="s">
        <v>270</v>
      </c>
      <c r="M279" s="10" t="s">
        <v>122</v>
      </c>
      <c r="N279" s="10" t="s">
        <v>271</v>
      </c>
      <c r="O279" s="30" t="s">
        <v>51</v>
      </c>
      <c r="P279" s="31"/>
      <c r="Q279" s="9" t="s">
        <v>37</v>
      </c>
    </row>
    <row r="280" spans="5:17">
      <c r="E280" s="32" t="s">
        <v>272</v>
      </c>
      <c r="F280" s="33"/>
      <c r="G280" s="9" t="s">
        <v>53</v>
      </c>
      <c r="H280" s="10" t="s">
        <v>51</v>
      </c>
      <c r="I280" s="10" t="s">
        <v>51</v>
      </c>
      <c r="J280" s="10" t="s">
        <v>51</v>
      </c>
      <c r="K280" s="10" t="s">
        <v>51</v>
      </c>
      <c r="L280" s="10" t="s">
        <v>51</v>
      </c>
      <c r="M280" s="10" t="s">
        <v>51</v>
      </c>
      <c r="N280" s="10" t="s">
        <v>51</v>
      </c>
      <c r="O280" s="30" t="s">
        <v>100</v>
      </c>
      <c r="P280" s="31"/>
      <c r="Q280" s="9" t="s">
        <v>37</v>
      </c>
    </row>
    <row r="281" spans="5:17">
      <c r="E281" s="34"/>
      <c r="F281" s="35"/>
      <c r="G281" s="9" t="s">
        <v>55</v>
      </c>
      <c r="H281" s="10" t="s">
        <v>37</v>
      </c>
      <c r="I281" s="10" t="s">
        <v>37</v>
      </c>
      <c r="J281" s="10" t="s">
        <v>37</v>
      </c>
      <c r="K281" s="10" t="s">
        <v>37</v>
      </c>
      <c r="L281" s="10" t="s">
        <v>37</v>
      </c>
      <c r="M281" s="10" t="s">
        <v>37</v>
      </c>
      <c r="N281" s="10" t="s">
        <v>37</v>
      </c>
      <c r="O281" s="30" t="s">
        <v>37</v>
      </c>
      <c r="P281" s="31"/>
      <c r="Q281" s="11">
        <v>0</v>
      </c>
    </row>
    <row r="282" spans="5:17">
      <c r="E282" s="36"/>
      <c r="F282" s="37"/>
      <c r="G282" s="9" t="s">
        <v>56</v>
      </c>
      <c r="H282" s="12">
        <v>4</v>
      </c>
      <c r="I282" s="12">
        <v>4</v>
      </c>
      <c r="J282" s="12">
        <v>4</v>
      </c>
      <c r="K282" s="12">
        <v>3</v>
      </c>
      <c r="L282" s="12">
        <v>3</v>
      </c>
      <c r="M282" s="12">
        <v>3</v>
      </c>
      <c r="N282" s="12">
        <v>2</v>
      </c>
      <c r="O282" s="30">
        <v>2</v>
      </c>
      <c r="P282" s="31"/>
      <c r="Q282" s="11">
        <v>25</v>
      </c>
    </row>
    <row r="283" spans="5:17">
      <c r="E283" s="7" t="s">
        <v>57</v>
      </c>
      <c r="F283" s="13">
        <v>6.28</v>
      </c>
      <c r="G283" s="9" t="s">
        <v>58</v>
      </c>
      <c r="H283" s="12">
        <v>5.5</v>
      </c>
      <c r="I283" s="12">
        <v>5</v>
      </c>
      <c r="J283" s="12">
        <v>6.5</v>
      </c>
      <c r="K283" s="12">
        <v>5.5</v>
      </c>
      <c r="L283" s="12">
        <v>6.5</v>
      </c>
      <c r="M283" s="12">
        <v>5</v>
      </c>
      <c r="N283" s="12">
        <v>9</v>
      </c>
      <c r="O283" s="30">
        <v>10</v>
      </c>
      <c r="P283" s="31"/>
      <c r="Q283" s="9" t="s">
        <v>37</v>
      </c>
    </row>
    <row r="284" spans="5:17">
      <c r="E284" s="7" t="s">
        <v>59</v>
      </c>
      <c r="F284" s="14">
        <v>6.28</v>
      </c>
      <c r="G284" s="9" t="s">
        <v>60</v>
      </c>
      <c r="H284" s="12">
        <v>22</v>
      </c>
      <c r="I284" s="12">
        <v>20</v>
      </c>
      <c r="J284" s="12">
        <v>26</v>
      </c>
      <c r="K284" s="12">
        <v>16.5</v>
      </c>
      <c r="L284" s="12">
        <v>19.5</v>
      </c>
      <c r="M284" s="12">
        <v>15</v>
      </c>
      <c r="N284" s="12">
        <v>18</v>
      </c>
      <c r="O284" s="30">
        <v>20</v>
      </c>
      <c r="P284" s="31"/>
      <c r="Q284" s="11">
        <v>157</v>
      </c>
    </row>
    <row r="285" spans="5:17">
      <c r="E285" s="32" t="s">
        <v>61</v>
      </c>
      <c r="F285" s="31"/>
      <c r="G285" s="9" t="s">
        <v>40</v>
      </c>
      <c r="H285" s="12">
        <v>53</v>
      </c>
      <c r="I285" s="12">
        <v>48</v>
      </c>
      <c r="J285" s="12">
        <v>60</v>
      </c>
      <c r="K285" s="12">
        <v>51</v>
      </c>
      <c r="L285" s="12">
        <v>62</v>
      </c>
      <c r="M285" s="12">
        <v>46</v>
      </c>
      <c r="N285" s="12">
        <v>44</v>
      </c>
      <c r="O285" s="30">
        <v>50</v>
      </c>
      <c r="P285" s="31"/>
      <c r="Q285" s="11">
        <v>414</v>
      </c>
    </row>
    <row r="286" spans="5:17">
      <c r="E286" s="7" t="s">
        <v>62</v>
      </c>
      <c r="F286" s="7"/>
      <c r="G286" s="9" t="s">
        <v>63</v>
      </c>
      <c r="H286" s="12">
        <v>100</v>
      </c>
      <c r="I286" s="12">
        <v>100</v>
      </c>
      <c r="J286" s="12">
        <v>100</v>
      </c>
      <c r="K286" s="12">
        <v>100</v>
      </c>
      <c r="L286" s="12">
        <v>100</v>
      </c>
      <c r="M286" s="12">
        <v>100</v>
      </c>
      <c r="N286" s="12">
        <v>50</v>
      </c>
      <c r="O286" s="30">
        <v>50</v>
      </c>
      <c r="P286" s="31"/>
      <c r="Q286" s="11">
        <v>700</v>
      </c>
    </row>
    <row r="287" spans="5:17">
      <c r="E287" s="32" t="s">
        <v>273</v>
      </c>
      <c r="F287" s="31"/>
      <c r="G287" s="9" t="s">
        <v>65</v>
      </c>
      <c r="H287" s="10" t="s">
        <v>138</v>
      </c>
      <c r="I287" s="10" t="s">
        <v>127</v>
      </c>
      <c r="J287" s="10" t="s">
        <v>69</v>
      </c>
      <c r="K287" s="10" t="s">
        <v>138</v>
      </c>
      <c r="L287" s="10" t="s">
        <v>69</v>
      </c>
      <c r="M287" s="10" t="s">
        <v>127</v>
      </c>
      <c r="N287" s="10" t="s">
        <v>67</v>
      </c>
      <c r="O287" s="30" t="s">
        <v>88</v>
      </c>
      <c r="P287" s="31"/>
      <c r="Q287" s="9" t="s">
        <v>37</v>
      </c>
    </row>
    <row r="288" spans="5:17">
      <c r="E288" s="15" t="s">
        <v>72</v>
      </c>
      <c r="F288" s="15" t="s">
        <v>274</v>
      </c>
      <c r="G288" s="9" t="s">
        <v>74</v>
      </c>
      <c r="H288" s="10" t="s">
        <v>75</v>
      </c>
      <c r="I288" s="10" t="s">
        <v>75</v>
      </c>
      <c r="J288" s="10" t="s">
        <v>75</v>
      </c>
      <c r="K288" s="10" t="s">
        <v>75</v>
      </c>
      <c r="L288" s="10" t="s">
        <v>75</v>
      </c>
      <c r="M288" s="10" t="s">
        <v>75</v>
      </c>
      <c r="N288" s="10" t="s">
        <v>75</v>
      </c>
      <c r="O288" s="30" t="s">
        <v>75</v>
      </c>
      <c r="P288" s="31"/>
      <c r="Q288" s="9" t="s">
        <v>37</v>
      </c>
    </row>
    <row r="289" spans="5:17">
      <c r="E289" s="16" t="s">
        <v>37</v>
      </c>
      <c r="F289" s="16" t="s">
        <v>37</v>
      </c>
      <c r="G289" s="16" t="s">
        <v>37</v>
      </c>
      <c r="H289" s="17" t="s">
        <v>37</v>
      </c>
      <c r="I289" s="17" t="s">
        <v>37</v>
      </c>
      <c r="J289" s="17" t="s">
        <v>37</v>
      </c>
      <c r="K289" s="17" t="s">
        <v>37</v>
      </c>
      <c r="L289" s="17" t="s">
        <v>37</v>
      </c>
      <c r="M289" s="17" t="s">
        <v>37</v>
      </c>
      <c r="N289" s="17" t="s">
        <v>37</v>
      </c>
      <c r="O289" s="41" t="s">
        <v>37</v>
      </c>
      <c r="P289" s="28"/>
      <c r="Q289" s="17" t="s">
        <v>37</v>
      </c>
    </row>
    <row r="290" spans="5:17" ht="0" hidden="1" customHeight="1"/>
    <row r="291" spans="5:17" ht="0.6" customHeight="1"/>
    <row r="292" spans="5:17">
      <c r="E292" s="38" t="s">
        <v>35</v>
      </c>
      <c r="F292" s="31"/>
      <c r="G292" s="4" t="s">
        <v>36</v>
      </c>
      <c r="H292" s="6" t="s">
        <v>37</v>
      </c>
      <c r="I292" s="6" t="s">
        <v>37</v>
      </c>
      <c r="J292" s="6" t="s">
        <v>37</v>
      </c>
      <c r="K292" s="6" t="s">
        <v>37</v>
      </c>
      <c r="L292" s="6" t="s">
        <v>37</v>
      </c>
      <c r="M292" s="6" t="s">
        <v>37</v>
      </c>
      <c r="N292" s="6" t="s">
        <v>37</v>
      </c>
      <c r="O292" s="39" t="s">
        <v>37</v>
      </c>
      <c r="P292" s="28"/>
      <c r="Q292" s="6" t="s">
        <v>37</v>
      </c>
    </row>
    <row r="293" spans="5:17" ht="21">
      <c r="E293" s="32" t="s">
        <v>275</v>
      </c>
      <c r="F293" s="31"/>
      <c r="G293" s="8" t="s">
        <v>39</v>
      </c>
      <c r="H293" s="8" t="s">
        <v>19</v>
      </c>
      <c r="I293" s="8" t="s">
        <v>9</v>
      </c>
      <c r="J293" s="8" t="s">
        <v>21</v>
      </c>
      <c r="K293" s="8" t="s">
        <v>11</v>
      </c>
      <c r="L293" s="8" t="s">
        <v>17</v>
      </c>
      <c r="M293" s="8" t="s">
        <v>27</v>
      </c>
      <c r="N293" s="8" t="s">
        <v>7</v>
      </c>
      <c r="O293" s="40" t="s">
        <v>13</v>
      </c>
      <c r="P293" s="31"/>
      <c r="Q293" s="8" t="s">
        <v>40</v>
      </c>
    </row>
    <row r="294" spans="5:17" ht="22.5">
      <c r="E294" s="7" t="s">
        <v>41</v>
      </c>
      <c r="F294" s="7" t="s">
        <v>276</v>
      </c>
      <c r="G294" s="9" t="s">
        <v>43</v>
      </c>
      <c r="H294" s="10" t="s">
        <v>45</v>
      </c>
      <c r="I294" s="10" t="s">
        <v>83</v>
      </c>
      <c r="J294" s="10" t="s">
        <v>277</v>
      </c>
      <c r="K294" s="10" t="s">
        <v>278</v>
      </c>
      <c r="L294" s="10" t="s">
        <v>279</v>
      </c>
      <c r="M294" s="10" t="s">
        <v>280</v>
      </c>
      <c r="N294" s="10" t="s">
        <v>281</v>
      </c>
      <c r="O294" s="30" t="s">
        <v>51</v>
      </c>
      <c r="P294" s="31"/>
      <c r="Q294" s="9" t="s">
        <v>37</v>
      </c>
    </row>
    <row r="295" spans="5:17">
      <c r="E295" s="32" t="s">
        <v>282</v>
      </c>
      <c r="F295" s="33"/>
      <c r="G295" s="9" t="s">
        <v>53</v>
      </c>
      <c r="H295" s="10" t="s">
        <v>51</v>
      </c>
      <c r="I295" s="10" t="s">
        <v>51</v>
      </c>
      <c r="J295" s="10" t="s">
        <v>51</v>
      </c>
      <c r="K295" s="10" t="s">
        <v>51</v>
      </c>
      <c r="L295" s="10" t="s">
        <v>51</v>
      </c>
      <c r="M295" s="10" t="s">
        <v>51</v>
      </c>
      <c r="N295" s="10" t="s">
        <v>51</v>
      </c>
      <c r="O295" s="30" t="s">
        <v>283</v>
      </c>
      <c r="P295" s="31"/>
      <c r="Q295" s="9" t="s">
        <v>37</v>
      </c>
    </row>
    <row r="296" spans="5:17">
      <c r="E296" s="34"/>
      <c r="F296" s="35"/>
      <c r="G296" s="9" t="s">
        <v>55</v>
      </c>
      <c r="H296" s="10" t="s">
        <v>37</v>
      </c>
      <c r="I296" s="10" t="s">
        <v>37</v>
      </c>
      <c r="J296" s="10" t="s">
        <v>37</v>
      </c>
      <c r="K296" s="10" t="s">
        <v>37</v>
      </c>
      <c r="L296" s="10" t="s">
        <v>37</v>
      </c>
      <c r="M296" s="10" t="s">
        <v>37</v>
      </c>
      <c r="N296" s="10" t="s">
        <v>37</v>
      </c>
      <c r="O296" s="30" t="s">
        <v>37</v>
      </c>
      <c r="P296" s="31"/>
      <c r="Q296" s="11">
        <v>0</v>
      </c>
    </row>
    <row r="297" spans="5:17">
      <c r="E297" s="36"/>
      <c r="F297" s="37"/>
      <c r="G297" s="9" t="s">
        <v>56</v>
      </c>
      <c r="H297" s="12">
        <v>4</v>
      </c>
      <c r="I297" s="12">
        <v>4</v>
      </c>
      <c r="J297" s="12">
        <v>4</v>
      </c>
      <c r="K297" s="12">
        <v>3</v>
      </c>
      <c r="L297" s="12">
        <v>3</v>
      </c>
      <c r="M297" s="12">
        <v>3</v>
      </c>
      <c r="N297" s="12">
        <v>2</v>
      </c>
      <c r="O297" s="30">
        <v>2</v>
      </c>
      <c r="P297" s="31"/>
      <c r="Q297" s="11">
        <v>25</v>
      </c>
    </row>
    <row r="298" spans="5:17">
      <c r="E298" s="7" t="s">
        <v>57</v>
      </c>
      <c r="F298" s="13">
        <v>8.86</v>
      </c>
      <c r="G298" s="9" t="s">
        <v>58</v>
      </c>
      <c r="H298" s="12">
        <v>9</v>
      </c>
      <c r="I298" s="12">
        <v>10</v>
      </c>
      <c r="J298" s="12">
        <v>8</v>
      </c>
      <c r="K298" s="12">
        <v>7</v>
      </c>
      <c r="L298" s="12">
        <v>9.5</v>
      </c>
      <c r="M298" s="12">
        <v>9</v>
      </c>
      <c r="N298" s="12">
        <v>9.5</v>
      </c>
      <c r="O298" s="30">
        <v>9</v>
      </c>
      <c r="P298" s="31"/>
      <c r="Q298" s="9" t="s">
        <v>37</v>
      </c>
    </row>
    <row r="299" spans="5:17">
      <c r="E299" s="7" t="s">
        <v>59</v>
      </c>
      <c r="F299" s="14">
        <v>8.86</v>
      </c>
      <c r="G299" s="9" t="s">
        <v>60</v>
      </c>
      <c r="H299" s="12">
        <v>36</v>
      </c>
      <c r="I299" s="12">
        <v>40</v>
      </c>
      <c r="J299" s="12">
        <v>32</v>
      </c>
      <c r="K299" s="12">
        <v>21</v>
      </c>
      <c r="L299" s="12">
        <v>28.5</v>
      </c>
      <c r="M299" s="12">
        <v>27</v>
      </c>
      <c r="N299" s="12">
        <v>19</v>
      </c>
      <c r="O299" s="30">
        <v>18</v>
      </c>
      <c r="P299" s="31"/>
      <c r="Q299" s="11">
        <v>221.5</v>
      </c>
    </row>
    <row r="300" spans="5:17">
      <c r="E300" s="32" t="s">
        <v>61</v>
      </c>
      <c r="F300" s="31"/>
      <c r="G300" s="9" t="s">
        <v>40</v>
      </c>
      <c r="H300" s="12">
        <v>89</v>
      </c>
      <c r="I300" s="12">
        <v>100</v>
      </c>
      <c r="J300" s="12">
        <v>76</v>
      </c>
      <c r="K300" s="12">
        <v>69</v>
      </c>
      <c r="L300" s="12">
        <v>91</v>
      </c>
      <c r="M300" s="12">
        <v>86</v>
      </c>
      <c r="N300" s="12">
        <v>47</v>
      </c>
      <c r="O300" s="30">
        <v>44</v>
      </c>
      <c r="P300" s="31"/>
      <c r="Q300" s="11">
        <v>602</v>
      </c>
    </row>
    <row r="301" spans="5:17">
      <c r="E301" s="7" t="s">
        <v>62</v>
      </c>
      <c r="F301" s="7"/>
      <c r="G301" s="9" t="s">
        <v>63</v>
      </c>
      <c r="H301" s="12">
        <v>100</v>
      </c>
      <c r="I301" s="12">
        <v>100</v>
      </c>
      <c r="J301" s="12">
        <v>100</v>
      </c>
      <c r="K301" s="12">
        <v>100</v>
      </c>
      <c r="L301" s="12">
        <v>100</v>
      </c>
      <c r="M301" s="12">
        <v>100</v>
      </c>
      <c r="N301" s="12">
        <v>50</v>
      </c>
      <c r="O301" s="30">
        <v>50</v>
      </c>
      <c r="P301" s="31"/>
      <c r="Q301" s="11">
        <v>700</v>
      </c>
    </row>
    <row r="302" spans="5:17">
      <c r="E302" s="32" t="s">
        <v>188</v>
      </c>
      <c r="F302" s="31"/>
      <c r="G302" s="9" t="s">
        <v>65</v>
      </c>
      <c r="H302" s="10" t="s">
        <v>67</v>
      </c>
      <c r="I302" s="10" t="s">
        <v>88</v>
      </c>
      <c r="J302" s="10" t="s">
        <v>102</v>
      </c>
      <c r="K302" s="10" t="s">
        <v>66</v>
      </c>
      <c r="L302" s="10" t="s">
        <v>71</v>
      </c>
      <c r="M302" s="10" t="s">
        <v>67</v>
      </c>
      <c r="N302" s="10" t="s">
        <v>71</v>
      </c>
      <c r="O302" s="30" t="s">
        <v>67</v>
      </c>
      <c r="P302" s="31"/>
      <c r="Q302" s="9" t="s">
        <v>37</v>
      </c>
    </row>
    <row r="303" spans="5:17">
      <c r="E303" s="15" t="s">
        <v>72</v>
      </c>
      <c r="F303" s="15" t="s">
        <v>284</v>
      </c>
      <c r="G303" s="9" t="s">
        <v>74</v>
      </c>
      <c r="H303" s="10" t="s">
        <v>75</v>
      </c>
      <c r="I303" s="10" t="s">
        <v>75</v>
      </c>
      <c r="J303" s="10" t="s">
        <v>75</v>
      </c>
      <c r="K303" s="10" t="s">
        <v>75</v>
      </c>
      <c r="L303" s="10" t="s">
        <v>75</v>
      </c>
      <c r="M303" s="10" t="s">
        <v>75</v>
      </c>
      <c r="N303" s="10" t="s">
        <v>75</v>
      </c>
      <c r="O303" s="30" t="s">
        <v>75</v>
      </c>
      <c r="P303" s="31"/>
      <c r="Q303" s="9" t="s">
        <v>37</v>
      </c>
    </row>
    <row r="304" spans="5:17">
      <c r="E304" s="16" t="s">
        <v>37</v>
      </c>
      <c r="F304" s="16" t="s">
        <v>37</v>
      </c>
      <c r="G304" s="16" t="s">
        <v>37</v>
      </c>
      <c r="H304" s="17" t="s">
        <v>37</v>
      </c>
      <c r="I304" s="17" t="s">
        <v>37</v>
      </c>
      <c r="J304" s="17" t="s">
        <v>37</v>
      </c>
      <c r="K304" s="17" t="s">
        <v>37</v>
      </c>
      <c r="L304" s="17" t="s">
        <v>37</v>
      </c>
      <c r="M304" s="17" t="s">
        <v>37</v>
      </c>
      <c r="N304" s="17" t="s">
        <v>37</v>
      </c>
      <c r="O304" s="41" t="s">
        <v>37</v>
      </c>
      <c r="P304" s="28"/>
      <c r="Q304" s="17" t="s">
        <v>37</v>
      </c>
    </row>
    <row r="305" spans="5:17" ht="0" hidden="1" customHeight="1"/>
    <row r="306" spans="5:17" ht="0.6" customHeight="1"/>
    <row r="307" spans="5:17">
      <c r="E307" s="38" t="s">
        <v>35</v>
      </c>
      <c r="F307" s="31"/>
      <c r="G307" s="4" t="s">
        <v>36</v>
      </c>
      <c r="H307" s="6" t="s">
        <v>37</v>
      </c>
      <c r="I307" s="6" t="s">
        <v>37</v>
      </c>
      <c r="J307" s="6" t="s">
        <v>37</v>
      </c>
      <c r="K307" s="6" t="s">
        <v>37</v>
      </c>
      <c r="L307" s="6" t="s">
        <v>37</v>
      </c>
      <c r="M307" s="6" t="s">
        <v>37</v>
      </c>
      <c r="N307" s="6" t="s">
        <v>37</v>
      </c>
      <c r="O307" s="39" t="s">
        <v>37</v>
      </c>
      <c r="P307" s="28"/>
      <c r="Q307" s="6" t="s">
        <v>37</v>
      </c>
    </row>
    <row r="308" spans="5:17" ht="21">
      <c r="E308" s="32" t="s">
        <v>285</v>
      </c>
      <c r="F308" s="31"/>
      <c r="G308" s="8" t="s">
        <v>39</v>
      </c>
      <c r="H308" s="8" t="s">
        <v>19</v>
      </c>
      <c r="I308" s="8" t="s">
        <v>9</v>
      </c>
      <c r="J308" s="8" t="s">
        <v>21</v>
      </c>
      <c r="K308" s="8" t="s">
        <v>11</v>
      </c>
      <c r="L308" s="8" t="s">
        <v>17</v>
      </c>
      <c r="M308" s="8" t="s">
        <v>27</v>
      </c>
      <c r="N308" s="8" t="s">
        <v>7</v>
      </c>
      <c r="O308" s="40" t="s">
        <v>33</v>
      </c>
      <c r="P308" s="31"/>
      <c r="Q308" s="8" t="s">
        <v>40</v>
      </c>
    </row>
    <row r="309" spans="5:17" ht="22.5">
      <c r="E309" s="7" t="s">
        <v>41</v>
      </c>
      <c r="F309" s="7" t="s">
        <v>286</v>
      </c>
      <c r="G309" s="9" t="s">
        <v>43</v>
      </c>
      <c r="H309" s="10" t="s">
        <v>287</v>
      </c>
      <c r="I309" s="10" t="s">
        <v>79</v>
      </c>
      <c r="J309" s="10" t="s">
        <v>288</v>
      </c>
      <c r="K309" s="10" t="s">
        <v>277</v>
      </c>
      <c r="L309" s="10" t="s">
        <v>289</v>
      </c>
      <c r="M309" s="10" t="s">
        <v>290</v>
      </c>
      <c r="N309" s="10" t="s">
        <v>209</v>
      </c>
      <c r="O309" s="30" t="s">
        <v>51</v>
      </c>
      <c r="P309" s="31"/>
      <c r="Q309" s="9" t="s">
        <v>37</v>
      </c>
    </row>
    <row r="310" spans="5:17">
      <c r="E310" s="32" t="s">
        <v>291</v>
      </c>
      <c r="F310" s="33"/>
      <c r="G310" s="9" t="s">
        <v>53</v>
      </c>
      <c r="H310" s="10" t="s">
        <v>51</v>
      </c>
      <c r="I310" s="10" t="s">
        <v>51</v>
      </c>
      <c r="J310" s="10" t="s">
        <v>51</v>
      </c>
      <c r="K310" s="10" t="s">
        <v>51</v>
      </c>
      <c r="L310" s="10" t="s">
        <v>51</v>
      </c>
      <c r="M310" s="10" t="s">
        <v>51</v>
      </c>
      <c r="N310" s="10" t="s">
        <v>51</v>
      </c>
      <c r="O310" s="30" t="s">
        <v>125</v>
      </c>
      <c r="P310" s="31"/>
      <c r="Q310" s="9" t="s">
        <v>37</v>
      </c>
    </row>
    <row r="311" spans="5:17">
      <c r="E311" s="34"/>
      <c r="F311" s="35"/>
      <c r="G311" s="9" t="s">
        <v>55</v>
      </c>
      <c r="H311" s="10" t="s">
        <v>37</v>
      </c>
      <c r="I311" s="10" t="s">
        <v>37</v>
      </c>
      <c r="J311" s="10" t="s">
        <v>37</v>
      </c>
      <c r="K311" s="10" t="s">
        <v>37</v>
      </c>
      <c r="L311" s="10" t="s">
        <v>37</v>
      </c>
      <c r="M311" s="10" t="s">
        <v>37</v>
      </c>
      <c r="N311" s="10" t="s">
        <v>37</v>
      </c>
      <c r="O311" s="30" t="s">
        <v>37</v>
      </c>
      <c r="P311" s="31"/>
      <c r="Q311" s="11">
        <v>0</v>
      </c>
    </row>
    <row r="312" spans="5:17">
      <c r="E312" s="36"/>
      <c r="F312" s="37"/>
      <c r="G312" s="9" t="s">
        <v>56</v>
      </c>
      <c r="H312" s="12">
        <v>4</v>
      </c>
      <c r="I312" s="12">
        <v>4</v>
      </c>
      <c r="J312" s="12">
        <v>4</v>
      </c>
      <c r="K312" s="12">
        <v>3</v>
      </c>
      <c r="L312" s="12">
        <v>3</v>
      </c>
      <c r="M312" s="12">
        <v>3</v>
      </c>
      <c r="N312" s="12">
        <v>2</v>
      </c>
      <c r="O312" s="30">
        <v>2</v>
      </c>
      <c r="P312" s="31"/>
      <c r="Q312" s="11">
        <v>25</v>
      </c>
    </row>
    <row r="313" spans="5:17">
      <c r="E313" s="7" t="s">
        <v>57</v>
      </c>
      <c r="F313" s="13">
        <v>9.1</v>
      </c>
      <c r="G313" s="9" t="s">
        <v>58</v>
      </c>
      <c r="H313" s="12">
        <v>9</v>
      </c>
      <c r="I313" s="12">
        <v>10</v>
      </c>
      <c r="J313" s="12">
        <v>9</v>
      </c>
      <c r="K313" s="12">
        <v>8</v>
      </c>
      <c r="L313" s="12">
        <v>9</v>
      </c>
      <c r="M313" s="12">
        <v>8.5</v>
      </c>
      <c r="N313" s="12">
        <v>10</v>
      </c>
      <c r="O313" s="30">
        <v>9.5</v>
      </c>
      <c r="P313" s="31"/>
      <c r="Q313" s="9" t="s">
        <v>37</v>
      </c>
    </row>
    <row r="314" spans="5:17">
      <c r="E314" s="7" t="s">
        <v>59</v>
      </c>
      <c r="F314" s="14">
        <v>9.1</v>
      </c>
      <c r="G314" s="9" t="s">
        <v>60</v>
      </c>
      <c r="H314" s="12">
        <v>36</v>
      </c>
      <c r="I314" s="12">
        <v>40</v>
      </c>
      <c r="J314" s="12">
        <v>36</v>
      </c>
      <c r="K314" s="12">
        <v>24</v>
      </c>
      <c r="L314" s="12">
        <v>27</v>
      </c>
      <c r="M314" s="12">
        <v>25.5</v>
      </c>
      <c r="N314" s="12">
        <v>20</v>
      </c>
      <c r="O314" s="30">
        <v>19</v>
      </c>
      <c r="P314" s="31"/>
      <c r="Q314" s="11">
        <v>227.5</v>
      </c>
    </row>
    <row r="315" spans="5:17">
      <c r="E315" s="32" t="s">
        <v>61</v>
      </c>
      <c r="F315" s="31"/>
      <c r="G315" s="9" t="s">
        <v>40</v>
      </c>
      <c r="H315" s="12">
        <v>88</v>
      </c>
      <c r="I315" s="12">
        <v>95</v>
      </c>
      <c r="J315" s="12">
        <v>85</v>
      </c>
      <c r="K315" s="12">
        <v>76</v>
      </c>
      <c r="L315" s="12">
        <v>89</v>
      </c>
      <c r="M315" s="12">
        <v>81</v>
      </c>
      <c r="N315" s="12">
        <v>50</v>
      </c>
      <c r="O315" s="30">
        <v>46</v>
      </c>
      <c r="P315" s="31"/>
      <c r="Q315" s="11">
        <v>610</v>
      </c>
    </row>
    <row r="316" spans="5:17">
      <c r="E316" s="7" t="s">
        <v>62</v>
      </c>
      <c r="F316" s="7"/>
      <c r="G316" s="9" t="s">
        <v>63</v>
      </c>
      <c r="H316" s="12">
        <v>100</v>
      </c>
      <c r="I316" s="12">
        <v>100</v>
      </c>
      <c r="J316" s="12">
        <v>100</v>
      </c>
      <c r="K316" s="12">
        <v>100</v>
      </c>
      <c r="L316" s="12">
        <v>100</v>
      </c>
      <c r="M316" s="12">
        <v>100</v>
      </c>
      <c r="N316" s="12">
        <v>50</v>
      </c>
      <c r="O316" s="30">
        <v>50</v>
      </c>
      <c r="P316" s="31"/>
      <c r="Q316" s="11">
        <v>700</v>
      </c>
    </row>
    <row r="317" spans="5:17">
      <c r="E317" s="32" t="s">
        <v>87</v>
      </c>
      <c r="F317" s="31"/>
      <c r="G317" s="9" t="s">
        <v>65</v>
      </c>
      <c r="H317" s="10" t="s">
        <v>67</v>
      </c>
      <c r="I317" s="10" t="s">
        <v>88</v>
      </c>
      <c r="J317" s="10" t="s">
        <v>67</v>
      </c>
      <c r="K317" s="10" t="s">
        <v>102</v>
      </c>
      <c r="L317" s="10" t="s">
        <v>67</v>
      </c>
      <c r="M317" s="10" t="s">
        <v>70</v>
      </c>
      <c r="N317" s="10" t="s">
        <v>88</v>
      </c>
      <c r="O317" s="30" t="s">
        <v>71</v>
      </c>
      <c r="P317" s="31"/>
      <c r="Q317" s="9" t="s">
        <v>37</v>
      </c>
    </row>
    <row r="318" spans="5:17">
      <c r="E318" s="15" t="s">
        <v>72</v>
      </c>
      <c r="F318" s="15" t="s">
        <v>292</v>
      </c>
      <c r="G318" s="9" t="s">
        <v>74</v>
      </c>
      <c r="H318" s="10" t="s">
        <v>75</v>
      </c>
      <c r="I318" s="10" t="s">
        <v>75</v>
      </c>
      <c r="J318" s="10" t="s">
        <v>75</v>
      </c>
      <c r="K318" s="10" t="s">
        <v>75</v>
      </c>
      <c r="L318" s="10" t="s">
        <v>75</v>
      </c>
      <c r="M318" s="10" t="s">
        <v>75</v>
      </c>
      <c r="N318" s="10" t="s">
        <v>75</v>
      </c>
      <c r="O318" s="30" t="s">
        <v>75</v>
      </c>
      <c r="P318" s="31"/>
      <c r="Q318" s="9" t="s">
        <v>37</v>
      </c>
    </row>
    <row r="319" spans="5:17">
      <c r="E319" s="16" t="s">
        <v>37</v>
      </c>
      <c r="F319" s="16" t="s">
        <v>37</v>
      </c>
      <c r="G319" s="16" t="s">
        <v>37</v>
      </c>
      <c r="H319" s="17" t="s">
        <v>37</v>
      </c>
      <c r="I319" s="17" t="s">
        <v>37</v>
      </c>
      <c r="J319" s="17" t="s">
        <v>37</v>
      </c>
      <c r="K319" s="17" t="s">
        <v>37</v>
      </c>
      <c r="L319" s="17" t="s">
        <v>37</v>
      </c>
      <c r="M319" s="17" t="s">
        <v>37</v>
      </c>
      <c r="N319" s="17" t="s">
        <v>37</v>
      </c>
      <c r="O319" s="41" t="s">
        <v>37</v>
      </c>
      <c r="P319" s="28"/>
      <c r="Q319" s="17" t="s">
        <v>37</v>
      </c>
    </row>
    <row r="320" spans="5:17" ht="0" hidden="1" customHeight="1"/>
    <row r="321" spans="5:17" ht="0.6" customHeight="1"/>
    <row r="322" spans="5:17">
      <c r="E322" s="38" t="s">
        <v>35</v>
      </c>
      <c r="F322" s="31"/>
      <c r="G322" s="4" t="s">
        <v>36</v>
      </c>
      <c r="H322" s="6" t="s">
        <v>37</v>
      </c>
      <c r="I322" s="6" t="s">
        <v>37</v>
      </c>
      <c r="J322" s="6" t="s">
        <v>37</v>
      </c>
      <c r="K322" s="6" t="s">
        <v>37</v>
      </c>
      <c r="L322" s="6" t="s">
        <v>37</v>
      </c>
      <c r="M322" s="6" t="s">
        <v>37</v>
      </c>
      <c r="N322" s="6" t="s">
        <v>37</v>
      </c>
      <c r="O322" s="39" t="s">
        <v>37</v>
      </c>
      <c r="P322" s="28"/>
      <c r="Q322" s="6" t="s">
        <v>37</v>
      </c>
    </row>
    <row r="323" spans="5:17" ht="21">
      <c r="E323" s="32" t="s">
        <v>293</v>
      </c>
      <c r="F323" s="31"/>
      <c r="G323" s="8" t="s">
        <v>39</v>
      </c>
      <c r="H323" s="8" t="s">
        <v>19</v>
      </c>
      <c r="I323" s="8" t="s">
        <v>9</v>
      </c>
      <c r="J323" s="8" t="s">
        <v>21</v>
      </c>
      <c r="K323" s="8" t="s">
        <v>11</v>
      </c>
      <c r="L323" s="8" t="s">
        <v>17</v>
      </c>
      <c r="M323" s="8" t="s">
        <v>27</v>
      </c>
      <c r="N323" s="8" t="s">
        <v>7</v>
      </c>
      <c r="O323" s="40" t="s">
        <v>29</v>
      </c>
      <c r="P323" s="31"/>
      <c r="Q323" s="8" t="s">
        <v>40</v>
      </c>
    </row>
    <row r="324" spans="5:17" ht="22.5">
      <c r="E324" s="7" t="s">
        <v>41</v>
      </c>
      <c r="F324" s="7" t="s">
        <v>294</v>
      </c>
      <c r="G324" s="9" t="s">
        <v>43</v>
      </c>
      <c r="H324" s="10" t="s">
        <v>295</v>
      </c>
      <c r="I324" s="10" t="s">
        <v>296</v>
      </c>
      <c r="J324" s="10" t="s">
        <v>297</v>
      </c>
      <c r="K324" s="10" t="s">
        <v>298</v>
      </c>
      <c r="L324" s="10" t="s">
        <v>299</v>
      </c>
      <c r="M324" s="10" t="s">
        <v>300</v>
      </c>
      <c r="N324" s="10" t="s">
        <v>301</v>
      </c>
      <c r="O324" s="30" t="s">
        <v>51</v>
      </c>
      <c r="P324" s="31"/>
      <c r="Q324" s="9" t="s">
        <v>37</v>
      </c>
    </row>
    <row r="325" spans="5:17">
      <c r="E325" s="32" t="s">
        <v>302</v>
      </c>
      <c r="F325" s="33"/>
      <c r="G325" s="9" t="s">
        <v>53</v>
      </c>
      <c r="H325" s="10" t="s">
        <v>51</v>
      </c>
      <c r="I325" s="10" t="s">
        <v>51</v>
      </c>
      <c r="J325" s="10" t="s">
        <v>51</v>
      </c>
      <c r="K325" s="10" t="s">
        <v>51</v>
      </c>
      <c r="L325" s="10" t="s">
        <v>51</v>
      </c>
      <c r="M325" s="10" t="s">
        <v>51</v>
      </c>
      <c r="N325" s="10" t="s">
        <v>51</v>
      </c>
      <c r="O325" s="30" t="s">
        <v>54</v>
      </c>
      <c r="P325" s="31"/>
      <c r="Q325" s="9" t="s">
        <v>37</v>
      </c>
    </row>
    <row r="326" spans="5:17">
      <c r="E326" s="34"/>
      <c r="F326" s="35"/>
      <c r="G326" s="9" t="s">
        <v>55</v>
      </c>
      <c r="H326" s="10" t="s">
        <v>37</v>
      </c>
      <c r="I326" s="10" t="s">
        <v>37</v>
      </c>
      <c r="J326" s="10" t="s">
        <v>37</v>
      </c>
      <c r="K326" s="10" t="s">
        <v>37</v>
      </c>
      <c r="L326" s="10" t="s">
        <v>37</v>
      </c>
      <c r="M326" s="10" t="s">
        <v>37</v>
      </c>
      <c r="N326" s="10" t="s">
        <v>37</v>
      </c>
      <c r="O326" s="30" t="s">
        <v>37</v>
      </c>
      <c r="P326" s="31"/>
      <c r="Q326" s="11">
        <v>0</v>
      </c>
    </row>
    <row r="327" spans="5:17">
      <c r="E327" s="36"/>
      <c r="F327" s="37"/>
      <c r="G327" s="9" t="s">
        <v>56</v>
      </c>
      <c r="H327" s="12">
        <v>4</v>
      </c>
      <c r="I327" s="12">
        <v>4</v>
      </c>
      <c r="J327" s="12">
        <v>4</v>
      </c>
      <c r="K327" s="12">
        <v>3</v>
      </c>
      <c r="L327" s="12">
        <v>3</v>
      </c>
      <c r="M327" s="12">
        <v>3</v>
      </c>
      <c r="N327" s="12">
        <v>2</v>
      </c>
      <c r="O327" s="30">
        <v>2</v>
      </c>
      <c r="P327" s="31"/>
      <c r="Q327" s="11">
        <v>25</v>
      </c>
    </row>
    <row r="328" spans="5:17">
      <c r="E328" s="7" t="s">
        <v>57</v>
      </c>
      <c r="F328" s="13">
        <v>6.78</v>
      </c>
      <c r="G328" s="9" t="s">
        <v>58</v>
      </c>
      <c r="H328" s="12">
        <v>7.5</v>
      </c>
      <c r="I328" s="12">
        <v>6.5</v>
      </c>
      <c r="J328" s="12">
        <v>4.5</v>
      </c>
      <c r="K328" s="12">
        <v>6.5</v>
      </c>
      <c r="L328" s="12">
        <v>7.5</v>
      </c>
      <c r="M328" s="12">
        <v>5.5</v>
      </c>
      <c r="N328" s="12">
        <v>9</v>
      </c>
      <c r="O328" s="30">
        <v>9.5</v>
      </c>
      <c r="P328" s="31"/>
      <c r="Q328" s="9" t="s">
        <v>37</v>
      </c>
    </row>
    <row r="329" spans="5:17">
      <c r="E329" s="7" t="s">
        <v>59</v>
      </c>
      <c r="F329" s="14">
        <v>6.78</v>
      </c>
      <c r="G329" s="9" t="s">
        <v>60</v>
      </c>
      <c r="H329" s="12">
        <v>30</v>
      </c>
      <c r="I329" s="12">
        <v>26</v>
      </c>
      <c r="J329" s="12">
        <v>18</v>
      </c>
      <c r="K329" s="12">
        <v>19.5</v>
      </c>
      <c r="L329" s="12">
        <v>22.5</v>
      </c>
      <c r="M329" s="12">
        <v>16.5</v>
      </c>
      <c r="N329" s="12">
        <v>18</v>
      </c>
      <c r="O329" s="30">
        <v>19</v>
      </c>
      <c r="P329" s="31"/>
      <c r="Q329" s="11">
        <v>169.5</v>
      </c>
    </row>
    <row r="330" spans="5:17">
      <c r="E330" s="32" t="s">
        <v>61</v>
      </c>
      <c r="F330" s="31"/>
      <c r="G330" s="9" t="s">
        <v>40</v>
      </c>
      <c r="H330" s="12">
        <v>71</v>
      </c>
      <c r="I330" s="12">
        <v>61</v>
      </c>
      <c r="J330" s="12">
        <v>44</v>
      </c>
      <c r="K330" s="12">
        <v>63</v>
      </c>
      <c r="L330" s="12">
        <v>73</v>
      </c>
      <c r="M330" s="12">
        <v>52</v>
      </c>
      <c r="N330" s="12">
        <v>43</v>
      </c>
      <c r="O330" s="30">
        <v>45</v>
      </c>
      <c r="P330" s="31"/>
      <c r="Q330" s="11">
        <v>452</v>
      </c>
    </row>
    <row r="331" spans="5:17">
      <c r="E331" s="7" t="s">
        <v>62</v>
      </c>
      <c r="F331" s="7"/>
      <c r="G331" s="9" t="s">
        <v>63</v>
      </c>
      <c r="H331" s="12">
        <v>100</v>
      </c>
      <c r="I331" s="12">
        <v>100</v>
      </c>
      <c r="J331" s="12">
        <v>100</v>
      </c>
      <c r="K331" s="12">
        <v>100</v>
      </c>
      <c r="L331" s="12">
        <v>100</v>
      </c>
      <c r="M331" s="12">
        <v>100</v>
      </c>
      <c r="N331" s="12">
        <v>50</v>
      </c>
      <c r="O331" s="30">
        <v>50</v>
      </c>
      <c r="P331" s="31"/>
      <c r="Q331" s="11">
        <v>700</v>
      </c>
    </row>
    <row r="332" spans="5:17">
      <c r="E332" s="32" t="s">
        <v>126</v>
      </c>
      <c r="F332" s="31"/>
      <c r="G332" s="9" t="s">
        <v>65</v>
      </c>
      <c r="H332" s="10" t="s">
        <v>68</v>
      </c>
      <c r="I332" s="10" t="s">
        <v>69</v>
      </c>
      <c r="J332" s="10" t="s">
        <v>303</v>
      </c>
      <c r="K332" s="10" t="s">
        <v>69</v>
      </c>
      <c r="L332" s="10" t="s">
        <v>68</v>
      </c>
      <c r="M332" s="10" t="s">
        <v>138</v>
      </c>
      <c r="N332" s="10" t="s">
        <v>67</v>
      </c>
      <c r="O332" s="30" t="s">
        <v>71</v>
      </c>
      <c r="P332" s="31"/>
      <c r="Q332" s="9" t="s">
        <v>37</v>
      </c>
    </row>
    <row r="333" spans="5:17">
      <c r="E333" s="15" t="s">
        <v>72</v>
      </c>
      <c r="F333" s="15" t="s">
        <v>304</v>
      </c>
      <c r="G333" s="9" t="s">
        <v>74</v>
      </c>
      <c r="H333" s="10" t="s">
        <v>75</v>
      </c>
      <c r="I333" s="10" t="s">
        <v>75</v>
      </c>
      <c r="J333" s="10" t="s">
        <v>75</v>
      </c>
      <c r="K333" s="10" t="s">
        <v>75</v>
      </c>
      <c r="L333" s="10" t="s">
        <v>75</v>
      </c>
      <c r="M333" s="10" t="s">
        <v>75</v>
      </c>
      <c r="N333" s="10" t="s">
        <v>75</v>
      </c>
      <c r="O333" s="30" t="s">
        <v>75</v>
      </c>
      <c r="P333" s="31"/>
      <c r="Q333" s="9" t="s">
        <v>37</v>
      </c>
    </row>
    <row r="334" spans="5:17">
      <c r="E334" s="16" t="s">
        <v>37</v>
      </c>
      <c r="F334" s="16" t="s">
        <v>37</v>
      </c>
      <c r="G334" s="16" t="s">
        <v>37</v>
      </c>
      <c r="H334" s="17" t="s">
        <v>37</v>
      </c>
      <c r="I334" s="17" t="s">
        <v>37</v>
      </c>
      <c r="J334" s="17" t="s">
        <v>37</v>
      </c>
      <c r="K334" s="17" t="s">
        <v>37</v>
      </c>
      <c r="L334" s="17" t="s">
        <v>37</v>
      </c>
      <c r="M334" s="17" t="s">
        <v>37</v>
      </c>
      <c r="N334" s="17" t="s">
        <v>37</v>
      </c>
      <c r="O334" s="41" t="s">
        <v>37</v>
      </c>
      <c r="P334" s="28"/>
      <c r="Q334" s="17" t="s">
        <v>37</v>
      </c>
    </row>
    <row r="335" spans="5:17" ht="0.6" customHeight="1"/>
    <row r="336" spans="5:17">
      <c r="E336" s="38" t="s">
        <v>35</v>
      </c>
      <c r="F336" s="31"/>
      <c r="G336" s="4" t="s">
        <v>36</v>
      </c>
      <c r="H336" s="6" t="s">
        <v>37</v>
      </c>
      <c r="I336" s="6" t="s">
        <v>37</v>
      </c>
      <c r="J336" s="6" t="s">
        <v>37</v>
      </c>
      <c r="K336" s="6" t="s">
        <v>37</v>
      </c>
      <c r="L336" s="6" t="s">
        <v>37</v>
      </c>
      <c r="M336" s="6" t="s">
        <v>37</v>
      </c>
      <c r="N336" s="6" t="s">
        <v>37</v>
      </c>
      <c r="O336" s="39" t="s">
        <v>37</v>
      </c>
      <c r="P336" s="28"/>
      <c r="Q336" s="6" t="s">
        <v>37</v>
      </c>
    </row>
    <row r="337" spans="5:17" ht="21">
      <c r="E337" s="32" t="s">
        <v>305</v>
      </c>
      <c r="F337" s="31"/>
      <c r="G337" s="8" t="s">
        <v>39</v>
      </c>
      <c r="H337" s="8" t="s">
        <v>19</v>
      </c>
      <c r="I337" s="8" t="s">
        <v>9</v>
      </c>
      <c r="J337" s="8" t="s">
        <v>21</v>
      </c>
      <c r="K337" s="8" t="s">
        <v>11</v>
      </c>
      <c r="L337" s="8" t="s">
        <v>17</v>
      </c>
      <c r="M337" s="8" t="s">
        <v>27</v>
      </c>
      <c r="N337" s="8" t="s">
        <v>7</v>
      </c>
      <c r="O337" s="40" t="s">
        <v>33</v>
      </c>
      <c r="P337" s="31"/>
      <c r="Q337" s="8" t="s">
        <v>40</v>
      </c>
    </row>
    <row r="338" spans="5:17" ht="22.5">
      <c r="E338" s="7" t="s">
        <v>41</v>
      </c>
      <c r="F338" s="7" t="s">
        <v>306</v>
      </c>
      <c r="G338" s="9" t="s">
        <v>43</v>
      </c>
      <c r="H338" s="10" t="s">
        <v>193</v>
      </c>
      <c r="I338" s="10" t="s">
        <v>45</v>
      </c>
      <c r="J338" s="10" t="s">
        <v>307</v>
      </c>
      <c r="K338" s="10" t="s">
        <v>153</v>
      </c>
      <c r="L338" s="10" t="s">
        <v>308</v>
      </c>
      <c r="M338" s="10" t="s">
        <v>309</v>
      </c>
      <c r="N338" s="10" t="s">
        <v>310</v>
      </c>
      <c r="O338" s="30" t="s">
        <v>51</v>
      </c>
      <c r="P338" s="31"/>
      <c r="Q338" s="9" t="s">
        <v>37</v>
      </c>
    </row>
    <row r="339" spans="5:17">
      <c r="E339" s="32" t="s">
        <v>311</v>
      </c>
      <c r="F339" s="33"/>
      <c r="G339" s="9" t="s">
        <v>53</v>
      </c>
      <c r="H339" s="10" t="s">
        <v>51</v>
      </c>
      <c r="I339" s="10" t="s">
        <v>51</v>
      </c>
      <c r="J339" s="10" t="s">
        <v>51</v>
      </c>
      <c r="K339" s="10" t="s">
        <v>51</v>
      </c>
      <c r="L339" s="10" t="s">
        <v>51</v>
      </c>
      <c r="M339" s="10" t="s">
        <v>51</v>
      </c>
      <c r="N339" s="10" t="s">
        <v>51</v>
      </c>
      <c r="O339" s="30" t="s">
        <v>54</v>
      </c>
      <c r="P339" s="31"/>
      <c r="Q339" s="9" t="s">
        <v>37</v>
      </c>
    </row>
    <row r="340" spans="5:17">
      <c r="E340" s="34"/>
      <c r="F340" s="35"/>
      <c r="G340" s="9" t="s">
        <v>55</v>
      </c>
      <c r="H340" s="10" t="s">
        <v>37</v>
      </c>
      <c r="I340" s="10" t="s">
        <v>37</v>
      </c>
      <c r="J340" s="10" t="s">
        <v>37</v>
      </c>
      <c r="K340" s="10" t="s">
        <v>37</v>
      </c>
      <c r="L340" s="10" t="s">
        <v>37</v>
      </c>
      <c r="M340" s="10" t="s">
        <v>37</v>
      </c>
      <c r="N340" s="10" t="s">
        <v>37</v>
      </c>
      <c r="O340" s="30" t="s">
        <v>37</v>
      </c>
      <c r="P340" s="31"/>
      <c r="Q340" s="11">
        <v>0</v>
      </c>
    </row>
    <row r="341" spans="5:17">
      <c r="E341" s="36"/>
      <c r="F341" s="37"/>
      <c r="G341" s="9" t="s">
        <v>56</v>
      </c>
      <c r="H341" s="12">
        <v>4</v>
      </c>
      <c r="I341" s="12">
        <v>4</v>
      </c>
      <c r="J341" s="12">
        <v>4</v>
      </c>
      <c r="K341" s="12">
        <v>3</v>
      </c>
      <c r="L341" s="12">
        <v>3</v>
      </c>
      <c r="M341" s="12">
        <v>3</v>
      </c>
      <c r="N341" s="12">
        <v>2</v>
      </c>
      <c r="O341" s="30">
        <v>2</v>
      </c>
      <c r="P341" s="31"/>
      <c r="Q341" s="11">
        <v>25</v>
      </c>
    </row>
    <row r="342" spans="5:17">
      <c r="E342" s="7" t="s">
        <v>57</v>
      </c>
      <c r="F342" s="13">
        <v>7.76</v>
      </c>
      <c r="G342" s="9" t="s">
        <v>58</v>
      </c>
      <c r="H342" s="12">
        <v>7</v>
      </c>
      <c r="I342" s="12">
        <v>9</v>
      </c>
      <c r="J342" s="12">
        <v>6.5</v>
      </c>
      <c r="K342" s="12">
        <v>6.5</v>
      </c>
      <c r="L342" s="12">
        <v>9</v>
      </c>
      <c r="M342" s="12">
        <v>6.5</v>
      </c>
      <c r="N342" s="12">
        <v>9.5</v>
      </c>
      <c r="O342" s="30">
        <v>9.5</v>
      </c>
      <c r="P342" s="31"/>
      <c r="Q342" s="9" t="s">
        <v>37</v>
      </c>
    </row>
    <row r="343" spans="5:17">
      <c r="E343" s="7" t="s">
        <v>59</v>
      </c>
      <c r="F343" s="14">
        <v>7.76</v>
      </c>
      <c r="G343" s="9" t="s">
        <v>60</v>
      </c>
      <c r="H343" s="12">
        <v>28</v>
      </c>
      <c r="I343" s="12">
        <v>36</v>
      </c>
      <c r="J343" s="12">
        <v>26</v>
      </c>
      <c r="K343" s="12">
        <v>19.5</v>
      </c>
      <c r="L343" s="12">
        <v>27</v>
      </c>
      <c r="M343" s="12">
        <v>19.5</v>
      </c>
      <c r="N343" s="12">
        <v>19</v>
      </c>
      <c r="O343" s="30">
        <v>19</v>
      </c>
      <c r="P343" s="31"/>
      <c r="Q343" s="11">
        <v>194</v>
      </c>
    </row>
    <row r="344" spans="5:17">
      <c r="E344" s="32" t="s">
        <v>61</v>
      </c>
      <c r="F344" s="31"/>
      <c r="G344" s="9" t="s">
        <v>40</v>
      </c>
      <c r="H344" s="12">
        <v>68</v>
      </c>
      <c r="I344" s="12">
        <v>89</v>
      </c>
      <c r="J344" s="12">
        <v>61</v>
      </c>
      <c r="K344" s="12">
        <v>64</v>
      </c>
      <c r="L344" s="12">
        <v>87</v>
      </c>
      <c r="M344" s="12">
        <v>63</v>
      </c>
      <c r="N344" s="12">
        <v>46</v>
      </c>
      <c r="O344" s="30">
        <v>45</v>
      </c>
      <c r="P344" s="31"/>
      <c r="Q344" s="11">
        <v>523</v>
      </c>
    </row>
    <row r="345" spans="5:17">
      <c r="E345" s="7" t="s">
        <v>62</v>
      </c>
      <c r="F345" s="7"/>
      <c r="G345" s="9" t="s">
        <v>63</v>
      </c>
      <c r="H345" s="12">
        <v>100</v>
      </c>
      <c r="I345" s="12">
        <v>100</v>
      </c>
      <c r="J345" s="12">
        <v>100</v>
      </c>
      <c r="K345" s="12">
        <v>100</v>
      </c>
      <c r="L345" s="12">
        <v>100</v>
      </c>
      <c r="M345" s="12">
        <v>100</v>
      </c>
      <c r="N345" s="12">
        <v>50</v>
      </c>
      <c r="O345" s="30">
        <v>50</v>
      </c>
      <c r="P345" s="31"/>
      <c r="Q345" s="11">
        <v>700</v>
      </c>
    </row>
    <row r="346" spans="5:17">
      <c r="E346" s="32" t="s">
        <v>64</v>
      </c>
      <c r="F346" s="31"/>
      <c r="G346" s="9" t="s">
        <v>65</v>
      </c>
      <c r="H346" s="10" t="s">
        <v>66</v>
      </c>
      <c r="I346" s="10" t="s">
        <v>67</v>
      </c>
      <c r="J346" s="10" t="s">
        <v>69</v>
      </c>
      <c r="K346" s="10" t="s">
        <v>69</v>
      </c>
      <c r="L346" s="10" t="s">
        <v>67</v>
      </c>
      <c r="M346" s="10" t="s">
        <v>69</v>
      </c>
      <c r="N346" s="10" t="s">
        <v>71</v>
      </c>
      <c r="O346" s="30" t="s">
        <v>71</v>
      </c>
      <c r="P346" s="31"/>
      <c r="Q346" s="9" t="s">
        <v>37</v>
      </c>
    </row>
    <row r="347" spans="5:17">
      <c r="E347" s="15" t="s">
        <v>72</v>
      </c>
      <c r="F347" s="15" t="s">
        <v>312</v>
      </c>
      <c r="G347" s="9" t="s">
        <v>74</v>
      </c>
      <c r="H347" s="10" t="s">
        <v>75</v>
      </c>
      <c r="I347" s="10" t="s">
        <v>75</v>
      </c>
      <c r="J347" s="10" t="s">
        <v>75</v>
      </c>
      <c r="K347" s="10" t="s">
        <v>75</v>
      </c>
      <c r="L347" s="10" t="s">
        <v>75</v>
      </c>
      <c r="M347" s="10" t="s">
        <v>75</v>
      </c>
      <c r="N347" s="10" t="s">
        <v>75</v>
      </c>
      <c r="O347" s="30" t="s">
        <v>75</v>
      </c>
      <c r="P347" s="31"/>
      <c r="Q347" s="9" t="s">
        <v>37</v>
      </c>
    </row>
    <row r="348" spans="5:17">
      <c r="E348" s="16" t="s">
        <v>37</v>
      </c>
      <c r="F348" s="16" t="s">
        <v>37</v>
      </c>
      <c r="G348" s="16" t="s">
        <v>37</v>
      </c>
      <c r="H348" s="17" t="s">
        <v>37</v>
      </c>
      <c r="I348" s="17" t="s">
        <v>37</v>
      </c>
      <c r="J348" s="17" t="s">
        <v>37</v>
      </c>
      <c r="K348" s="17" t="s">
        <v>37</v>
      </c>
      <c r="L348" s="17" t="s">
        <v>37</v>
      </c>
      <c r="M348" s="17" t="s">
        <v>37</v>
      </c>
      <c r="N348" s="17" t="s">
        <v>37</v>
      </c>
      <c r="O348" s="41" t="s">
        <v>37</v>
      </c>
      <c r="P348" s="28"/>
      <c r="Q348" s="17" t="s">
        <v>37</v>
      </c>
    </row>
    <row r="349" spans="5:17" ht="0" hidden="1" customHeight="1"/>
    <row r="350" spans="5:17" ht="0.6" customHeight="1"/>
    <row r="351" spans="5:17">
      <c r="E351" s="38" t="s">
        <v>35</v>
      </c>
      <c r="F351" s="31"/>
      <c r="G351" s="4" t="s">
        <v>36</v>
      </c>
      <c r="H351" s="6" t="s">
        <v>37</v>
      </c>
      <c r="I351" s="6" t="s">
        <v>37</v>
      </c>
      <c r="J351" s="6" t="s">
        <v>37</v>
      </c>
      <c r="K351" s="6" t="s">
        <v>37</v>
      </c>
      <c r="L351" s="6" t="s">
        <v>37</v>
      </c>
      <c r="M351" s="6" t="s">
        <v>37</v>
      </c>
      <c r="N351" s="6" t="s">
        <v>37</v>
      </c>
      <c r="O351" s="39" t="s">
        <v>37</v>
      </c>
      <c r="P351" s="28"/>
      <c r="Q351" s="6" t="s">
        <v>37</v>
      </c>
    </row>
    <row r="352" spans="5:17" ht="21">
      <c r="E352" s="32" t="s">
        <v>313</v>
      </c>
      <c r="F352" s="31"/>
      <c r="G352" s="8" t="s">
        <v>39</v>
      </c>
      <c r="H352" s="8" t="s">
        <v>19</v>
      </c>
      <c r="I352" s="8" t="s">
        <v>9</v>
      </c>
      <c r="J352" s="8" t="s">
        <v>21</v>
      </c>
      <c r="K352" s="8" t="s">
        <v>11</v>
      </c>
      <c r="L352" s="8" t="s">
        <v>17</v>
      </c>
      <c r="M352" s="8" t="s">
        <v>27</v>
      </c>
      <c r="N352" s="8" t="s">
        <v>7</v>
      </c>
      <c r="O352" s="40" t="s">
        <v>33</v>
      </c>
      <c r="P352" s="31"/>
      <c r="Q352" s="8" t="s">
        <v>40</v>
      </c>
    </row>
    <row r="353" spans="5:17" ht="22.5">
      <c r="E353" s="7" t="s">
        <v>41</v>
      </c>
      <c r="F353" s="7" t="s">
        <v>314</v>
      </c>
      <c r="G353" s="9" t="s">
        <v>43</v>
      </c>
      <c r="H353" s="10" t="s">
        <v>78</v>
      </c>
      <c r="I353" s="10" t="s">
        <v>183</v>
      </c>
      <c r="J353" s="10" t="s">
        <v>288</v>
      </c>
      <c r="K353" s="10" t="s">
        <v>315</v>
      </c>
      <c r="L353" s="10" t="s">
        <v>316</v>
      </c>
      <c r="M353" s="10" t="s">
        <v>317</v>
      </c>
      <c r="N353" s="10" t="s">
        <v>318</v>
      </c>
      <c r="O353" s="30" t="s">
        <v>51</v>
      </c>
      <c r="P353" s="31"/>
      <c r="Q353" s="9" t="s">
        <v>37</v>
      </c>
    </row>
    <row r="354" spans="5:17">
      <c r="E354" s="32" t="s">
        <v>319</v>
      </c>
      <c r="F354" s="33"/>
      <c r="G354" s="9" t="s">
        <v>53</v>
      </c>
      <c r="H354" s="10" t="s">
        <v>51</v>
      </c>
      <c r="I354" s="10" t="s">
        <v>51</v>
      </c>
      <c r="J354" s="10" t="s">
        <v>51</v>
      </c>
      <c r="K354" s="10" t="s">
        <v>51</v>
      </c>
      <c r="L354" s="10" t="s">
        <v>51</v>
      </c>
      <c r="M354" s="10" t="s">
        <v>51</v>
      </c>
      <c r="N354" s="10" t="s">
        <v>51</v>
      </c>
      <c r="O354" s="30" t="s">
        <v>199</v>
      </c>
      <c r="P354" s="31"/>
      <c r="Q354" s="9" t="s">
        <v>37</v>
      </c>
    </row>
    <row r="355" spans="5:17">
      <c r="E355" s="34"/>
      <c r="F355" s="35"/>
      <c r="G355" s="9" t="s">
        <v>55</v>
      </c>
      <c r="H355" s="10" t="s">
        <v>37</v>
      </c>
      <c r="I355" s="10" t="s">
        <v>37</v>
      </c>
      <c r="J355" s="10" t="s">
        <v>37</v>
      </c>
      <c r="K355" s="10" t="s">
        <v>37</v>
      </c>
      <c r="L355" s="10" t="s">
        <v>37</v>
      </c>
      <c r="M355" s="10" t="s">
        <v>37</v>
      </c>
      <c r="N355" s="10" t="s">
        <v>37</v>
      </c>
      <c r="O355" s="30" t="s">
        <v>37</v>
      </c>
      <c r="P355" s="31"/>
      <c r="Q355" s="11">
        <v>0</v>
      </c>
    </row>
    <row r="356" spans="5:17">
      <c r="E356" s="36"/>
      <c r="F356" s="37"/>
      <c r="G356" s="9" t="s">
        <v>56</v>
      </c>
      <c r="H356" s="12">
        <v>4</v>
      </c>
      <c r="I356" s="12">
        <v>4</v>
      </c>
      <c r="J356" s="12">
        <v>4</v>
      </c>
      <c r="K356" s="12">
        <v>3</v>
      </c>
      <c r="L356" s="12">
        <v>3</v>
      </c>
      <c r="M356" s="12">
        <v>3</v>
      </c>
      <c r="N356" s="12">
        <v>2</v>
      </c>
      <c r="O356" s="30">
        <v>2</v>
      </c>
      <c r="P356" s="31"/>
      <c r="Q356" s="11">
        <v>25</v>
      </c>
    </row>
    <row r="357" spans="5:17">
      <c r="E357" s="7" t="s">
        <v>57</v>
      </c>
      <c r="F357" s="13">
        <v>9.06</v>
      </c>
      <c r="G357" s="9" t="s">
        <v>58</v>
      </c>
      <c r="H357" s="12">
        <v>9</v>
      </c>
      <c r="I357" s="12">
        <v>9.5</v>
      </c>
      <c r="J357" s="12">
        <v>9</v>
      </c>
      <c r="K357" s="12">
        <v>8</v>
      </c>
      <c r="L357" s="12">
        <v>9</v>
      </c>
      <c r="M357" s="12">
        <v>8.5</v>
      </c>
      <c r="N357" s="12">
        <v>10</v>
      </c>
      <c r="O357" s="30">
        <v>10</v>
      </c>
      <c r="P357" s="31"/>
      <c r="Q357" s="9" t="s">
        <v>37</v>
      </c>
    </row>
    <row r="358" spans="5:17">
      <c r="E358" s="7" t="s">
        <v>59</v>
      </c>
      <c r="F358" s="14">
        <v>9.06</v>
      </c>
      <c r="G358" s="9" t="s">
        <v>60</v>
      </c>
      <c r="H358" s="12">
        <v>36</v>
      </c>
      <c r="I358" s="12">
        <v>38</v>
      </c>
      <c r="J358" s="12">
        <v>36</v>
      </c>
      <c r="K358" s="12">
        <v>24</v>
      </c>
      <c r="L358" s="12">
        <v>27</v>
      </c>
      <c r="M358" s="12">
        <v>25.5</v>
      </c>
      <c r="N358" s="12">
        <v>20</v>
      </c>
      <c r="O358" s="30">
        <v>20</v>
      </c>
      <c r="P358" s="31"/>
      <c r="Q358" s="11">
        <v>226.5</v>
      </c>
    </row>
    <row r="359" spans="5:17">
      <c r="E359" s="32" t="s">
        <v>61</v>
      </c>
      <c r="F359" s="31"/>
      <c r="G359" s="9" t="s">
        <v>40</v>
      </c>
      <c r="H359" s="12">
        <v>86</v>
      </c>
      <c r="I359" s="12">
        <v>94</v>
      </c>
      <c r="J359" s="12">
        <v>85</v>
      </c>
      <c r="K359" s="12">
        <v>77</v>
      </c>
      <c r="L359" s="12">
        <v>86</v>
      </c>
      <c r="M359" s="12">
        <v>82</v>
      </c>
      <c r="N359" s="12">
        <v>49</v>
      </c>
      <c r="O359" s="30">
        <v>49</v>
      </c>
      <c r="P359" s="31"/>
      <c r="Q359" s="11">
        <v>608</v>
      </c>
    </row>
    <row r="360" spans="5:17">
      <c r="E360" s="7" t="s">
        <v>62</v>
      </c>
      <c r="F360" s="7"/>
      <c r="G360" s="9" t="s">
        <v>63</v>
      </c>
      <c r="H360" s="12">
        <v>100</v>
      </c>
      <c r="I360" s="12">
        <v>100</v>
      </c>
      <c r="J360" s="12">
        <v>100</v>
      </c>
      <c r="K360" s="12">
        <v>100</v>
      </c>
      <c r="L360" s="12">
        <v>100</v>
      </c>
      <c r="M360" s="12">
        <v>100</v>
      </c>
      <c r="N360" s="12">
        <v>50</v>
      </c>
      <c r="O360" s="30">
        <v>50</v>
      </c>
      <c r="P360" s="31"/>
      <c r="Q360" s="11">
        <v>700</v>
      </c>
    </row>
    <row r="361" spans="5:17">
      <c r="E361" s="32" t="s">
        <v>87</v>
      </c>
      <c r="F361" s="31"/>
      <c r="G361" s="9" t="s">
        <v>65</v>
      </c>
      <c r="H361" s="10" t="s">
        <v>67</v>
      </c>
      <c r="I361" s="10" t="s">
        <v>71</v>
      </c>
      <c r="J361" s="10" t="s">
        <v>67</v>
      </c>
      <c r="K361" s="10" t="s">
        <v>102</v>
      </c>
      <c r="L361" s="10" t="s">
        <v>67</v>
      </c>
      <c r="M361" s="10" t="s">
        <v>70</v>
      </c>
      <c r="N361" s="10" t="s">
        <v>88</v>
      </c>
      <c r="O361" s="30" t="s">
        <v>88</v>
      </c>
      <c r="P361" s="31"/>
      <c r="Q361" s="9" t="s">
        <v>37</v>
      </c>
    </row>
    <row r="362" spans="5:17">
      <c r="E362" s="15" t="s">
        <v>72</v>
      </c>
      <c r="F362" s="15" t="s">
        <v>320</v>
      </c>
      <c r="G362" s="9" t="s">
        <v>74</v>
      </c>
      <c r="H362" s="10" t="s">
        <v>75</v>
      </c>
      <c r="I362" s="10" t="s">
        <v>75</v>
      </c>
      <c r="J362" s="10" t="s">
        <v>75</v>
      </c>
      <c r="K362" s="10" t="s">
        <v>75</v>
      </c>
      <c r="L362" s="10" t="s">
        <v>75</v>
      </c>
      <c r="M362" s="10" t="s">
        <v>75</v>
      </c>
      <c r="N362" s="10" t="s">
        <v>75</v>
      </c>
      <c r="O362" s="30" t="s">
        <v>75</v>
      </c>
      <c r="P362" s="31"/>
      <c r="Q362" s="9" t="s">
        <v>37</v>
      </c>
    </row>
    <row r="363" spans="5:17">
      <c r="E363" s="16" t="s">
        <v>37</v>
      </c>
      <c r="F363" s="16" t="s">
        <v>37</v>
      </c>
      <c r="G363" s="16" t="s">
        <v>37</v>
      </c>
      <c r="H363" s="17" t="s">
        <v>37</v>
      </c>
      <c r="I363" s="17" t="s">
        <v>37</v>
      </c>
      <c r="J363" s="17" t="s">
        <v>37</v>
      </c>
      <c r="K363" s="17" t="s">
        <v>37</v>
      </c>
      <c r="L363" s="17" t="s">
        <v>37</v>
      </c>
      <c r="M363" s="17" t="s">
        <v>37</v>
      </c>
      <c r="N363" s="17" t="s">
        <v>37</v>
      </c>
      <c r="O363" s="41" t="s">
        <v>37</v>
      </c>
      <c r="P363" s="28"/>
      <c r="Q363" s="17" t="s">
        <v>37</v>
      </c>
    </row>
    <row r="364" spans="5:17" ht="0" hidden="1" customHeight="1"/>
    <row r="365" spans="5:17" ht="0.6" customHeight="1"/>
    <row r="366" spans="5:17">
      <c r="E366" s="38" t="s">
        <v>35</v>
      </c>
      <c r="F366" s="31"/>
      <c r="G366" s="4" t="s">
        <v>36</v>
      </c>
      <c r="H366" s="6" t="s">
        <v>37</v>
      </c>
      <c r="I366" s="6" t="s">
        <v>37</v>
      </c>
      <c r="J366" s="6" t="s">
        <v>37</v>
      </c>
      <c r="K366" s="6" t="s">
        <v>37</v>
      </c>
      <c r="L366" s="6" t="s">
        <v>37</v>
      </c>
      <c r="M366" s="6" t="s">
        <v>37</v>
      </c>
      <c r="N366" s="6" t="s">
        <v>37</v>
      </c>
      <c r="O366" s="39" t="s">
        <v>37</v>
      </c>
      <c r="P366" s="28"/>
      <c r="Q366" s="6" t="s">
        <v>37</v>
      </c>
    </row>
    <row r="367" spans="5:17" ht="21">
      <c r="E367" s="32" t="s">
        <v>321</v>
      </c>
      <c r="F367" s="31"/>
      <c r="G367" s="8" t="s">
        <v>39</v>
      </c>
      <c r="H367" s="8" t="s">
        <v>19</v>
      </c>
      <c r="I367" s="8" t="s">
        <v>9</v>
      </c>
      <c r="J367" s="8" t="s">
        <v>21</v>
      </c>
      <c r="K367" s="8" t="s">
        <v>11</v>
      </c>
      <c r="L367" s="8" t="s">
        <v>17</v>
      </c>
      <c r="M367" s="8" t="s">
        <v>27</v>
      </c>
      <c r="N367" s="8" t="s">
        <v>7</v>
      </c>
      <c r="O367" s="40" t="s">
        <v>29</v>
      </c>
      <c r="P367" s="31"/>
      <c r="Q367" s="8" t="s">
        <v>40</v>
      </c>
    </row>
    <row r="368" spans="5:17" ht="22.5">
      <c r="E368" s="7" t="s">
        <v>41</v>
      </c>
      <c r="F368" s="7" t="s">
        <v>322</v>
      </c>
      <c r="G368" s="9" t="s">
        <v>43</v>
      </c>
      <c r="H368" s="10" t="s">
        <v>323</v>
      </c>
      <c r="I368" s="10" t="s">
        <v>172</v>
      </c>
      <c r="J368" s="10" t="s">
        <v>324</v>
      </c>
      <c r="K368" s="10" t="s">
        <v>214</v>
      </c>
      <c r="L368" s="10" t="s">
        <v>289</v>
      </c>
      <c r="M368" s="10" t="s">
        <v>325</v>
      </c>
      <c r="N368" s="10" t="s">
        <v>326</v>
      </c>
      <c r="O368" s="30" t="s">
        <v>51</v>
      </c>
      <c r="P368" s="31"/>
      <c r="Q368" s="9" t="s">
        <v>37</v>
      </c>
    </row>
    <row r="369" spans="5:17">
      <c r="E369" s="32" t="s">
        <v>327</v>
      </c>
      <c r="F369" s="33"/>
      <c r="G369" s="9" t="s">
        <v>53</v>
      </c>
      <c r="H369" s="10" t="s">
        <v>51</v>
      </c>
      <c r="I369" s="10" t="s">
        <v>51</v>
      </c>
      <c r="J369" s="10" t="s">
        <v>51</v>
      </c>
      <c r="K369" s="10" t="s">
        <v>51</v>
      </c>
      <c r="L369" s="10" t="s">
        <v>51</v>
      </c>
      <c r="M369" s="10" t="s">
        <v>51</v>
      </c>
      <c r="N369" s="10" t="s">
        <v>51</v>
      </c>
      <c r="O369" s="30" t="s">
        <v>54</v>
      </c>
      <c r="P369" s="31"/>
      <c r="Q369" s="9" t="s">
        <v>37</v>
      </c>
    </row>
    <row r="370" spans="5:17">
      <c r="E370" s="34"/>
      <c r="F370" s="35"/>
      <c r="G370" s="9" t="s">
        <v>55</v>
      </c>
      <c r="H370" s="10" t="s">
        <v>37</v>
      </c>
      <c r="I370" s="10" t="s">
        <v>37</v>
      </c>
      <c r="J370" s="10" t="s">
        <v>37</v>
      </c>
      <c r="K370" s="10" t="s">
        <v>37</v>
      </c>
      <c r="L370" s="10" t="s">
        <v>37</v>
      </c>
      <c r="M370" s="10" t="s">
        <v>37</v>
      </c>
      <c r="N370" s="10" t="s">
        <v>37</v>
      </c>
      <c r="O370" s="30" t="s">
        <v>37</v>
      </c>
      <c r="P370" s="31"/>
      <c r="Q370" s="11">
        <v>0</v>
      </c>
    </row>
    <row r="371" spans="5:17">
      <c r="E371" s="36"/>
      <c r="F371" s="37"/>
      <c r="G371" s="9" t="s">
        <v>56</v>
      </c>
      <c r="H371" s="12">
        <v>4</v>
      </c>
      <c r="I371" s="12">
        <v>4</v>
      </c>
      <c r="J371" s="12">
        <v>4</v>
      </c>
      <c r="K371" s="12">
        <v>3</v>
      </c>
      <c r="L371" s="12">
        <v>3</v>
      </c>
      <c r="M371" s="12">
        <v>3</v>
      </c>
      <c r="N371" s="12">
        <v>2</v>
      </c>
      <c r="O371" s="30">
        <v>2</v>
      </c>
      <c r="P371" s="31"/>
      <c r="Q371" s="11">
        <v>25</v>
      </c>
    </row>
    <row r="372" spans="5:17">
      <c r="E372" s="7" t="s">
        <v>57</v>
      </c>
      <c r="F372" s="13">
        <v>8.6</v>
      </c>
      <c r="G372" s="9" t="s">
        <v>58</v>
      </c>
      <c r="H372" s="12">
        <v>9</v>
      </c>
      <c r="I372" s="12">
        <v>8.5</v>
      </c>
      <c r="J372" s="12">
        <v>8</v>
      </c>
      <c r="K372" s="12">
        <v>7.5</v>
      </c>
      <c r="L372" s="12">
        <v>9</v>
      </c>
      <c r="M372" s="12">
        <v>8.5</v>
      </c>
      <c r="N372" s="12">
        <v>9.5</v>
      </c>
      <c r="O372" s="30">
        <v>9.5</v>
      </c>
      <c r="P372" s="31"/>
      <c r="Q372" s="9" t="s">
        <v>37</v>
      </c>
    </row>
    <row r="373" spans="5:17">
      <c r="E373" s="7" t="s">
        <v>59</v>
      </c>
      <c r="F373" s="14">
        <v>8.6</v>
      </c>
      <c r="G373" s="9" t="s">
        <v>60</v>
      </c>
      <c r="H373" s="12">
        <v>36</v>
      </c>
      <c r="I373" s="12">
        <v>34</v>
      </c>
      <c r="J373" s="12">
        <v>32</v>
      </c>
      <c r="K373" s="12">
        <v>22.5</v>
      </c>
      <c r="L373" s="12">
        <v>27</v>
      </c>
      <c r="M373" s="12">
        <v>25.5</v>
      </c>
      <c r="N373" s="12">
        <v>19</v>
      </c>
      <c r="O373" s="30">
        <v>19</v>
      </c>
      <c r="P373" s="31"/>
      <c r="Q373" s="11">
        <v>215</v>
      </c>
    </row>
    <row r="374" spans="5:17">
      <c r="E374" s="32" t="s">
        <v>61</v>
      </c>
      <c r="F374" s="31"/>
      <c r="G374" s="9" t="s">
        <v>40</v>
      </c>
      <c r="H374" s="12">
        <v>85</v>
      </c>
      <c r="I374" s="12">
        <v>84</v>
      </c>
      <c r="J374" s="12">
        <v>79</v>
      </c>
      <c r="K374" s="12">
        <v>74</v>
      </c>
      <c r="L374" s="12">
        <v>89</v>
      </c>
      <c r="M374" s="12">
        <v>84</v>
      </c>
      <c r="N374" s="12">
        <v>47</v>
      </c>
      <c r="O374" s="30">
        <v>45</v>
      </c>
      <c r="P374" s="31"/>
      <c r="Q374" s="11">
        <v>587</v>
      </c>
    </row>
    <row r="375" spans="5:17">
      <c r="E375" s="7" t="s">
        <v>62</v>
      </c>
      <c r="F375" s="7"/>
      <c r="G375" s="9" t="s">
        <v>63</v>
      </c>
      <c r="H375" s="12">
        <v>100</v>
      </c>
      <c r="I375" s="12">
        <v>100</v>
      </c>
      <c r="J375" s="12">
        <v>100</v>
      </c>
      <c r="K375" s="12">
        <v>100</v>
      </c>
      <c r="L375" s="12">
        <v>100</v>
      </c>
      <c r="M375" s="12">
        <v>100</v>
      </c>
      <c r="N375" s="12">
        <v>50</v>
      </c>
      <c r="O375" s="30">
        <v>50</v>
      </c>
      <c r="P375" s="31"/>
      <c r="Q375" s="11">
        <v>700</v>
      </c>
    </row>
    <row r="376" spans="5:17">
      <c r="E376" s="32" t="s">
        <v>188</v>
      </c>
      <c r="F376" s="31"/>
      <c r="G376" s="9" t="s">
        <v>65</v>
      </c>
      <c r="H376" s="10" t="s">
        <v>67</v>
      </c>
      <c r="I376" s="10" t="s">
        <v>70</v>
      </c>
      <c r="J376" s="10" t="s">
        <v>102</v>
      </c>
      <c r="K376" s="10" t="s">
        <v>68</v>
      </c>
      <c r="L376" s="10" t="s">
        <v>67</v>
      </c>
      <c r="M376" s="10" t="s">
        <v>70</v>
      </c>
      <c r="N376" s="10" t="s">
        <v>71</v>
      </c>
      <c r="O376" s="30" t="s">
        <v>71</v>
      </c>
      <c r="P376" s="31"/>
      <c r="Q376" s="9" t="s">
        <v>37</v>
      </c>
    </row>
    <row r="377" spans="5:17">
      <c r="E377" s="15" t="s">
        <v>72</v>
      </c>
      <c r="F377" s="15" t="s">
        <v>328</v>
      </c>
      <c r="G377" s="9" t="s">
        <v>74</v>
      </c>
      <c r="H377" s="10" t="s">
        <v>75</v>
      </c>
      <c r="I377" s="10" t="s">
        <v>75</v>
      </c>
      <c r="J377" s="10" t="s">
        <v>75</v>
      </c>
      <c r="K377" s="10" t="s">
        <v>75</v>
      </c>
      <c r="L377" s="10" t="s">
        <v>75</v>
      </c>
      <c r="M377" s="10" t="s">
        <v>75</v>
      </c>
      <c r="N377" s="10" t="s">
        <v>75</v>
      </c>
      <c r="O377" s="30" t="s">
        <v>75</v>
      </c>
      <c r="P377" s="31"/>
      <c r="Q377" s="9" t="s">
        <v>37</v>
      </c>
    </row>
    <row r="378" spans="5:17">
      <c r="E378" s="16" t="s">
        <v>37</v>
      </c>
      <c r="F378" s="16" t="s">
        <v>37</v>
      </c>
      <c r="G378" s="16" t="s">
        <v>37</v>
      </c>
      <c r="H378" s="17" t="s">
        <v>37</v>
      </c>
      <c r="I378" s="17" t="s">
        <v>37</v>
      </c>
      <c r="J378" s="17" t="s">
        <v>37</v>
      </c>
      <c r="K378" s="17" t="s">
        <v>37</v>
      </c>
      <c r="L378" s="17" t="s">
        <v>37</v>
      </c>
      <c r="M378" s="17" t="s">
        <v>37</v>
      </c>
      <c r="N378" s="17" t="s">
        <v>37</v>
      </c>
      <c r="O378" s="41" t="s">
        <v>37</v>
      </c>
      <c r="P378" s="28"/>
      <c r="Q378" s="17" t="s">
        <v>37</v>
      </c>
    </row>
    <row r="379" spans="5:17" ht="0" hidden="1" customHeight="1"/>
    <row r="380" spans="5:17" ht="0.6" customHeight="1"/>
    <row r="381" spans="5:17">
      <c r="E381" s="38" t="s">
        <v>35</v>
      </c>
      <c r="F381" s="31"/>
      <c r="G381" s="4" t="s">
        <v>36</v>
      </c>
      <c r="H381" s="6" t="s">
        <v>37</v>
      </c>
      <c r="I381" s="6" t="s">
        <v>37</v>
      </c>
      <c r="J381" s="6" t="s">
        <v>37</v>
      </c>
      <c r="K381" s="6" t="s">
        <v>37</v>
      </c>
      <c r="L381" s="6" t="s">
        <v>37</v>
      </c>
      <c r="M381" s="6" t="s">
        <v>37</v>
      </c>
      <c r="N381" s="6" t="s">
        <v>37</v>
      </c>
      <c r="O381" s="39" t="s">
        <v>37</v>
      </c>
      <c r="P381" s="28"/>
      <c r="Q381" s="6" t="s">
        <v>37</v>
      </c>
    </row>
    <row r="382" spans="5:17" ht="21">
      <c r="E382" s="32" t="s">
        <v>329</v>
      </c>
      <c r="F382" s="31"/>
      <c r="G382" s="8" t="s">
        <v>39</v>
      </c>
      <c r="H382" s="8" t="s">
        <v>19</v>
      </c>
      <c r="I382" s="8" t="s">
        <v>9</v>
      </c>
      <c r="J382" s="8" t="s">
        <v>21</v>
      </c>
      <c r="K382" s="8" t="s">
        <v>11</v>
      </c>
      <c r="L382" s="8" t="s">
        <v>17</v>
      </c>
      <c r="M382" s="8" t="s">
        <v>27</v>
      </c>
      <c r="N382" s="8" t="s">
        <v>7</v>
      </c>
      <c r="O382" s="40" t="s">
        <v>25</v>
      </c>
      <c r="P382" s="31"/>
      <c r="Q382" s="8" t="s">
        <v>40</v>
      </c>
    </row>
    <row r="383" spans="5:17" ht="22.5">
      <c r="E383" s="7" t="s">
        <v>41</v>
      </c>
      <c r="F383" s="7" t="s">
        <v>330</v>
      </c>
      <c r="G383" s="9" t="s">
        <v>43</v>
      </c>
      <c r="H383" s="10" t="s">
        <v>331</v>
      </c>
      <c r="I383" s="10" t="s">
        <v>332</v>
      </c>
      <c r="J383" s="10" t="s">
        <v>333</v>
      </c>
      <c r="K383" s="10" t="s">
        <v>334</v>
      </c>
      <c r="L383" s="10" t="s">
        <v>335</v>
      </c>
      <c r="M383" s="10" t="s">
        <v>336</v>
      </c>
      <c r="N383" s="10" t="s">
        <v>337</v>
      </c>
      <c r="O383" s="30" t="s">
        <v>51</v>
      </c>
      <c r="P383" s="31"/>
      <c r="Q383" s="9" t="s">
        <v>37</v>
      </c>
    </row>
    <row r="384" spans="5:17">
      <c r="E384" s="32" t="s">
        <v>338</v>
      </c>
      <c r="F384" s="33"/>
      <c r="G384" s="9" t="s">
        <v>53</v>
      </c>
      <c r="H384" s="10" t="s">
        <v>51</v>
      </c>
      <c r="I384" s="10" t="s">
        <v>51</v>
      </c>
      <c r="J384" s="10" t="s">
        <v>51</v>
      </c>
      <c r="K384" s="10" t="s">
        <v>51</v>
      </c>
      <c r="L384" s="10" t="s">
        <v>51</v>
      </c>
      <c r="M384" s="10" t="s">
        <v>51</v>
      </c>
      <c r="N384" s="10" t="s">
        <v>51</v>
      </c>
      <c r="O384" s="30" t="s">
        <v>54</v>
      </c>
      <c r="P384" s="31"/>
      <c r="Q384" s="9" t="s">
        <v>37</v>
      </c>
    </row>
    <row r="385" spans="5:17">
      <c r="E385" s="34"/>
      <c r="F385" s="35"/>
      <c r="G385" s="9" t="s">
        <v>55</v>
      </c>
      <c r="H385" s="10" t="s">
        <v>37</v>
      </c>
      <c r="I385" s="10" t="s">
        <v>37</v>
      </c>
      <c r="J385" s="10" t="s">
        <v>37</v>
      </c>
      <c r="K385" s="10" t="s">
        <v>37</v>
      </c>
      <c r="L385" s="10" t="s">
        <v>37</v>
      </c>
      <c r="M385" s="10" t="s">
        <v>37</v>
      </c>
      <c r="N385" s="10" t="s">
        <v>37</v>
      </c>
      <c r="O385" s="30" t="s">
        <v>37</v>
      </c>
      <c r="P385" s="31"/>
      <c r="Q385" s="11">
        <v>0</v>
      </c>
    </row>
    <row r="386" spans="5:17">
      <c r="E386" s="36"/>
      <c r="F386" s="37"/>
      <c r="G386" s="9" t="s">
        <v>56</v>
      </c>
      <c r="H386" s="12">
        <v>4</v>
      </c>
      <c r="I386" s="12">
        <v>4</v>
      </c>
      <c r="J386" s="12">
        <v>4</v>
      </c>
      <c r="K386" s="12">
        <v>3</v>
      </c>
      <c r="L386" s="12">
        <v>3</v>
      </c>
      <c r="M386" s="12">
        <v>3</v>
      </c>
      <c r="N386" s="12">
        <v>2</v>
      </c>
      <c r="O386" s="30">
        <v>2</v>
      </c>
      <c r="P386" s="31"/>
      <c r="Q386" s="11">
        <v>21</v>
      </c>
    </row>
    <row r="387" spans="5:17">
      <c r="E387" s="7" t="s">
        <v>57</v>
      </c>
      <c r="F387" s="13">
        <v>5.14</v>
      </c>
      <c r="G387" s="9" t="s">
        <v>58</v>
      </c>
      <c r="H387" s="12">
        <v>5.5</v>
      </c>
      <c r="I387" s="12">
        <v>6</v>
      </c>
      <c r="J387" s="10"/>
      <c r="K387" s="12">
        <v>4.5</v>
      </c>
      <c r="L387" s="12">
        <v>7</v>
      </c>
      <c r="M387" s="12">
        <v>5</v>
      </c>
      <c r="N387" s="12">
        <v>7</v>
      </c>
      <c r="O387" s="30">
        <v>9.5</v>
      </c>
      <c r="P387" s="31"/>
      <c r="Q387" s="9" t="s">
        <v>37</v>
      </c>
    </row>
    <row r="388" spans="5:17">
      <c r="E388" s="7" t="s">
        <v>59</v>
      </c>
      <c r="F388" s="7"/>
      <c r="G388" s="9" t="s">
        <v>60</v>
      </c>
      <c r="H388" s="12">
        <v>22</v>
      </c>
      <c r="I388" s="12">
        <v>24</v>
      </c>
      <c r="J388" s="10"/>
      <c r="K388" s="12">
        <v>13.5</v>
      </c>
      <c r="L388" s="12">
        <v>21</v>
      </c>
      <c r="M388" s="12">
        <v>15</v>
      </c>
      <c r="N388" s="12">
        <v>14</v>
      </c>
      <c r="O388" s="30">
        <v>19</v>
      </c>
      <c r="P388" s="31"/>
      <c r="Q388" s="11">
        <v>128.5</v>
      </c>
    </row>
    <row r="389" spans="5:17">
      <c r="E389" s="32" t="s">
        <v>260</v>
      </c>
      <c r="F389" s="31"/>
      <c r="G389" s="9" t="s">
        <v>40</v>
      </c>
      <c r="H389" s="12">
        <v>50</v>
      </c>
      <c r="I389" s="12">
        <v>59</v>
      </c>
      <c r="J389" s="12">
        <v>37</v>
      </c>
      <c r="K389" s="12">
        <v>40</v>
      </c>
      <c r="L389" s="12">
        <v>66</v>
      </c>
      <c r="M389" s="12">
        <v>45</v>
      </c>
      <c r="N389" s="12">
        <v>34</v>
      </c>
      <c r="O389" s="30">
        <v>45</v>
      </c>
      <c r="P389" s="31"/>
      <c r="Q389" s="11">
        <v>376</v>
      </c>
    </row>
    <row r="390" spans="5:17">
      <c r="E390" s="7" t="s">
        <v>62</v>
      </c>
      <c r="F390" s="7"/>
      <c r="G390" s="9" t="s">
        <v>63</v>
      </c>
      <c r="H390" s="12">
        <v>100</v>
      </c>
      <c r="I390" s="12">
        <v>100</v>
      </c>
      <c r="J390" s="12">
        <v>100</v>
      </c>
      <c r="K390" s="12">
        <v>100</v>
      </c>
      <c r="L390" s="12">
        <v>100</v>
      </c>
      <c r="M390" s="12">
        <v>100</v>
      </c>
      <c r="N390" s="12">
        <v>50</v>
      </c>
      <c r="O390" s="30">
        <v>50</v>
      </c>
      <c r="P390" s="31"/>
      <c r="Q390" s="11">
        <v>700</v>
      </c>
    </row>
    <row r="391" spans="5:17">
      <c r="E391" s="32" t="s">
        <v>339</v>
      </c>
      <c r="F391" s="31"/>
      <c r="G391" s="9" t="s">
        <v>65</v>
      </c>
      <c r="H391" s="10" t="s">
        <v>138</v>
      </c>
      <c r="I391" s="10" t="s">
        <v>103</v>
      </c>
      <c r="J391" s="10"/>
      <c r="K391" s="10" t="s">
        <v>303</v>
      </c>
      <c r="L391" s="10" t="s">
        <v>66</v>
      </c>
      <c r="M391" s="10" t="s">
        <v>127</v>
      </c>
      <c r="N391" s="10" t="s">
        <v>66</v>
      </c>
      <c r="O391" s="30" t="s">
        <v>71</v>
      </c>
      <c r="P391" s="31"/>
      <c r="Q391" s="9" t="s">
        <v>37</v>
      </c>
    </row>
    <row r="392" spans="5:17">
      <c r="E392" s="15" t="s">
        <v>72</v>
      </c>
      <c r="F392" s="15" t="s">
        <v>340</v>
      </c>
      <c r="G392" s="9" t="s">
        <v>74</v>
      </c>
      <c r="H392" s="10" t="s">
        <v>75</v>
      </c>
      <c r="I392" s="10" t="s">
        <v>75</v>
      </c>
      <c r="J392" s="10" t="s">
        <v>263</v>
      </c>
      <c r="K392" s="10" t="s">
        <v>75</v>
      </c>
      <c r="L392" s="10" t="s">
        <v>75</v>
      </c>
      <c r="M392" s="10" t="s">
        <v>75</v>
      </c>
      <c r="N392" s="10" t="s">
        <v>75</v>
      </c>
      <c r="O392" s="30" t="s">
        <v>75</v>
      </c>
      <c r="P392" s="31"/>
      <c r="Q392" s="9" t="s">
        <v>37</v>
      </c>
    </row>
    <row r="393" spans="5:17">
      <c r="E393" s="16" t="s">
        <v>37</v>
      </c>
      <c r="F393" s="16" t="s">
        <v>37</v>
      </c>
      <c r="G393" s="16" t="s">
        <v>37</v>
      </c>
      <c r="H393" s="17" t="s">
        <v>37</v>
      </c>
      <c r="I393" s="17" t="s">
        <v>37</v>
      </c>
      <c r="J393" s="17" t="s">
        <v>37</v>
      </c>
      <c r="K393" s="17" t="s">
        <v>37</v>
      </c>
      <c r="L393" s="17" t="s">
        <v>37</v>
      </c>
      <c r="M393" s="17" t="s">
        <v>37</v>
      </c>
      <c r="N393" s="17" t="s">
        <v>37</v>
      </c>
      <c r="O393" s="41" t="s">
        <v>37</v>
      </c>
      <c r="P393" s="28"/>
      <c r="Q393" s="17" t="s">
        <v>37</v>
      </c>
    </row>
    <row r="394" spans="5:17" ht="0" hidden="1" customHeight="1"/>
    <row r="395" spans="5:17" ht="0.6" customHeight="1"/>
    <row r="396" spans="5:17">
      <c r="E396" s="38" t="s">
        <v>35</v>
      </c>
      <c r="F396" s="31"/>
      <c r="G396" s="4" t="s">
        <v>36</v>
      </c>
      <c r="H396" s="6" t="s">
        <v>37</v>
      </c>
      <c r="I396" s="6" t="s">
        <v>37</v>
      </c>
      <c r="J396" s="6" t="s">
        <v>37</v>
      </c>
      <c r="K396" s="6" t="s">
        <v>37</v>
      </c>
      <c r="L396" s="6" t="s">
        <v>37</v>
      </c>
      <c r="M396" s="6" t="s">
        <v>37</v>
      </c>
      <c r="N396" s="6" t="s">
        <v>37</v>
      </c>
      <c r="O396" s="39" t="s">
        <v>37</v>
      </c>
      <c r="P396" s="28"/>
      <c r="Q396" s="6" t="s">
        <v>37</v>
      </c>
    </row>
    <row r="397" spans="5:17" ht="21">
      <c r="E397" s="32" t="s">
        <v>341</v>
      </c>
      <c r="F397" s="31"/>
      <c r="G397" s="8" t="s">
        <v>39</v>
      </c>
      <c r="H397" s="8" t="s">
        <v>19</v>
      </c>
      <c r="I397" s="8" t="s">
        <v>9</v>
      </c>
      <c r="J397" s="8" t="s">
        <v>21</v>
      </c>
      <c r="K397" s="8" t="s">
        <v>11</v>
      </c>
      <c r="L397" s="8" t="s">
        <v>17</v>
      </c>
      <c r="M397" s="8" t="s">
        <v>27</v>
      </c>
      <c r="N397" s="8" t="s">
        <v>7</v>
      </c>
      <c r="O397" s="40" t="s">
        <v>25</v>
      </c>
      <c r="P397" s="31"/>
      <c r="Q397" s="8" t="s">
        <v>40</v>
      </c>
    </row>
    <row r="398" spans="5:17" ht="22.5">
      <c r="E398" s="7" t="s">
        <v>41</v>
      </c>
      <c r="F398" s="7" t="s">
        <v>342</v>
      </c>
      <c r="G398" s="9" t="s">
        <v>43</v>
      </c>
      <c r="H398" s="10" t="s">
        <v>343</v>
      </c>
      <c r="I398" s="10" t="s">
        <v>323</v>
      </c>
      <c r="J398" s="10" t="s">
        <v>344</v>
      </c>
      <c r="K398" s="10" t="s">
        <v>345</v>
      </c>
      <c r="L398" s="10" t="s">
        <v>335</v>
      </c>
      <c r="M398" s="10" t="s">
        <v>346</v>
      </c>
      <c r="N398" s="10" t="s">
        <v>347</v>
      </c>
      <c r="O398" s="30" t="s">
        <v>51</v>
      </c>
      <c r="P398" s="31"/>
      <c r="Q398" s="9" t="s">
        <v>37</v>
      </c>
    </row>
    <row r="399" spans="5:17">
      <c r="E399" s="32" t="s">
        <v>348</v>
      </c>
      <c r="F399" s="33"/>
      <c r="G399" s="9" t="s">
        <v>53</v>
      </c>
      <c r="H399" s="10" t="s">
        <v>51</v>
      </c>
      <c r="I399" s="10" t="s">
        <v>51</v>
      </c>
      <c r="J399" s="10" t="s">
        <v>51</v>
      </c>
      <c r="K399" s="10" t="s">
        <v>51</v>
      </c>
      <c r="L399" s="10" t="s">
        <v>51</v>
      </c>
      <c r="M399" s="10" t="s">
        <v>51</v>
      </c>
      <c r="N399" s="10" t="s">
        <v>51</v>
      </c>
      <c r="O399" s="30" t="s">
        <v>54</v>
      </c>
      <c r="P399" s="31"/>
      <c r="Q399" s="9" t="s">
        <v>37</v>
      </c>
    </row>
    <row r="400" spans="5:17">
      <c r="E400" s="34"/>
      <c r="F400" s="35"/>
      <c r="G400" s="9" t="s">
        <v>55</v>
      </c>
      <c r="H400" s="10" t="s">
        <v>37</v>
      </c>
      <c r="I400" s="10" t="s">
        <v>37</v>
      </c>
      <c r="J400" s="10" t="s">
        <v>37</v>
      </c>
      <c r="K400" s="10" t="s">
        <v>37</v>
      </c>
      <c r="L400" s="10" t="s">
        <v>37</v>
      </c>
      <c r="M400" s="10" t="s">
        <v>37</v>
      </c>
      <c r="N400" s="10" t="s">
        <v>37</v>
      </c>
      <c r="O400" s="30" t="s">
        <v>37</v>
      </c>
      <c r="P400" s="31"/>
      <c r="Q400" s="11">
        <v>0</v>
      </c>
    </row>
    <row r="401" spans="5:17">
      <c r="E401" s="36"/>
      <c r="F401" s="37"/>
      <c r="G401" s="9" t="s">
        <v>56</v>
      </c>
      <c r="H401" s="12">
        <v>4</v>
      </c>
      <c r="I401" s="12">
        <v>4</v>
      </c>
      <c r="J401" s="12">
        <v>4</v>
      </c>
      <c r="K401" s="12">
        <v>3</v>
      </c>
      <c r="L401" s="12">
        <v>3</v>
      </c>
      <c r="M401" s="12">
        <v>3</v>
      </c>
      <c r="N401" s="12">
        <v>2</v>
      </c>
      <c r="O401" s="30">
        <v>2</v>
      </c>
      <c r="P401" s="31"/>
      <c r="Q401" s="11">
        <v>25</v>
      </c>
    </row>
    <row r="402" spans="5:17">
      <c r="E402" s="7" t="s">
        <v>57</v>
      </c>
      <c r="F402" s="13">
        <v>7.68</v>
      </c>
      <c r="G402" s="9" t="s">
        <v>58</v>
      </c>
      <c r="H402" s="12">
        <v>7.5</v>
      </c>
      <c r="I402" s="12">
        <v>9</v>
      </c>
      <c r="J402" s="12">
        <v>7</v>
      </c>
      <c r="K402" s="12">
        <v>6.5</v>
      </c>
      <c r="L402" s="12">
        <v>7</v>
      </c>
      <c r="M402" s="12">
        <v>7.5</v>
      </c>
      <c r="N402" s="12">
        <v>8</v>
      </c>
      <c r="O402" s="30">
        <v>9.5</v>
      </c>
      <c r="P402" s="31"/>
      <c r="Q402" s="9" t="s">
        <v>37</v>
      </c>
    </row>
    <row r="403" spans="5:17">
      <c r="E403" s="7" t="s">
        <v>59</v>
      </c>
      <c r="F403" s="14">
        <v>7.68</v>
      </c>
      <c r="G403" s="9" t="s">
        <v>60</v>
      </c>
      <c r="H403" s="12">
        <v>30</v>
      </c>
      <c r="I403" s="12">
        <v>36</v>
      </c>
      <c r="J403" s="12">
        <v>28</v>
      </c>
      <c r="K403" s="12">
        <v>19.5</v>
      </c>
      <c r="L403" s="12">
        <v>21</v>
      </c>
      <c r="M403" s="12">
        <v>22.5</v>
      </c>
      <c r="N403" s="12">
        <v>16</v>
      </c>
      <c r="O403" s="30">
        <v>19</v>
      </c>
      <c r="P403" s="31"/>
      <c r="Q403" s="11">
        <v>192</v>
      </c>
    </row>
    <row r="404" spans="5:17">
      <c r="E404" s="32" t="s">
        <v>61</v>
      </c>
      <c r="F404" s="31"/>
      <c r="G404" s="9" t="s">
        <v>40</v>
      </c>
      <c r="H404" s="12">
        <v>71</v>
      </c>
      <c r="I404" s="12">
        <v>85</v>
      </c>
      <c r="J404" s="12">
        <v>67</v>
      </c>
      <c r="K404" s="12">
        <v>60</v>
      </c>
      <c r="L404" s="12">
        <v>66</v>
      </c>
      <c r="M404" s="12">
        <v>70</v>
      </c>
      <c r="N404" s="12">
        <v>39</v>
      </c>
      <c r="O404" s="30">
        <v>45</v>
      </c>
      <c r="P404" s="31"/>
      <c r="Q404" s="11">
        <v>503</v>
      </c>
    </row>
    <row r="405" spans="5:17">
      <c r="E405" s="7" t="s">
        <v>62</v>
      </c>
      <c r="F405" s="7"/>
      <c r="G405" s="9" t="s">
        <v>63</v>
      </c>
      <c r="H405" s="12">
        <v>100</v>
      </c>
      <c r="I405" s="12">
        <v>100</v>
      </c>
      <c r="J405" s="12">
        <v>100</v>
      </c>
      <c r="K405" s="12">
        <v>100</v>
      </c>
      <c r="L405" s="12">
        <v>100</v>
      </c>
      <c r="M405" s="12">
        <v>100</v>
      </c>
      <c r="N405" s="12">
        <v>50</v>
      </c>
      <c r="O405" s="30">
        <v>50</v>
      </c>
      <c r="P405" s="31"/>
      <c r="Q405" s="11">
        <v>700</v>
      </c>
    </row>
    <row r="406" spans="5:17">
      <c r="E406" s="32" t="s">
        <v>64</v>
      </c>
      <c r="F406" s="31"/>
      <c r="G406" s="9" t="s">
        <v>65</v>
      </c>
      <c r="H406" s="10" t="s">
        <v>68</v>
      </c>
      <c r="I406" s="10" t="s">
        <v>67</v>
      </c>
      <c r="J406" s="10" t="s">
        <v>66</v>
      </c>
      <c r="K406" s="10" t="s">
        <v>69</v>
      </c>
      <c r="L406" s="10" t="s">
        <v>66</v>
      </c>
      <c r="M406" s="10" t="s">
        <v>68</v>
      </c>
      <c r="N406" s="10" t="s">
        <v>102</v>
      </c>
      <c r="O406" s="30" t="s">
        <v>71</v>
      </c>
      <c r="P406" s="31"/>
      <c r="Q406" s="9" t="s">
        <v>37</v>
      </c>
    </row>
    <row r="407" spans="5:17">
      <c r="E407" s="15" t="s">
        <v>72</v>
      </c>
      <c r="F407" s="15" t="s">
        <v>349</v>
      </c>
      <c r="G407" s="9" t="s">
        <v>74</v>
      </c>
      <c r="H407" s="10" t="s">
        <v>75</v>
      </c>
      <c r="I407" s="10" t="s">
        <v>75</v>
      </c>
      <c r="J407" s="10" t="s">
        <v>75</v>
      </c>
      <c r="K407" s="10" t="s">
        <v>75</v>
      </c>
      <c r="L407" s="10" t="s">
        <v>75</v>
      </c>
      <c r="M407" s="10" t="s">
        <v>75</v>
      </c>
      <c r="N407" s="10" t="s">
        <v>75</v>
      </c>
      <c r="O407" s="30" t="s">
        <v>75</v>
      </c>
      <c r="P407" s="31"/>
      <c r="Q407" s="9" t="s">
        <v>37</v>
      </c>
    </row>
    <row r="408" spans="5:17">
      <c r="E408" s="16" t="s">
        <v>37</v>
      </c>
      <c r="F408" s="16" t="s">
        <v>37</v>
      </c>
      <c r="G408" s="16" t="s">
        <v>37</v>
      </c>
      <c r="H408" s="17" t="s">
        <v>37</v>
      </c>
      <c r="I408" s="17" t="s">
        <v>37</v>
      </c>
      <c r="J408" s="17" t="s">
        <v>37</v>
      </c>
      <c r="K408" s="17" t="s">
        <v>37</v>
      </c>
      <c r="L408" s="17" t="s">
        <v>37</v>
      </c>
      <c r="M408" s="17" t="s">
        <v>37</v>
      </c>
      <c r="N408" s="17" t="s">
        <v>37</v>
      </c>
      <c r="O408" s="41" t="s">
        <v>37</v>
      </c>
      <c r="P408" s="28"/>
      <c r="Q408" s="17" t="s">
        <v>37</v>
      </c>
    </row>
    <row r="409" spans="5:17" ht="0" hidden="1" customHeight="1"/>
    <row r="410" spans="5:17" ht="0.6" customHeight="1"/>
    <row r="411" spans="5:17">
      <c r="E411" s="38" t="s">
        <v>35</v>
      </c>
      <c r="F411" s="31"/>
      <c r="G411" s="4" t="s">
        <v>36</v>
      </c>
      <c r="H411" s="6" t="s">
        <v>37</v>
      </c>
      <c r="I411" s="6" t="s">
        <v>37</v>
      </c>
      <c r="J411" s="6" t="s">
        <v>37</v>
      </c>
      <c r="K411" s="6" t="s">
        <v>37</v>
      </c>
      <c r="L411" s="6" t="s">
        <v>37</v>
      </c>
      <c r="M411" s="6" t="s">
        <v>37</v>
      </c>
      <c r="N411" s="6" t="s">
        <v>37</v>
      </c>
      <c r="O411" s="39" t="s">
        <v>37</v>
      </c>
      <c r="P411" s="28"/>
      <c r="Q411" s="6" t="s">
        <v>37</v>
      </c>
    </row>
    <row r="412" spans="5:17" ht="21">
      <c r="E412" s="32" t="s">
        <v>350</v>
      </c>
      <c r="F412" s="31"/>
      <c r="G412" s="8" t="s">
        <v>39</v>
      </c>
      <c r="H412" s="8" t="s">
        <v>19</v>
      </c>
      <c r="I412" s="8" t="s">
        <v>9</v>
      </c>
      <c r="J412" s="8" t="s">
        <v>21</v>
      </c>
      <c r="K412" s="8" t="s">
        <v>11</v>
      </c>
      <c r="L412" s="8" t="s">
        <v>17</v>
      </c>
      <c r="M412" s="8" t="s">
        <v>27</v>
      </c>
      <c r="N412" s="8" t="s">
        <v>7</v>
      </c>
      <c r="O412" s="40" t="s">
        <v>25</v>
      </c>
      <c r="P412" s="31"/>
      <c r="Q412" s="8" t="s">
        <v>40</v>
      </c>
    </row>
    <row r="413" spans="5:17" ht="22.5">
      <c r="E413" s="7" t="s">
        <v>41</v>
      </c>
      <c r="F413" s="7" t="s">
        <v>351</v>
      </c>
      <c r="G413" s="9" t="s">
        <v>43</v>
      </c>
      <c r="H413" s="10" t="s">
        <v>243</v>
      </c>
      <c r="I413" s="10" t="s">
        <v>352</v>
      </c>
      <c r="J413" s="10" t="s">
        <v>184</v>
      </c>
      <c r="K413" s="10" t="s">
        <v>353</v>
      </c>
      <c r="L413" s="10" t="s">
        <v>354</v>
      </c>
      <c r="M413" s="10" t="s">
        <v>94</v>
      </c>
      <c r="N413" s="10" t="s">
        <v>176</v>
      </c>
      <c r="O413" s="30" t="s">
        <v>51</v>
      </c>
      <c r="P413" s="31"/>
      <c r="Q413" s="9" t="s">
        <v>37</v>
      </c>
    </row>
    <row r="414" spans="5:17">
      <c r="E414" s="32" t="s">
        <v>355</v>
      </c>
      <c r="F414" s="33"/>
      <c r="G414" s="9" t="s">
        <v>53</v>
      </c>
      <c r="H414" s="10" t="s">
        <v>51</v>
      </c>
      <c r="I414" s="10" t="s">
        <v>51</v>
      </c>
      <c r="J414" s="10" t="s">
        <v>51</v>
      </c>
      <c r="K414" s="10" t="s">
        <v>51</v>
      </c>
      <c r="L414" s="10" t="s">
        <v>51</v>
      </c>
      <c r="M414" s="10" t="s">
        <v>51</v>
      </c>
      <c r="N414" s="10" t="s">
        <v>51</v>
      </c>
      <c r="O414" s="30" t="s">
        <v>54</v>
      </c>
      <c r="P414" s="31"/>
      <c r="Q414" s="9" t="s">
        <v>37</v>
      </c>
    </row>
    <row r="415" spans="5:17">
      <c r="E415" s="34"/>
      <c r="F415" s="35"/>
      <c r="G415" s="9" t="s">
        <v>55</v>
      </c>
      <c r="H415" s="10" t="s">
        <v>37</v>
      </c>
      <c r="I415" s="10" t="s">
        <v>37</v>
      </c>
      <c r="J415" s="10" t="s">
        <v>37</v>
      </c>
      <c r="K415" s="10" t="s">
        <v>37</v>
      </c>
      <c r="L415" s="10" t="s">
        <v>37</v>
      </c>
      <c r="M415" s="10" t="s">
        <v>37</v>
      </c>
      <c r="N415" s="10" t="s">
        <v>37</v>
      </c>
      <c r="O415" s="30" t="s">
        <v>37</v>
      </c>
      <c r="P415" s="31"/>
      <c r="Q415" s="11">
        <v>0</v>
      </c>
    </row>
    <row r="416" spans="5:17">
      <c r="E416" s="36"/>
      <c r="F416" s="37"/>
      <c r="G416" s="9" t="s">
        <v>56</v>
      </c>
      <c r="H416" s="12">
        <v>4</v>
      </c>
      <c r="I416" s="12">
        <v>4</v>
      </c>
      <c r="J416" s="12">
        <v>4</v>
      </c>
      <c r="K416" s="12">
        <v>3</v>
      </c>
      <c r="L416" s="12">
        <v>3</v>
      </c>
      <c r="M416" s="12">
        <v>3</v>
      </c>
      <c r="N416" s="12">
        <v>2</v>
      </c>
      <c r="O416" s="30">
        <v>2</v>
      </c>
      <c r="P416" s="31"/>
      <c r="Q416" s="11">
        <v>25</v>
      </c>
    </row>
    <row r="417" spans="5:17">
      <c r="E417" s="7" t="s">
        <v>57</v>
      </c>
      <c r="F417" s="13">
        <v>8.1199999999999992</v>
      </c>
      <c r="G417" s="9" t="s">
        <v>58</v>
      </c>
      <c r="H417" s="12">
        <v>8</v>
      </c>
      <c r="I417" s="12">
        <v>8.5</v>
      </c>
      <c r="J417" s="12">
        <v>8</v>
      </c>
      <c r="K417" s="12">
        <v>6</v>
      </c>
      <c r="L417" s="12">
        <v>9</v>
      </c>
      <c r="M417" s="12">
        <v>7</v>
      </c>
      <c r="N417" s="12">
        <v>10</v>
      </c>
      <c r="O417" s="30">
        <v>9.5</v>
      </c>
      <c r="P417" s="31"/>
      <c r="Q417" s="9" t="s">
        <v>37</v>
      </c>
    </row>
    <row r="418" spans="5:17">
      <c r="E418" s="7" t="s">
        <v>59</v>
      </c>
      <c r="F418" s="14">
        <v>8.1199999999999992</v>
      </c>
      <c r="G418" s="9" t="s">
        <v>60</v>
      </c>
      <c r="H418" s="12">
        <v>32</v>
      </c>
      <c r="I418" s="12">
        <v>34</v>
      </c>
      <c r="J418" s="12">
        <v>32</v>
      </c>
      <c r="K418" s="12">
        <v>18</v>
      </c>
      <c r="L418" s="12">
        <v>27</v>
      </c>
      <c r="M418" s="12">
        <v>21</v>
      </c>
      <c r="N418" s="12">
        <v>20</v>
      </c>
      <c r="O418" s="30">
        <v>19</v>
      </c>
      <c r="P418" s="31"/>
      <c r="Q418" s="11">
        <v>203</v>
      </c>
    </row>
    <row r="419" spans="5:17">
      <c r="E419" s="32" t="s">
        <v>61</v>
      </c>
      <c r="F419" s="31"/>
      <c r="G419" s="9" t="s">
        <v>40</v>
      </c>
      <c r="H419" s="12">
        <v>79</v>
      </c>
      <c r="I419" s="12">
        <v>84</v>
      </c>
      <c r="J419" s="12">
        <v>77</v>
      </c>
      <c r="K419" s="12">
        <v>59</v>
      </c>
      <c r="L419" s="12">
        <v>85</v>
      </c>
      <c r="M419" s="12">
        <v>66</v>
      </c>
      <c r="N419" s="12">
        <v>48</v>
      </c>
      <c r="O419" s="30">
        <v>45</v>
      </c>
      <c r="P419" s="31"/>
      <c r="Q419" s="11">
        <v>543</v>
      </c>
    </row>
    <row r="420" spans="5:17">
      <c r="E420" s="7" t="s">
        <v>62</v>
      </c>
      <c r="F420" s="7"/>
      <c r="G420" s="9" t="s">
        <v>63</v>
      </c>
      <c r="H420" s="12">
        <v>100</v>
      </c>
      <c r="I420" s="12">
        <v>100</v>
      </c>
      <c r="J420" s="12">
        <v>100</v>
      </c>
      <c r="K420" s="12">
        <v>100</v>
      </c>
      <c r="L420" s="12">
        <v>100</v>
      </c>
      <c r="M420" s="12">
        <v>100</v>
      </c>
      <c r="N420" s="12">
        <v>50</v>
      </c>
      <c r="O420" s="30">
        <v>50</v>
      </c>
      <c r="P420" s="31"/>
      <c r="Q420" s="11">
        <v>700</v>
      </c>
    </row>
    <row r="421" spans="5:17">
      <c r="E421" s="32" t="s">
        <v>200</v>
      </c>
      <c r="F421" s="31"/>
      <c r="G421" s="9" t="s">
        <v>65</v>
      </c>
      <c r="H421" s="10" t="s">
        <v>102</v>
      </c>
      <c r="I421" s="10" t="s">
        <v>70</v>
      </c>
      <c r="J421" s="10" t="s">
        <v>102</v>
      </c>
      <c r="K421" s="10" t="s">
        <v>103</v>
      </c>
      <c r="L421" s="10" t="s">
        <v>67</v>
      </c>
      <c r="M421" s="10" t="s">
        <v>66</v>
      </c>
      <c r="N421" s="10" t="s">
        <v>88</v>
      </c>
      <c r="O421" s="30" t="s">
        <v>71</v>
      </c>
      <c r="P421" s="31"/>
      <c r="Q421" s="9" t="s">
        <v>37</v>
      </c>
    </row>
    <row r="422" spans="5:17">
      <c r="E422" s="15" t="s">
        <v>72</v>
      </c>
      <c r="F422" s="15" t="s">
        <v>356</v>
      </c>
      <c r="G422" s="9" t="s">
        <v>74</v>
      </c>
      <c r="H422" s="10" t="s">
        <v>75</v>
      </c>
      <c r="I422" s="10" t="s">
        <v>75</v>
      </c>
      <c r="J422" s="10" t="s">
        <v>75</v>
      </c>
      <c r="K422" s="10" t="s">
        <v>75</v>
      </c>
      <c r="L422" s="10" t="s">
        <v>75</v>
      </c>
      <c r="M422" s="10" t="s">
        <v>75</v>
      </c>
      <c r="N422" s="10" t="s">
        <v>75</v>
      </c>
      <c r="O422" s="30" t="s">
        <v>75</v>
      </c>
      <c r="P422" s="31"/>
      <c r="Q422" s="9" t="s">
        <v>37</v>
      </c>
    </row>
    <row r="423" spans="5:17">
      <c r="E423" s="16" t="s">
        <v>37</v>
      </c>
      <c r="F423" s="16" t="s">
        <v>37</v>
      </c>
      <c r="G423" s="16" t="s">
        <v>37</v>
      </c>
      <c r="H423" s="17" t="s">
        <v>37</v>
      </c>
      <c r="I423" s="17" t="s">
        <v>37</v>
      </c>
      <c r="J423" s="17" t="s">
        <v>37</v>
      </c>
      <c r="K423" s="17" t="s">
        <v>37</v>
      </c>
      <c r="L423" s="17" t="s">
        <v>37</v>
      </c>
      <c r="M423" s="17" t="s">
        <v>37</v>
      </c>
      <c r="N423" s="17" t="s">
        <v>37</v>
      </c>
      <c r="O423" s="41" t="s">
        <v>37</v>
      </c>
      <c r="P423" s="28"/>
      <c r="Q423" s="17" t="s">
        <v>37</v>
      </c>
    </row>
    <row r="424" spans="5:17" ht="0" hidden="1" customHeight="1"/>
    <row r="425" spans="5:17" ht="0.6" customHeight="1"/>
    <row r="426" spans="5:17">
      <c r="E426" s="38" t="s">
        <v>35</v>
      </c>
      <c r="F426" s="31"/>
      <c r="G426" s="4" t="s">
        <v>36</v>
      </c>
      <c r="H426" s="6" t="s">
        <v>37</v>
      </c>
      <c r="I426" s="6" t="s">
        <v>37</v>
      </c>
      <c r="J426" s="6" t="s">
        <v>37</v>
      </c>
      <c r="K426" s="6" t="s">
        <v>37</v>
      </c>
      <c r="L426" s="6" t="s">
        <v>37</v>
      </c>
      <c r="M426" s="6" t="s">
        <v>37</v>
      </c>
      <c r="N426" s="6" t="s">
        <v>37</v>
      </c>
      <c r="O426" s="39" t="s">
        <v>37</v>
      </c>
      <c r="P426" s="28"/>
      <c r="Q426" s="6" t="s">
        <v>37</v>
      </c>
    </row>
    <row r="427" spans="5:17" ht="21">
      <c r="E427" s="32" t="s">
        <v>357</v>
      </c>
      <c r="F427" s="31"/>
      <c r="G427" s="8" t="s">
        <v>39</v>
      </c>
      <c r="H427" s="8" t="s">
        <v>19</v>
      </c>
      <c r="I427" s="8" t="s">
        <v>9</v>
      </c>
      <c r="J427" s="8" t="s">
        <v>21</v>
      </c>
      <c r="K427" s="8" t="s">
        <v>11</v>
      </c>
      <c r="L427" s="8" t="s">
        <v>17</v>
      </c>
      <c r="M427" s="8" t="s">
        <v>27</v>
      </c>
      <c r="N427" s="8" t="s">
        <v>7</v>
      </c>
      <c r="O427" s="40" t="s">
        <v>25</v>
      </c>
      <c r="P427" s="31"/>
      <c r="Q427" s="8" t="s">
        <v>40</v>
      </c>
    </row>
    <row r="428" spans="5:17" ht="22.5">
      <c r="E428" s="7" t="s">
        <v>41</v>
      </c>
      <c r="F428" s="7" t="s">
        <v>358</v>
      </c>
      <c r="G428" s="9" t="s">
        <v>43</v>
      </c>
      <c r="H428" s="10" t="s">
        <v>235</v>
      </c>
      <c r="I428" s="10" t="s">
        <v>359</v>
      </c>
      <c r="J428" s="10" t="s">
        <v>360</v>
      </c>
      <c r="K428" s="10" t="s">
        <v>361</v>
      </c>
      <c r="L428" s="10" t="s">
        <v>362</v>
      </c>
      <c r="M428" s="10" t="s">
        <v>336</v>
      </c>
      <c r="N428" s="10" t="s">
        <v>363</v>
      </c>
      <c r="O428" s="30" t="s">
        <v>51</v>
      </c>
      <c r="P428" s="31"/>
      <c r="Q428" s="9" t="s">
        <v>37</v>
      </c>
    </row>
    <row r="429" spans="5:17">
      <c r="E429" s="32" t="s">
        <v>364</v>
      </c>
      <c r="F429" s="33"/>
      <c r="G429" s="9" t="s">
        <v>53</v>
      </c>
      <c r="H429" s="10" t="s">
        <v>51</v>
      </c>
      <c r="I429" s="10" t="s">
        <v>51</v>
      </c>
      <c r="J429" s="10" t="s">
        <v>51</v>
      </c>
      <c r="K429" s="10" t="s">
        <v>51</v>
      </c>
      <c r="L429" s="10" t="s">
        <v>51</v>
      </c>
      <c r="M429" s="10" t="s">
        <v>51</v>
      </c>
      <c r="N429" s="10" t="s">
        <v>51</v>
      </c>
      <c r="O429" s="30" t="s">
        <v>54</v>
      </c>
      <c r="P429" s="31"/>
      <c r="Q429" s="9" t="s">
        <v>37</v>
      </c>
    </row>
    <row r="430" spans="5:17">
      <c r="E430" s="34"/>
      <c r="F430" s="35"/>
      <c r="G430" s="9" t="s">
        <v>55</v>
      </c>
      <c r="H430" s="10" t="s">
        <v>37</v>
      </c>
      <c r="I430" s="10" t="s">
        <v>37</v>
      </c>
      <c r="J430" s="10" t="s">
        <v>37</v>
      </c>
      <c r="K430" s="12">
        <v>2</v>
      </c>
      <c r="L430" s="10" t="s">
        <v>37</v>
      </c>
      <c r="M430" s="10" t="s">
        <v>37</v>
      </c>
      <c r="N430" s="10" t="s">
        <v>37</v>
      </c>
      <c r="O430" s="30" t="s">
        <v>37</v>
      </c>
      <c r="P430" s="31"/>
      <c r="Q430" s="11">
        <v>2</v>
      </c>
    </row>
    <row r="431" spans="5:17">
      <c r="E431" s="36"/>
      <c r="F431" s="37"/>
      <c r="G431" s="9" t="s">
        <v>56</v>
      </c>
      <c r="H431" s="12">
        <v>4</v>
      </c>
      <c r="I431" s="12">
        <v>4</v>
      </c>
      <c r="J431" s="12">
        <v>4</v>
      </c>
      <c r="K431" s="12">
        <v>3</v>
      </c>
      <c r="L431" s="12">
        <v>3</v>
      </c>
      <c r="M431" s="12">
        <v>3</v>
      </c>
      <c r="N431" s="12">
        <v>2</v>
      </c>
      <c r="O431" s="30">
        <v>2</v>
      </c>
      <c r="P431" s="31"/>
      <c r="Q431" s="11">
        <v>21</v>
      </c>
    </row>
    <row r="432" spans="5:17">
      <c r="E432" s="7" t="s">
        <v>57</v>
      </c>
      <c r="F432" s="13">
        <v>5.24</v>
      </c>
      <c r="G432" s="9" t="s">
        <v>58</v>
      </c>
      <c r="H432" s="12">
        <v>6</v>
      </c>
      <c r="I432" s="12">
        <v>6</v>
      </c>
      <c r="J432" s="10"/>
      <c r="K432" s="12">
        <v>4.5</v>
      </c>
      <c r="L432" s="12">
        <v>6.5</v>
      </c>
      <c r="M432" s="12">
        <v>5</v>
      </c>
      <c r="N432" s="12">
        <v>8</v>
      </c>
      <c r="O432" s="30">
        <v>9.5</v>
      </c>
      <c r="P432" s="31"/>
      <c r="Q432" s="9" t="s">
        <v>37</v>
      </c>
    </row>
    <row r="433" spans="5:17">
      <c r="E433" s="7" t="s">
        <v>59</v>
      </c>
      <c r="F433" s="7"/>
      <c r="G433" s="9" t="s">
        <v>60</v>
      </c>
      <c r="H433" s="12">
        <v>24</v>
      </c>
      <c r="I433" s="12">
        <v>24</v>
      </c>
      <c r="J433" s="10"/>
      <c r="K433" s="12">
        <v>13.5</v>
      </c>
      <c r="L433" s="12">
        <v>19.5</v>
      </c>
      <c r="M433" s="12">
        <v>15</v>
      </c>
      <c r="N433" s="12">
        <v>16</v>
      </c>
      <c r="O433" s="30">
        <v>19</v>
      </c>
      <c r="P433" s="31"/>
      <c r="Q433" s="11">
        <v>131</v>
      </c>
    </row>
    <row r="434" spans="5:17">
      <c r="E434" s="32" t="s">
        <v>260</v>
      </c>
      <c r="F434" s="31"/>
      <c r="G434" s="9" t="s">
        <v>40</v>
      </c>
      <c r="H434" s="12">
        <v>58</v>
      </c>
      <c r="I434" s="12">
        <v>57</v>
      </c>
      <c r="J434" s="12">
        <v>36</v>
      </c>
      <c r="K434" s="12">
        <v>42</v>
      </c>
      <c r="L434" s="12">
        <v>61</v>
      </c>
      <c r="M434" s="12">
        <v>45</v>
      </c>
      <c r="N434" s="12">
        <v>39</v>
      </c>
      <c r="O434" s="30">
        <v>45</v>
      </c>
      <c r="P434" s="31"/>
      <c r="Q434" s="11">
        <v>383</v>
      </c>
    </row>
    <row r="435" spans="5:17">
      <c r="E435" s="7" t="s">
        <v>62</v>
      </c>
      <c r="F435" s="7"/>
      <c r="G435" s="9" t="s">
        <v>63</v>
      </c>
      <c r="H435" s="12">
        <v>100</v>
      </c>
      <c r="I435" s="12">
        <v>100</v>
      </c>
      <c r="J435" s="12">
        <v>100</v>
      </c>
      <c r="K435" s="12">
        <v>100</v>
      </c>
      <c r="L435" s="12">
        <v>100</v>
      </c>
      <c r="M435" s="12">
        <v>100</v>
      </c>
      <c r="N435" s="12">
        <v>50</v>
      </c>
      <c r="O435" s="30">
        <v>50</v>
      </c>
      <c r="P435" s="31"/>
      <c r="Q435" s="11">
        <v>700</v>
      </c>
    </row>
    <row r="436" spans="5:17">
      <c r="E436" s="32" t="s">
        <v>339</v>
      </c>
      <c r="F436" s="31"/>
      <c r="G436" s="9" t="s">
        <v>65</v>
      </c>
      <c r="H436" s="10" t="s">
        <v>103</v>
      </c>
      <c r="I436" s="10" t="s">
        <v>103</v>
      </c>
      <c r="J436" s="10"/>
      <c r="K436" s="10" t="s">
        <v>303</v>
      </c>
      <c r="L436" s="10" t="s">
        <v>69</v>
      </c>
      <c r="M436" s="10" t="s">
        <v>127</v>
      </c>
      <c r="N436" s="10" t="s">
        <v>102</v>
      </c>
      <c r="O436" s="30" t="s">
        <v>71</v>
      </c>
      <c r="P436" s="31"/>
      <c r="Q436" s="9" t="s">
        <v>37</v>
      </c>
    </row>
    <row r="437" spans="5:17">
      <c r="E437" s="15" t="s">
        <v>72</v>
      </c>
      <c r="F437" s="15" t="s">
        <v>365</v>
      </c>
      <c r="G437" s="9" t="s">
        <v>74</v>
      </c>
      <c r="H437" s="10" t="s">
        <v>75</v>
      </c>
      <c r="I437" s="10" t="s">
        <v>75</v>
      </c>
      <c r="J437" s="10" t="s">
        <v>263</v>
      </c>
      <c r="K437" s="10" t="s">
        <v>75</v>
      </c>
      <c r="L437" s="10" t="s">
        <v>75</v>
      </c>
      <c r="M437" s="10" t="s">
        <v>75</v>
      </c>
      <c r="N437" s="10" t="s">
        <v>75</v>
      </c>
      <c r="O437" s="30" t="s">
        <v>75</v>
      </c>
      <c r="P437" s="31"/>
      <c r="Q437" s="9" t="s">
        <v>37</v>
      </c>
    </row>
    <row r="438" spans="5:17">
      <c r="E438" s="16" t="s">
        <v>37</v>
      </c>
      <c r="F438" s="16" t="s">
        <v>37</v>
      </c>
      <c r="G438" s="16" t="s">
        <v>37</v>
      </c>
      <c r="H438" s="17" t="s">
        <v>37</v>
      </c>
      <c r="I438" s="17" t="s">
        <v>37</v>
      </c>
      <c r="J438" s="17" t="s">
        <v>37</v>
      </c>
      <c r="K438" s="17" t="s">
        <v>37</v>
      </c>
      <c r="L438" s="17" t="s">
        <v>37</v>
      </c>
      <c r="M438" s="17" t="s">
        <v>37</v>
      </c>
      <c r="N438" s="17" t="s">
        <v>37</v>
      </c>
      <c r="O438" s="41" t="s">
        <v>37</v>
      </c>
      <c r="P438" s="28"/>
      <c r="Q438" s="17" t="s">
        <v>37</v>
      </c>
    </row>
    <row r="439" spans="5:17" ht="0" hidden="1" customHeight="1"/>
    <row r="440" spans="5:17" ht="0.6" customHeight="1"/>
    <row r="441" spans="5:17">
      <c r="E441" s="38" t="s">
        <v>35</v>
      </c>
      <c r="F441" s="31"/>
      <c r="G441" s="4" t="s">
        <v>36</v>
      </c>
      <c r="H441" s="6" t="s">
        <v>37</v>
      </c>
      <c r="I441" s="6" t="s">
        <v>37</v>
      </c>
      <c r="J441" s="6" t="s">
        <v>37</v>
      </c>
      <c r="K441" s="6" t="s">
        <v>37</v>
      </c>
      <c r="L441" s="6" t="s">
        <v>37</v>
      </c>
      <c r="M441" s="6" t="s">
        <v>37</v>
      </c>
      <c r="N441" s="6" t="s">
        <v>37</v>
      </c>
      <c r="O441" s="39" t="s">
        <v>37</v>
      </c>
      <c r="P441" s="28"/>
      <c r="Q441" s="6" t="s">
        <v>37</v>
      </c>
    </row>
    <row r="442" spans="5:17" ht="21">
      <c r="E442" s="32" t="s">
        <v>366</v>
      </c>
      <c r="F442" s="31"/>
      <c r="G442" s="8" t="s">
        <v>39</v>
      </c>
      <c r="H442" s="8" t="s">
        <v>19</v>
      </c>
      <c r="I442" s="8" t="s">
        <v>9</v>
      </c>
      <c r="J442" s="8" t="s">
        <v>21</v>
      </c>
      <c r="K442" s="8" t="s">
        <v>11</v>
      </c>
      <c r="L442" s="8" t="s">
        <v>17</v>
      </c>
      <c r="M442" s="8" t="s">
        <v>27</v>
      </c>
      <c r="N442" s="8" t="s">
        <v>7</v>
      </c>
      <c r="O442" s="40" t="s">
        <v>23</v>
      </c>
      <c r="P442" s="31"/>
      <c r="Q442" s="8" t="s">
        <v>40</v>
      </c>
    </row>
    <row r="443" spans="5:17" ht="22.5">
      <c r="E443" s="7" t="s">
        <v>41</v>
      </c>
      <c r="F443" s="7" t="s">
        <v>367</v>
      </c>
      <c r="G443" s="9" t="s">
        <v>43</v>
      </c>
      <c r="H443" s="10" t="s">
        <v>368</v>
      </c>
      <c r="I443" s="10" t="s">
        <v>194</v>
      </c>
      <c r="J443" s="10" t="s">
        <v>369</v>
      </c>
      <c r="K443" s="10" t="s">
        <v>370</v>
      </c>
      <c r="L443" s="10" t="s">
        <v>371</v>
      </c>
      <c r="M443" s="10" t="s">
        <v>372</v>
      </c>
      <c r="N443" s="10" t="s">
        <v>373</v>
      </c>
      <c r="O443" s="30" t="s">
        <v>51</v>
      </c>
      <c r="P443" s="31"/>
      <c r="Q443" s="9" t="s">
        <v>37</v>
      </c>
    </row>
    <row r="444" spans="5:17">
      <c r="E444" s="32" t="s">
        <v>374</v>
      </c>
      <c r="F444" s="33"/>
      <c r="G444" s="9" t="s">
        <v>53</v>
      </c>
      <c r="H444" s="10" t="s">
        <v>51</v>
      </c>
      <c r="I444" s="10" t="s">
        <v>51</v>
      </c>
      <c r="J444" s="10" t="s">
        <v>51</v>
      </c>
      <c r="K444" s="10" t="s">
        <v>51</v>
      </c>
      <c r="L444" s="10" t="s">
        <v>51</v>
      </c>
      <c r="M444" s="10" t="s">
        <v>51</v>
      </c>
      <c r="N444" s="10" t="s">
        <v>51</v>
      </c>
      <c r="O444" s="30" t="s">
        <v>54</v>
      </c>
      <c r="P444" s="31"/>
      <c r="Q444" s="9" t="s">
        <v>37</v>
      </c>
    </row>
    <row r="445" spans="5:17">
      <c r="E445" s="34"/>
      <c r="F445" s="35"/>
      <c r="G445" s="9" t="s">
        <v>55</v>
      </c>
      <c r="H445" s="10" t="s">
        <v>37</v>
      </c>
      <c r="I445" s="10" t="s">
        <v>37</v>
      </c>
      <c r="J445" s="10" t="s">
        <v>37</v>
      </c>
      <c r="K445" s="10" t="s">
        <v>37</v>
      </c>
      <c r="L445" s="10" t="s">
        <v>37</v>
      </c>
      <c r="M445" s="10" t="s">
        <v>37</v>
      </c>
      <c r="N445" s="10" t="s">
        <v>37</v>
      </c>
      <c r="O445" s="30" t="s">
        <v>37</v>
      </c>
      <c r="P445" s="31"/>
      <c r="Q445" s="11">
        <v>0</v>
      </c>
    </row>
    <row r="446" spans="5:17">
      <c r="E446" s="36"/>
      <c r="F446" s="37"/>
      <c r="G446" s="9" t="s">
        <v>56</v>
      </c>
      <c r="H446" s="12">
        <v>4</v>
      </c>
      <c r="I446" s="12">
        <v>4</v>
      </c>
      <c r="J446" s="12">
        <v>4</v>
      </c>
      <c r="K446" s="12">
        <v>3</v>
      </c>
      <c r="L446" s="12">
        <v>3</v>
      </c>
      <c r="M446" s="12">
        <v>3</v>
      </c>
      <c r="N446" s="12">
        <v>2</v>
      </c>
      <c r="O446" s="30">
        <v>2</v>
      </c>
      <c r="P446" s="31"/>
      <c r="Q446" s="11">
        <v>21</v>
      </c>
    </row>
    <row r="447" spans="5:17">
      <c r="E447" s="7" t="s">
        <v>57</v>
      </c>
      <c r="F447" s="13">
        <v>5.64</v>
      </c>
      <c r="G447" s="9" t="s">
        <v>58</v>
      </c>
      <c r="H447" s="12">
        <v>6</v>
      </c>
      <c r="I447" s="12">
        <v>7.5</v>
      </c>
      <c r="J447" s="10"/>
      <c r="K447" s="12">
        <v>5</v>
      </c>
      <c r="L447" s="12">
        <v>6.5</v>
      </c>
      <c r="M447" s="12">
        <v>5.5</v>
      </c>
      <c r="N447" s="12">
        <v>8.5</v>
      </c>
      <c r="O447" s="30">
        <v>9.5</v>
      </c>
      <c r="P447" s="31"/>
      <c r="Q447" s="9" t="s">
        <v>37</v>
      </c>
    </row>
    <row r="448" spans="5:17">
      <c r="E448" s="7" t="s">
        <v>59</v>
      </c>
      <c r="F448" s="7"/>
      <c r="G448" s="9" t="s">
        <v>60</v>
      </c>
      <c r="H448" s="12">
        <v>24</v>
      </c>
      <c r="I448" s="12">
        <v>30</v>
      </c>
      <c r="J448" s="10"/>
      <c r="K448" s="12">
        <v>15</v>
      </c>
      <c r="L448" s="12">
        <v>19.5</v>
      </c>
      <c r="M448" s="12">
        <v>16.5</v>
      </c>
      <c r="N448" s="12">
        <v>17</v>
      </c>
      <c r="O448" s="30">
        <v>19</v>
      </c>
      <c r="P448" s="31"/>
      <c r="Q448" s="11">
        <v>141</v>
      </c>
    </row>
    <row r="449" spans="5:17">
      <c r="E449" s="32" t="s">
        <v>260</v>
      </c>
      <c r="F449" s="31"/>
      <c r="G449" s="9" t="s">
        <v>40</v>
      </c>
      <c r="H449" s="12">
        <v>59</v>
      </c>
      <c r="I449" s="12">
        <v>72</v>
      </c>
      <c r="J449" s="12">
        <v>39</v>
      </c>
      <c r="K449" s="12">
        <v>49</v>
      </c>
      <c r="L449" s="12">
        <v>61</v>
      </c>
      <c r="M449" s="12">
        <v>54</v>
      </c>
      <c r="N449" s="12">
        <v>42</v>
      </c>
      <c r="O449" s="30">
        <v>45</v>
      </c>
      <c r="P449" s="31"/>
      <c r="Q449" s="11">
        <v>421</v>
      </c>
    </row>
    <row r="450" spans="5:17">
      <c r="E450" s="7" t="s">
        <v>62</v>
      </c>
      <c r="F450" s="7"/>
      <c r="G450" s="9" t="s">
        <v>63</v>
      </c>
      <c r="H450" s="12">
        <v>100</v>
      </c>
      <c r="I450" s="12">
        <v>100</v>
      </c>
      <c r="J450" s="12">
        <v>100</v>
      </c>
      <c r="K450" s="12">
        <v>100</v>
      </c>
      <c r="L450" s="12">
        <v>100</v>
      </c>
      <c r="M450" s="12">
        <v>100</v>
      </c>
      <c r="N450" s="12">
        <v>50</v>
      </c>
      <c r="O450" s="30">
        <v>50</v>
      </c>
      <c r="P450" s="31"/>
      <c r="Q450" s="11">
        <v>700</v>
      </c>
    </row>
    <row r="451" spans="5:17">
      <c r="E451" s="32" t="s">
        <v>375</v>
      </c>
      <c r="F451" s="31"/>
      <c r="G451" s="9" t="s">
        <v>65</v>
      </c>
      <c r="H451" s="10" t="s">
        <v>103</v>
      </c>
      <c r="I451" s="10" t="s">
        <v>68</v>
      </c>
      <c r="J451" s="10"/>
      <c r="K451" s="10" t="s">
        <v>127</v>
      </c>
      <c r="L451" s="10" t="s">
        <v>69</v>
      </c>
      <c r="M451" s="10" t="s">
        <v>138</v>
      </c>
      <c r="N451" s="10" t="s">
        <v>70</v>
      </c>
      <c r="O451" s="30" t="s">
        <v>71</v>
      </c>
      <c r="P451" s="31"/>
      <c r="Q451" s="9" t="s">
        <v>37</v>
      </c>
    </row>
    <row r="452" spans="5:17">
      <c r="E452" s="15" t="s">
        <v>72</v>
      </c>
      <c r="F452" s="15" t="s">
        <v>376</v>
      </c>
      <c r="G452" s="9" t="s">
        <v>74</v>
      </c>
      <c r="H452" s="10" t="s">
        <v>75</v>
      </c>
      <c r="I452" s="10" t="s">
        <v>75</v>
      </c>
      <c r="J452" s="10" t="s">
        <v>263</v>
      </c>
      <c r="K452" s="10" t="s">
        <v>75</v>
      </c>
      <c r="L452" s="10" t="s">
        <v>75</v>
      </c>
      <c r="M452" s="10" t="s">
        <v>75</v>
      </c>
      <c r="N452" s="10" t="s">
        <v>75</v>
      </c>
      <c r="O452" s="30" t="s">
        <v>75</v>
      </c>
      <c r="P452" s="31"/>
      <c r="Q452" s="9" t="s">
        <v>37</v>
      </c>
    </row>
    <row r="453" spans="5:17">
      <c r="E453" s="16" t="s">
        <v>37</v>
      </c>
      <c r="F453" s="16" t="s">
        <v>37</v>
      </c>
      <c r="G453" s="16" t="s">
        <v>37</v>
      </c>
      <c r="H453" s="17" t="s">
        <v>37</v>
      </c>
      <c r="I453" s="17" t="s">
        <v>37</v>
      </c>
      <c r="J453" s="17" t="s">
        <v>37</v>
      </c>
      <c r="K453" s="17" t="s">
        <v>37</v>
      </c>
      <c r="L453" s="17" t="s">
        <v>37</v>
      </c>
      <c r="M453" s="17" t="s">
        <v>37</v>
      </c>
      <c r="N453" s="17" t="s">
        <v>37</v>
      </c>
      <c r="O453" s="41" t="s">
        <v>37</v>
      </c>
      <c r="P453" s="28"/>
      <c r="Q453" s="17" t="s">
        <v>37</v>
      </c>
    </row>
    <row r="454" spans="5:17" ht="0.6" customHeight="1"/>
    <row r="455" spans="5:17">
      <c r="E455" s="38" t="s">
        <v>35</v>
      </c>
      <c r="F455" s="31"/>
      <c r="G455" s="4" t="s">
        <v>36</v>
      </c>
      <c r="H455" s="6" t="s">
        <v>37</v>
      </c>
      <c r="I455" s="6" t="s">
        <v>37</v>
      </c>
      <c r="J455" s="6" t="s">
        <v>37</v>
      </c>
      <c r="K455" s="6" t="s">
        <v>37</v>
      </c>
      <c r="L455" s="6" t="s">
        <v>37</v>
      </c>
      <c r="M455" s="6" t="s">
        <v>37</v>
      </c>
      <c r="N455" s="6" t="s">
        <v>37</v>
      </c>
      <c r="O455" s="39" t="s">
        <v>37</v>
      </c>
      <c r="P455" s="28"/>
      <c r="Q455" s="6" t="s">
        <v>37</v>
      </c>
    </row>
    <row r="456" spans="5:17" ht="21">
      <c r="E456" s="32" t="s">
        <v>377</v>
      </c>
      <c r="F456" s="31"/>
      <c r="G456" s="8" t="s">
        <v>39</v>
      </c>
      <c r="H456" s="8" t="s">
        <v>19</v>
      </c>
      <c r="I456" s="8" t="s">
        <v>9</v>
      </c>
      <c r="J456" s="8" t="s">
        <v>21</v>
      </c>
      <c r="K456" s="8" t="s">
        <v>11</v>
      </c>
      <c r="L456" s="8" t="s">
        <v>17</v>
      </c>
      <c r="M456" s="8" t="s">
        <v>27</v>
      </c>
      <c r="N456" s="8" t="s">
        <v>7</v>
      </c>
      <c r="O456" s="40" t="s">
        <v>25</v>
      </c>
      <c r="P456" s="31"/>
      <c r="Q456" s="8" t="s">
        <v>40</v>
      </c>
    </row>
    <row r="457" spans="5:17" ht="22.5">
      <c r="E457" s="7" t="s">
        <v>41</v>
      </c>
      <c r="F457" s="7" t="s">
        <v>378</v>
      </c>
      <c r="G457" s="9" t="s">
        <v>43</v>
      </c>
      <c r="H457" s="10" t="s">
        <v>379</v>
      </c>
      <c r="I457" s="10" t="s">
        <v>380</v>
      </c>
      <c r="J457" s="10" t="s">
        <v>381</v>
      </c>
      <c r="K457" s="10" t="s">
        <v>382</v>
      </c>
      <c r="L457" s="10" t="s">
        <v>383</v>
      </c>
      <c r="M457" s="10" t="s">
        <v>332</v>
      </c>
      <c r="N457" s="10" t="s">
        <v>384</v>
      </c>
      <c r="O457" s="30" t="s">
        <v>51</v>
      </c>
      <c r="P457" s="31"/>
      <c r="Q457" s="9" t="s">
        <v>37</v>
      </c>
    </row>
    <row r="458" spans="5:17">
      <c r="E458" s="32" t="s">
        <v>338</v>
      </c>
      <c r="F458" s="33"/>
      <c r="G458" s="9" t="s">
        <v>53</v>
      </c>
      <c r="H458" s="10" t="s">
        <v>51</v>
      </c>
      <c r="I458" s="10" t="s">
        <v>51</v>
      </c>
      <c r="J458" s="10" t="s">
        <v>51</v>
      </c>
      <c r="K458" s="10" t="s">
        <v>51</v>
      </c>
      <c r="L458" s="10" t="s">
        <v>51</v>
      </c>
      <c r="M458" s="10" t="s">
        <v>51</v>
      </c>
      <c r="N458" s="10" t="s">
        <v>51</v>
      </c>
      <c r="O458" s="30" t="s">
        <v>54</v>
      </c>
      <c r="P458" s="31"/>
      <c r="Q458" s="9" t="s">
        <v>37</v>
      </c>
    </row>
    <row r="459" spans="5:17">
      <c r="E459" s="34"/>
      <c r="F459" s="35"/>
      <c r="G459" s="9" t="s">
        <v>55</v>
      </c>
      <c r="H459" s="10" t="s">
        <v>37</v>
      </c>
      <c r="I459" s="10" t="s">
        <v>37</v>
      </c>
      <c r="J459" s="10" t="s">
        <v>37</v>
      </c>
      <c r="K459" s="10" t="s">
        <v>37</v>
      </c>
      <c r="L459" s="10" t="s">
        <v>37</v>
      </c>
      <c r="M459" s="10" t="s">
        <v>37</v>
      </c>
      <c r="N459" s="10" t="s">
        <v>37</v>
      </c>
      <c r="O459" s="30" t="s">
        <v>37</v>
      </c>
      <c r="P459" s="31"/>
      <c r="Q459" s="11">
        <v>0</v>
      </c>
    </row>
    <row r="460" spans="5:17">
      <c r="E460" s="36"/>
      <c r="F460" s="37"/>
      <c r="G460" s="9" t="s">
        <v>56</v>
      </c>
      <c r="H460" s="12">
        <v>4</v>
      </c>
      <c r="I460" s="12">
        <v>4</v>
      </c>
      <c r="J460" s="12">
        <v>4</v>
      </c>
      <c r="K460" s="12">
        <v>3</v>
      </c>
      <c r="L460" s="12">
        <v>3</v>
      </c>
      <c r="M460" s="12">
        <v>3</v>
      </c>
      <c r="N460" s="12">
        <v>2</v>
      </c>
      <c r="O460" s="30">
        <v>2</v>
      </c>
      <c r="P460" s="31"/>
      <c r="Q460" s="11">
        <v>21</v>
      </c>
    </row>
    <row r="461" spans="5:17">
      <c r="E461" s="7" t="s">
        <v>57</v>
      </c>
      <c r="F461" s="13">
        <v>5.82</v>
      </c>
      <c r="G461" s="9" t="s">
        <v>58</v>
      </c>
      <c r="H461" s="12">
        <v>6.5</v>
      </c>
      <c r="I461" s="12">
        <v>7.5</v>
      </c>
      <c r="J461" s="10"/>
      <c r="K461" s="12">
        <v>5.5</v>
      </c>
      <c r="L461" s="12">
        <v>8</v>
      </c>
      <c r="M461" s="12">
        <v>6</v>
      </c>
      <c r="N461" s="12">
        <v>6</v>
      </c>
      <c r="O461" s="30">
        <v>9.5</v>
      </c>
      <c r="P461" s="31"/>
      <c r="Q461" s="9" t="s">
        <v>37</v>
      </c>
    </row>
    <row r="462" spans="5:17">
      <c r="E462" s="7" t="s">
        <v>59</v>
      </c>
      <c r="F462" s="7"/>
      <c r="G462" s="9" t="s">
        <v>60</v>
      </c>
      <c r="H462" s="12">
        <v>26</v>
      </c>
      <c r="I462" s="12">
        <v>30</v>
      </c>
      <c r="J462" s="10"/>
      <c r="K462" s="12">
        <v>16.5</v>
      </c>
      <c r="L462" s="12">
        <v>24</v>
      </c>
      <c r="M462" s="12">
        <v>18</v>
      </c>
      <c r="N462" s="12">
        <v>12</v>
      </c>
      <c r="O462" s="30">
        <v>19</v>
      </c>
      <c r="P462" s="31"/>
      <c r="Q462" s="11">
        <v>145.5</v>
      </c>
    </row>
    <row r="463" spans="5:17">
      <c r="E463" s="32" t="s">
        <v>260</v>
      </c>
      <c r="F463" s="31"/>
      <c r="G463" s="9" t="s">
        <v>40</v>
      </c>
      <c r="H463" s="12">
        <v>63</v>
      </c>
      <c r="I463" s="12">
        <v>72</v>
      </c>
      <c r="J463" s="12">
        <v>33</v>
      </c>
      <c r="K463" s="12">
        <v>50</v>
      </c>
      <c r="L463" s="12">
        <v>78</v>
      </c>
      <c r="M463" s="12">
        <v>59</v>
      </c>
      <c r="N463" s="12">
        <v>28</v>
      </c>
      <c r="O463" s="30">
        <v>45</v>
      </c>
      <c r="P463" s="31"/>
      <c r="Q463" s="11">
        <v>428</v>
      </c>
    </row>
    <row r="464" spans="5:17">
      <c r="E464" s="7" t="s">
        <v>62</v>
      </c>
      <c r="F464" s="7"/>
      <c r="G464" s="9" t="s">
        <v>63</v>
      </c>
      <c r="H464" s="12">
        <v>100</v>
      </c>
      <c r="I464" s="12">
        <v>100</v>
      </c>
      <c r="J464" s="12">
        <v>100</v>
      </c>
      <c r="K464" s="12">
        <v>100</v>
      </c>
      <c r="L464" s="12">
        <v>100</v>
      </c>
      <c r="M464" s="12">
        <v>100</v>
      </c>
      <c r="N464" s="12">
        <v>50</v>
      </c>
      <c r="O464" s="30">
        <v>50</v>
      </c>
      <c r="P464" s="31"/>
      <c r="Q464" s="11">
        <v>700</v>
      </c>
    </row>
    <row r="465" spans="5:17">
      <c r="E465" s="32" t="s">
        <v>375</v>
      </c>
      <c r="F465" s="31"/>
      <c r="G465" s="9" t="s">
        <v>65</v>
      </c>
      <c r="H465" s="10" t="s">
        <v>69</v>
      </c>
      <c r="I465" s="10" t="s">
        <v>68</v>
      </c>
      <c r="J465" s="10"/>
      <c r="K465" s="10" t="s">
        <v>138</v>
      </c>
      <c r="L465" s="10" t="s">
        <v>102</v>
      </c>
      <c r="M465" s="10" t="s">
        <v>103</v>
      </c>
      <c r="N465" s="10" t="s">
        <v>103</v>
      </c>
      <c r="O465" s="30" t="s">
        <v>71</v>
      </c>
      <c r="P465" s="31"/>
      <c r="Q465" s="9" t="s">
        <v>37</v>
      </c>
    </row>
    <row r="466" spans="5:17">
      <c r="E466" s="15" t="s">
        <v>72</v>
      </c>
      <c r="F466" s="15" t="s">
        <v>385</v>
      </c>
      <c r="G466" s="9" t="s">
        <v>74</v>
      </c>
      <c r="H466" s="10" t="s">
        <v>75</v>
      </c>
      <c r="I466" s="10" t="s">
        <v>75</v>
      </c>
      <c r="J466" s="10" t="s">
        <v>263</v>
      </c>
      <c r="K466" s="10" t="s">
        <v>75</v>
      </c>
      <c r="L466" s="10" t="s">
        <v>75</v>
      </c>
      <c r="M466" s="10" t="s">
        <v>75</v>
      </c>
      <c r="N466" s="10" t="s">
        <v>75</v>
      </c>
      <c r="O466" s="30" t="s">
        <v>75</v>
      </c>
      <c r="P466" s="31"/>
      <c r="Q466" s="9" t="s">
        <v>37</v>
      </c>
    </row>
    <row r="467" spans="5:17">
      <c r="E467" s="16" t="s">
        <v>37</v>
      </c>
      <c r="F467" s="16" t="s">
        <v>37</v>
      </c>
      <c r="G467" s="16" t="s">
        <v>37</v>
      </c>
      <c r="H467" s="17" t="s">
        <v>37</v>
      </c>
      <c r="I467" s="17" t="s">
        <v>37</v>
      </c>
      <c r="J467" s="17" t="s">
        <v>37</v>
      </c>
      <c r="K467" s="17" t="s">
        <v>37</v>
      </c>
      <c r="L467" s="17" t="s">
        <v>37</v>
      </c>
      <c r="M467" s="17" t="s">
        <v>37</v>
      </c>
      <c r="N467" s="17" t="s">
        <v>37</v>
      </c>
      <c r="O467" s="41" t="s">
        <v>37</v>
      </c>
      <c r="P467" s="28"/>
      <c r="Q467" s="17" t="s">
        <v>37</v>
      </c>
    </row>
    <row r="468" spans="5:17" ht="0" hidden="1" customHeight="1"/>
    <row r="469" spans="5:17" ht="0.6" customHeight="1"/>
    <row r="470" spans="5:17">
      <c r="E470" s="38" t="s">
        <v>35</v>
      </c>
      <c r="F470" s="31"/>
      <c r="G470" s="4" t="s">
        <v>36</v>
      </c>
      <c r="H470" s="6" t="s">
        <v>37</v>
      </c>
      <c r="I470" s="6" t="s">
        <v>37</v>
      </c>
      <c r="J470" s="6" t="s">
        <v>37</v>
      </c>
      <c r="K470" s="6" t="s">
        <v>37</v>
      </c>
      <c r="L470" s="6" t="s">
        <v>37</v>
      </c>
      <c r="M470" s="6" t="s">
        <v>37</v>
      </c>
      <c r="N470" s="6" t="s">
        <v>37</v>
      </c>
      <c r="O470" s="39" t="s">
        <v>37</v>
      </c>
      <c r="P470" s="28"/>
      <c r="Q470" s="6" t="s">
        <v>37</v>
      </c>
    </row>
    <row r="471" spans="5:17" ht="21">
      <c r="E471" s="32" t="s">
        <v>386</v>
      </c>
      <c r="F471" s="31"/>
      <c r="G471" s="8" t="s">
        <v>39</v>
      </c>
      <c r="H471" s="8" t="s">
        <v>19</v>
      </c>
      <c r="I471" s="8" t="s">
        <v>9</v>
      </c>
      <c r="J471" s="8" t="s">
        <v>21</v>
      </c>
      <c r="K471" s="8" t="s">
        <v>11</v>
      </c>
      <c r="L471" s="8" t="s">
        <v>17</v>
      </c>
      <c r="M471" s="8" t="s">
        <v>27</v>
      </c>
      <c r="N471" s="8" t="s">
        <v>7</v>
      </c>
      <c r="O471" s="40" t="s">
        <v>25</v>
      </c>
      <c r="P471" s="31"/>
      <c r="Q471" s="8" t="s">
        <v>40</v>
      </c>
    </row>
    <row r="472" spans="5:17" ht="22.5">
      <c r="E472" s="7" t="s">
        <v>41</v>
      </c>
      <c r="F472" s="7" t="s">
        <v>387</v>
      </c>
      <c r="G472" s="9" t="s">
        <v>43</v>
      </c>
      <c r="H472" s="10" t="s">
        <v>133</v>
      </c>
      <c r="I472" s="10" t="s">
        <v>299</v>
      </c>
      <c r="J472" s="10" t="s">
        <v>388</v>
      </c>
      <c r="K472" s="10" t="s">
        <v>389</v>
      </c>
      <c r="L472" s="10" t="s">
        <v>390</v>
      </c>
      <c r="M472" s="10" t="s">
        <v>391</v>
      </c>
      <c r="N472" s="10" t="s">
        <v>392</v>
      </c>
      <c r="O472" s="30" t="s">
        <v>51</v>
      </c>
      <c r="P472" s="31"/>
      <c r="Q472" s="9" t="s">
        <v>37</v>
      </c>
    </row>
    <row r="473" spans="5:17">
      <c r="E473" s="32" t="s">
        <v>302</v>
      </c>
      <c r="F473" s="33"/>
      <c r="G473" s="9" t="s">
        <v>53</v>
      </c>
      <c r="H473" s="10" t="s">
        <v>51</v>
      </c>
      <c r="I473" s="10" t="s">
        <v>51</v>
      </c>
      <c r="J473" s="10" t="s">
        <v>51</v>
      </c>
      <c r="K473" s="10" t="s">
        <v>51</v>
      </c>
      <c r="L473" s="10" t="s">
        <v>51</v>
      </c>
      <c r="M473" s="10" t="s">
        <v>51</v>
      </c>
      <c r="N473" s="10" t="s">
        <v>51</v>
      </c>
      <c r="O473" s="30" t="s">
        <v>54</v>
      </c>
      <c r="P473" s="31"/>
      <c r="Q473" s="9" t="s">
        <v>37</v>
      </c>
    </row>
    <row r="474" spans="5:17">
      <c r="E474" s="34"/>
      <c r="F474" s="35"/>
      <c r="G474" s="9" t="s">
        <v>55</v>
      </c>
      <c r="H474" s="10" t="s">
        <v>37</v>
      </c>
      <c r="I474" s="10" t="s">
        <v>37</v>
      </c>
      <c r="J474" s="10" t="s">
        <v>37</v>
      </c>
      <c r="K474" s="10" t="s">
        <v>37</v>
      </c>
      <c r="L474" s="10" t="s">
        <v>37</v>
      </c>
      <c r="M474" s="10" t="s">
        <v>37</v>
      </c>
      <c r="N474" s="10" t="s">
        <v>37</v>
      </c>
      <c r="O474" s="30" t="s">
        <v>37</v>
      </c>
      <c r="P474" s="31"/>
      <c r="Q474" s="11">
        <v>0</v>
      </c>
    </row>
    <row r="475" spans="5:17">
      <c r="E475" s="36"/>
      <c r="F475" s="37"/>
      <c r="G475" s="9" t="s">
        <v>56</v>
      </c>
      <c r="H475" s="12">
        <v>4</v>
      </c>
      <c r="I475" s="12">
        <v>4</v>
      </c>
      <c r="J475" s="12">
        <v>4</v>
      </c>
      <c r="K475" s="12">
        <v>3</v>
      </c>
      <c r="L475" s="12">
        <v>3</v>
      </c>
      <c r="M475" s="12">
        <v>3</v>
      </c>
      <c r="N475" s="12">
        <v>2</v>
      </c>
      <c r="O475" s="30">
        <v>2</v>
      </c>
      <c r="P475" s="31"/>
      <c r="Q475" s="11">
        <v>21</v>
      </c>
    </row>
    <row r="476" spans="5:17">
      <c r="E476" s="7" t="s">
        <v>57</v>
      </c>
      <c r="F476" s="13">
        <v>5.38</v>
      </c>
      <c r="G476" s="9" t="s">
        <v>58</v>
      </c>
      <c r="H476" s="12">
        <v>5.5</v>
      </c>
      <c r="I476" s="12">
        <v>7.5</v>
      </c>
      <c r="J476" s="10"/>
      <c r="K476" s="12">
        <v>5</v>
      </c>
      <c r="L476" s="12">
        <v>6</v>
      </c>
      <c r="M476" s="12">
        <v>5.5</v>
      </c>
      <c r="N476" s="12">
        <v>7</v>
      </c>
      <c r="O476" s="30">
        <v>9.5</v>
      </c>
      <c r="P476" s="31"/>
      <c r="Q476" s="9" t="s">
        <v>37</v>
      </c>
    </row>
    <row r="477" spans="5:17">
      <c r="E477" s="7" t="s">
        <v>59</v>
      </c>
      <c r="F477" s="7"/>
      <c r="G477" s="9" t="s">
        <v>60</v>
      </c>
      <c r="H477" s="12">
        <v>22</v>
      </c>
      <c r="I477" s="12">
        <v>30</v>
      </c>
      <c r="J477" s="10"/>
      <c r="K477" s="12">
        <v>15</v>
      </c>
      <c r="L477" s="12">
        <v>18</v>
      </c>
      <c r="M477" s="12">
        <v>16.5</v>
      </c>
      <c r="N477" s="12">
        <v>14</v>
      </c>
      <c r="O477" s="30">
        <v>19</v>
      </c>
      <c r="P477" s="31"/>
      <c r="Q477" s="11">
        <v>134.5</v>
      </c>
    </row>
    <row r="478" spans="5:17">
      <c r="E478" s="32" t="s">
        <v>260</v>
      </c>
      <c r="F478" s="31"/>
      <c r="G478" s="9" t="s">
        <v>40</v>
      </c>
      <c r="H478" s="12">
        <v>52</v>
      </c>
      <c r="I478" s="12">
        <v>73</v>
      </c>
      <c r="J478" s="12">
        <v>39</v>
      </c>
      <c r="K478" s="12">
        <v>46</v>
      </c>
      <c r="L478" s="12">
        <v>59</v>
      </c>
      <c r="M478" s="12">
        <v>50</v>
      </c>
      <c r="N478" s="12">
        <v>34</v>
      </c>
      <c r="O478" s="30">
        <v>45</v>
      </c>
      <c r="P478" s="31"/>
      <c r="Q478" s="11">
        <v>398</v>
      </c>
    </row>
    <row r="479" spans="5:17">
      <c r="E479" s="7" t="s">
        <v>62</v>
      </c>
      <c r="F479" s="7"/>
      <c r="G479" s="9" t="s">
        <v>63</v>
      </c>
      <c r="H479" s="12">
        <v>100</v>
      </c>
      <c r="I479" s="12">
        <v>100</v>
      </c>
      <c r="J479" s="12">
        <v>100</v>
      </c>
      <c r="K479" s="12">
        <v>100</v>
      </c>
      <c r="L479" s="12">
        <v>100</v>
      </c>
      <c r="M479" s="12">
        <v>100</v>
      </c>
      <c r="N479" s="12">
        <v>50</v>
      </c>
      <c r="O479" s="30">
        <v>50</v>
      </c>
      <c r="P479" s="31"/>
      <c r="Q479" s="11">
        <v>700</v>
      </c>
    </row>
    <row r="480" spans="5:17">
      <c r="E480" s="32" t="s">
        <v>339</v>
      </c>
      <c r="F480" s="31"/>
      <c r="G480" s="9" t="s">
        <v>65</v>
      </c>
      <c r="H480" s="10" t="s">
        <v>138</v>
      </c>
      <c r="I480" s="10" t="s">
        <v>68</v>
      </c>
      <c r="J480" s="10"/>
      <c r="K480" s="10" t="s">
        <v>127</v>
      </c>
      <c r="L480" s="10" t="s">
        <v>103</v>
      </c>
      <c r="M480" s="10" t="s">
        <v>138</v>
      </c>
      <c r="N480" s="10" t="s">
        <v>66</v>
      </c>
      <c r="O480" s="30" t="s">
        <v>71</v>
      </c>
      <c r="P480" s="31"/>
      <c r="Q480" s="9" t="s">
        <v>37</v>
      </c>
    </row>
    <row r="481" spans="5:17">
      <c r="E481" s="15" t="s">
        <v>72</v>
      </c>
      <c r="F481" s="15" t="s">
        <v>393</v>
      </c>
      <c r="G481" s="9" t="s">
        <v>74</v>
      </c>
      <c r="H481" s="10" t="s">
        <v>75</v>
      </c>
      <c r="I481" s="10" t="s">
        <v>75</v>
      </c>
      <c r="J481" s="10" t="s">
        <v>263</v>
      </c>
      <c r="K481" s="10" t="s">
        <v>75</v>
      </c>
      <c r="L481" s="10" t="s">
        <v>75</v>
      </c>
      <c r="M481" s="10" t="s">
        <v>75</v>
      </c>
      <c r="N481" s="10" t="s">
        <v>75</v>
      </c>
      <c r="O481" s="30" t="s">
        <v>75</v>
      </c>
      <c r="P481" s="31"/>
      <c r="Q481" s="9" t="s">
        <v>37</v>
      </c>
    </row>
    <row r="482" spans="5:17">
      <c r="E482" s="16" t="s">
        <v>37</v>
      </c>
      <c r="F482" s="16" t="s">
        <v>37</v>
      </c>
      <c r="G482" s="16" t="s">
        <v>37</v>
      </c>
      <c r="H482" s="17" t="s">
        <v>37</v>
      </c>
      <c r="I482" s="17" t="s">
        <v>37</v>
      </c>
      <c r="J482" s="17" t="s">
        <v>37</v>
      </c>
      <c r="K482" s="17" t="s">
        <v>37</v>
      </c>
      <c r="L482" s="17" t="s">
        <v>37</v>
      </c>
      <c r="M482" s="17" t="s">
        <v>37</v>
      </c>
      <c r="N482" s="17" t="s">
        <v>37</v>
      </c>
      <c r="O482" s="41" t="s">
        <v>37</v>
      </c>
      <c r="P482" s="28"/>
      <c r="Q482" s="17" t="s">
        <v>37</v>
      </c>
    </row>
    <row r="483" spans="5:17" ht="0" hidden="1" customHeight="1"/>
    <row r="484" spans="5:17" ht="0.6" customHeight="1"/>
    <row r="485" spans="5:17">
      <c r="E485" s="38" t="s">
        <v>35</v>
      </c>
      <c r="F485" s="31"/>
      <c r="G485" s="4" t="s">
        <v>36</v>
      </c>
      <c r="H485" s="6" t="s">
        <v>37</v>
      </c>
      <c r="I485" s="6" t="s">
        <v>37</v>
      </c>
      <c r="J485" s="6" t="s">
        <v>37</v>
      </c>
      <c r="K485" s="6" t="s">
        <v>37</v>
      </c>
      <c r="L485" s="6" t="s">
        <v>37</v>
      </c>
      <c r="M485" s="6" t="s">
        <v>37</v>
      </c>
      <c r="N485" s="6" t="s">
        <v>37</v>
      </c>
      <c r="O485" s="39" t="s">
        <v>37</v>
      </c>
      <c r="P485" s="28"/>
      <c r="Q485" s="6" t="s">
        <v>37</v>
      </c>
    </row>
    <row r="486" spans="5:17" ht="21">
      <c r="E486" s="32" t="s">
        <v>394</v>
      </c>
      <c r="F486" s="31"/>
      <c r="G486" s="8" t="s">
        <v>39</v>
      </c>
      <c r="H486" s="8" t="s">
        <v>19</v>
      </c>
      <c r="I486" s="8" t="s">
        <v>9</v>
      </c>
      <c r="J486" s="8" t="s">
        <v>21</v>
      </c>
      <c r="K486" s="8" t="s">
        <v>11</v>
      </c>
      <c r="L486" s="8" t="s">
        <v>17</v>
      </c>
      <c r="M486" s="8" t="s">
        <v>27</v>
      </c>
      <c r="N486" s="8" t="s">
        <v>7</v>
      </c>
      <c r="O486" s="40" t="s">
        <v>33</v>
      </c>
      <c r="P486" s="31"/>
      <c r="Q486" s="8" t="s">
        <v>40</v>
      </c>
    </row>
    <row r="487" spans="5:17" ht="22.5">
      <c r="E487" s="7" t="s">
        <v>41</v>
      </c>
      <c r="F487" s="7" t="s">
        <v>395</v>
      </c>
      <c r="G487" s="9" t="s">
        <v>43</v>
      </c>
      <c r="H487" s="10" t="s">
        <v>396</v>
      </c>
      <c r="I487" s="10" t="s">
        <v>82</v>
      </c>
      <c r="J487" s="10" t="s">
        <v>183</v>
      </c>
      <c r="K487" s="10" t="s">
        <v>397</v>
      </c>
      <c r="L487" s="10" t="s">
        <v>223</v>
      </c>
      <c r="M487" s="10" t="s">
        <v>79</v>
      </c>
      <c r="N487" s="10" t="s">
        <v>209</v>
      </c>
      <c r="O487" s="30" t="s">
        <v>51</v>
      </c>
      <c r="P487" s="31"/>
      <c r="Q487" s="9" t="s">
        <v>37</v>
      </c>
    </row>
    <row r="488" spans="5:17">
      <c r="E488" s="32" t="s">
        <v>398</v>
      </c>
      <c r="F488" s="33"/>
      <c r="G488" s="9" t="s">
        <v>53</v>
      </c>
      <c r="H488" s="10" t="s">
        <v>51</v>
      </c>
      <c r="I488" s="10" t="s">
        <v>51</v>
      </c>
      <c r="J488" s="10" t="s">
        <v>51</v>
      </c>
      <c r="K488" s="10" t="s">
        <v>51</v>
      </c>
      <c r="L488" s="10" t="s">
        <v>51</v>
      </c>
      <c r="M488" s="10" t="s">
        <v>51</v>
      </c>
      <c r="N488" s="10" t="s">
        <v>51</v>
      </c>
      <c r="O488" s="30" t="s">
        <v>125</v>
      </c>
      <c r="P488" s="31"/>
      <c r="Q488" s="9" t="s">
        <v>37</v>
      </c>
    </row>
    <row r="489" spans="5:17">
      <c r="E489" s="34"/>
      <c r="F489" s="35"/>
      <c r="G489" s="9" t="s">
        <v>55</v>
      </c>
      <c r="H489" s="10" t="s">
        <v>37</v>
      </c>
      <c r="I489" s="10" t="s">
        <v>37</v>
      </c>
      <c r="J489" s="10" t="s">
        <v>37</v>
      </c>
      <c r="K489" s="10" t="s">
        <v>37</v>
      </c>
      <c r="L489" s="10" t="s">
        <v>37</v>
      </c>
      <c r="M489" s="10" t="s">
        <v>37</v>
      </c>
      <c r="N489" s="10" t="s">
        <v>37</v>
      </c>
      <c r="O489" s="30" t="s">
        <v>37</v>
      </c>
      <c r="P489" s="31"/>
      <c r="Q489" s="11">
        <v>0</v>
      </c>
    </row>
    <row r="490" spans="5:17">
      <c r="E490" s="36"/>
      <c r="F490" s="37"/>
      <c r="G490" s="9" t="s">
        <v>56</v>
      </c>
      <c r="H490" s="12">
        <v>4</v>
      </c>
      <c r="I490" s="12">
        <v>4</v>
      </c>
      <c r="J490" s="12">
        <v>4</v>
      </c>
      <c r="K490" s="12">
        <v>3</v>
      </c>
      <c r="L490" s="12">
        <v>3</v>
      </c>
      <c r="M490" s="12">
        <v>3</v>
      </c>
      <c r="N490" s="12">
        <v>2</v>
      </c>
      <c r="O490" s="30">
        <v>2</v>
      </c>
      <c r="P490" s="31"/>
      <c r="Q490" s="11">
        <v>25</v>
      </c>
    </row>
    <row r="491" spans="5:17">
      <c r="E491" s="7" t="s">
        <v>57</v>
      </c>
      <c r="F491" s="13">
        <v>9.6199999999999992</v>
      </c>
      <c r="G491" s="9" t="s">
        <v>58</v>
      </c>
      <c r="H491" s="12">
        <v>9.5</v>
      </c>
      <c r="I491" s="12">
        <v>10</v>
      </c>
      <c r="J491" s="12">
        <v>9.5</v>
      </c>
      <c r="K491" s="12">
        <v>9</v>
      </c>
      <c r="L491" s="12">
        <v>9.5</v>
      </c>
      <c r="M491" s="12">
        <v>10</v>
      </c>
      <c r="N491" s="12">
        <v>10</v>
      </c>
      <c r="O491" s="30">
        <v>9.5</v>
      </c>
      <c r="P491" s="31"/>
      <c r="Q491" s="9" t="s">
        <v>37</v>
      </c>
    </row>
    <row r="492" spans="5:17">
      <c r="E492" s="7" t="s">
        <v>59</v>
      </c>
      <c r="F492" s="14">
        <v>9.6199999999999992</v>
      </c>
      <c r="G492" s="9" t="s">
        <v>60</v>
      </c>
      <c r="H492" s="12">
        <v>38</v>
      </c>
      <c r="I492" s="12">
        <v>40</v>
      </c>
      <c r="J492" s="12">
        <v>38</v>
      </c>
      <c r="K492" s="12">
        <v>27</v>
      </c>
      <c r="L492" s="12">
        <v>28.5</v>
      </c>
      <c r="M492" s="12">
        <v>30</v>
      </c>
      <c r="N492" s="12">
        <v>20</v>
      </c>
      <c r="O492" s="30">
        <v>19</v>
      </c>
      <c r="P492" s="31"/>
      <c r="Q492" s="11">
        <v>240.5</v>
      </c>
    </row>
    <row r="493" spans="5:17">
      <c r="E493" s="32" t="s">
        <v>61</v>
      </c>
      <c r="F493" s="31"/>
      <c r="G493" s="9" t="s">
        <v>40</v>
      </c>
      <c r="H493" s="12">
        <v>92</v>
      </c>
      <c r="I493" s="12">
        <v>98</v>
      </c>
      <c r="J493" s="12">
        <v>94</v>
      </c>
      <c r="K493" s="12">
        <v>85</v>
      </c>
      <c r="L493" s="12">
        <v>93</v>
      </c>
      <c r="M493" s="12">
        <v>95</v>
      </c>
      <c r="N493" s="12">
        <v>50</v>
      </c>
      <c r="O493" s="30">
        <v>46</v>
      </c>
      <c r="P493" s="31"/>
      <c r="Q493" s="11">
        <v>653</v>
      </c>
    </row>
    <row r="494" spans="5:17">
      <c r="E494" s="7" t="s">
        <v>62</v>
      </c>
      <c r="F494" s="7"/>
      <c r="G494" s="9" t="s">
        <v>63</v>
      </c>
      <c r="H494" s="12">
        <v>100</v>
      </c>
      <c r="I494" s="12">
        <v>100</v>
      </c>
      <c r="J494" s="12">
        <v>100</v>
      </c>
      <c r="K494" s="12">
        <v>100</v>
      </c>
      <c r="L494" s="12">
        <v>100</v>
      </c>
      <c r="M494" s="12">
        <v>100</v>
      </c>
      <c r="N494" s="12">
        <v>50</v>
      </c>
      <c r="O494" s="30">
        <v>50</v>
      </c>
      <c r="P494" s="31"/>
      <c r="Q494" s="11">
        <v>700</v>
      </c>
    </row>
    <row r="495" spans="5:17">
      <c r="E495" s="32" t="s">
        <v>399</v>
      </c>
      <c r="F495" s="31"/>
      <c r="G495" s="9" t="s">
        <v>65</v>
      </c>
      <c r="H495" s="10" t="s">
        <v>71</v>
      </c>
      <c r="I495" s="10" t="s">
        <v>88</v>
      </c>
      <c r="J495" s="10" t="s">
        <v>71</v>
      </c>
      <c r="K495" s="10" t="s">
        <v>67</v>
      </c>
      <c r="L495" s="10" t="s">
        <v>71</v>
      </c>
      <c r="M495" s="10" t="s">
        <v>88</v>
      </c>
      <c r="N495" s="10" t="s">
        <v>88</v>
      </c>
      <c r="O495" s="30" t="s">
        <v>71</v>
      </c>
      <c r="P495" s="31"/>
      <c r="Q495" s="9" t="s">
        <v>37</v>
      </c>
    </row>
    <row r="496" spans="5:17">
      <c r="E496" s="15" t="s">
        <v>72</v>
      </c>
      <c r="F496" s="15" t="s">
        <v>400</v>
      </c>
      <c r="G496" s="9" t="s">
        <v>74</v>
      </c>
      <c r="H496" s="10" t="s">
        <v>75</v>
      </c>
      <c r="I496" s="10" t="s">
        <v>75</v>
      </c>
      <c r="J496" s="10" t="s">
        <v>75</v>
      </c>
      <c r="K496" s="10" t="s">
        <v>75</v>
      </c>
      <c r="L496" s="10" t="s">
        <v>75</v>
      </c>
      <c r="M496" s="10" t="s">
        <v>75</v>
      </c>
      <c r="N496" s="10" t="s">
        <v>75</v>
      </c>
      <c r="O496" s="30" t="s">
        <v>75</v>
      </c>
      <c r="P496" s="31"/>
      <c r="Q496" s="9" t="s">
        <v>37</v>
      </c>
    </row>
    <row r="497" spans="5:17">
      <c r="E497" s="16" t="s">
        <v>37</v>
      </c>
      <c r="F497" s="16" t="s">
        <v>37</v>
      </c>
      <c r="G497" s="16" t="s">
        <v>37</v>
      </c>
      <c r="H497" s="17" t="s">
        <v>37</v>
      </c>
      <c r="I497" s="17" t="s">
        <v>37</v>
      </c>
      <c r="J497" s="17" t="s">
        <v>37</v>
      </c>
      <c r="K497" s="17" t="s">
        <v>37</v>
      </c>
      <c r="L497" s="17" t="s">
        <v>37</v>
      </c>
      <c r="M497" s="17" t="s">
        <v>37</v>
      </c>
      <c r="N497" s="17" t="s">
        <v>37</v>
      </c>
      <c r="O497" s="41" t="s">
        <v>37</v>
      </c>
      <c r="P497" s="28"/>
      <c r="Q497" s="17" t="s">
        <v>37</v>
      </c>
    </row>
    <row r="498" spans="5:17" ht="0" hidden="1" customHeight="1"/>
    <row r="499" spans="5:17" ht="0.6" customHeight="1"/>
    <row r="500" spans="5:17">
      <c r="E500" s="38" t="s">
        <v>35</v>
      </c>
      <c r="F500" s="31"/>
      <c r="G500" s="4" t="s">
        <v>36</v>
      </c>
      <c r="H500" s="6" t="s">
        <v>37</v>
      </c>
      <c r="I500" s="6" t="s">
        <v>37</v>
      </c>
      <c r="J500" s="6" t="s">
        <v>37</v>
      </c>
      <c r="K500" s="6" t="s">
        <v>37</v>
      </c>
      <c r="L500" s="6" t="s">
        <v>37</v>
      </c>
      <c r="M500" s="6" t="s">
        <v>37</v>
      </c>
      <c r="N500" s="6" t="s">
        <v>37</v>
      </c>
      <c r="O500" s="39" t="s">
        <v>37</v>
      </c>
      <c r="P500" s="28"/>
      <c r="Q500" s="6" t="s">
        <v>37</v>
      </c>
    </row>
    <row r="501" spans="5:17" ht="21">
      <c r="E501" s="32" t="s">
        <v>401</v>
      </c>
      <c r="F501" s="31"/>
      <c r="G501" s="8" t="s">
        <v>39</v>
      </c>
      <c r="H501" s="8" t="s">
        <v>19</v>
      </c>
      <c r="I501" s="8" t="s">
        <v>9</v>
      </c>
      <c r="J501" s="8" t="s">
        <v>21</v>
      </c>
      <c r="K501" s="8" t="s">
        <v>11</v>
      </c>
      <c r="L501" s="8" t="s">
        <v>17</v>
      </c>
      <c r="M501" s="8" t="s">
        <v>27</v>
      </c>
      <c r="N501" s="8" t="s">
        <v>7</v>
      </c>
      <c r="O501" s="40" t="s">
        <v>33</v>
      </c>
      <c r="P501" s="31"/>
      <c r="Q501" s="8" t="s">
        <v>40</v>
      </c>
    </row>
    <row r="502" spans="5:17" ht="22.5">
      <c r="E502" s="7" t="s">
        <v>41</v>
      </c>
      <c r="F502" s="7" t="s">
        <v>402</v>
      </c>
      <c r="G502" s="9" t="s">
        <v>43</v>
      </c>
      <c r="H502" s="10" t="s">
        <v>268</v>
      </c>
      <c r="I502" s="10" t="s">
        <v>403</v>
      </c>
      <c r="J502" s="10" t="s">
        <v>404</v>
      </c>
      <c r="K502" s="10" t="s">
        <v>405</v>
      </c>
      <c r="L502" s="10" t="s">
        <v>406</v>
      </c>
      <c r="M502" s="10" t="s">
        <v>407</v>
      </c>
      <c r="N502" s="10" t="s">
        <v>408</v>
      </c>
      <c r="O502" s="30" t="s">
        <v>51</v>
      </c>
      <c r="P502" s="31"/>
      <c r="Q502" s="9" t="s">
        <v>37</v>
      </c>
    </row>
    <row r="503" spans="5:17">
      <c r="E503" s="32" t="s">
        <v>409</v>
      </c>
      <c r="F503" s="33"/>
      <c r="G503" s="9" t="s">
        <v>53</v>
      </c>
      <c r="H503" s="10" t="s">
        <v>51</v>
      </c>
      <c r="I503" s="10" t="s">
        <v>51</v>
      </c>
      <c r="J503" s="10" t="s">
        <v>51</v>
      </c>
      <c r="K503" s="10" t="s">
        <v>51</v>
      </c>
      <c r="L503" s="10" t="s">
        <v>51</v>
      </c>
      <c r="M503" s="10" t="s">
        <v>51</v>
      </c>
      <c r="N503" s="10" t="s">
        <v>51</v>
      </c>
      <c r="O503" s="30" t="s">
        <v>125</v>
      </c>
      <c r="P503" s="31"/>
      <c r="Q503" s="9" t="s">
        <v>37</v>
      </c>
    </row>
    <row r="504" spans="5:17">
      <c r="E504" s="34"/>
      <c r="F504" s="35"/>
      <c r="G504" s="9" t="s">
        <v>55</v>
      </c>
      <c r="H504" s="10" t="s">
        <v>37</v>
      </c>
      <c r="I504" s="10" t="s">
        <v>37</v>
      </c>
      <c r="J504" s="12">
        <v>5</v>
      </c>
      <c r="K504" s="10" t="s">
        <v>37</v>
      </c>
      <c r="L504" s="10" t="s">
        <v>37</v>
      </c>
      <c r="M504" s="10" t="s">
        <v>37</v>
      </c>
      <c r="N504" s="10" t="s">
        <v>37</v>
      </c>
      <c r="O504" s="30" t="s">
        <v>37</v>
      </c>
      <c r="P504" s="31"/>
      <c r="Q504" s="11">
        <v>5</v>
      </c>
    </row>
    <row r="505" spans="5:17">
      <c r="E505" s="36"/>
      <c r="F505" s="37"/>
      <c r="G505" s="9" t="s">
        <v>56</v>
      </c>
      <c r="H505" s="12">
        <v>4</v>
      </c>
      <c r="I505" s="12">
        <v>4</v>
      </c>
      <c r="J505" s="12">
        <v>4</v>
      </c>
      <c r="K505" s="12">
        <v>3</v>
      </c>
      <c r="L505" s="12">
        <v>3</v>
      </c>
      <c r="M505" s="12">
        <v>3</v>
      </c>
      <c r="N505" s="12">
        <v>2</v>
      </c>
      <c r="O505" s="30">
        <v>2</v>
      </c>
      <c r="P505" s="31"/>
      <c r="Q505" s="11">
        <v>25</v>
      </c>
    </row>
    <row r="506" spans="5:17">
      <c r="E506" s="7" t="s">
        <v>57</v>
      </c>
      <c r="F506" s="13">
        <v>6.88</v>
      </c>
      <c r="G506" s="9" t="s">
        <v>58</v>
      </c>
      <c r="H506" s="12">
        <v>6.5</v>
      </c>
      <c r="I506" s="12">
        <v>8</v>
      </c>
      <c r="J506" s="12">
        <v>5.5</v>
      </c>
      <c r="K506" s="12">
        <v>6.5</v>
      </c>
      <c r="L506" s="12">
        <v>5</v>
      </c>
      <c r="M506" s="12">
        <v>6.5</v>
      </c>
      <c r="N506" s="12">
        <v>9.5</v>
      </c>
      <c r="O506" s="30">
        <v>9.5</v>
      </c>
      <c r="P506" s="31"/>
      <c r="Q506" s="9" t="s">
        <v>37</v>
      </c>
    </row>
    <row r="507" spans="5:17">
      <c r="E507" s="7" t="s">
        <v>59</v>
      </c>
      <c r="F507" s="14">
        <v>6.88</v>
      </c>
      <c r="G507" s="9" t="s">
        <v>60</v>
      </c>
      <c r="H507" s="12">
        <v>26</v>
      </c>
      <c r="I507" s="12">
        <v>32</v>
      </c>
      <c r="J507" s="12">
        <v>22</v>
      </c>
      <c r="K507" s="12">
        <v>19.5</v>
      </c>
      <c r="L507" s="12">
        <v>15</v>
      </c>
      <c r="M507" s="12">
        <v>19.5</v>
      </c>
      <c r="N507" s="12">
        <v>19</v>
      </c>
      <c r="O507" s="30">
        <v>19</v>
      </c>
      <c r="P507" s="31"/>
      <c r="Q507" s="11">
        <v>172</v>
      </c>
    </row>
    <row r="508" spans="5:17">
      <c r="E508" s="32" t="s">
        <v>61</v>
      </c>
      <c r="F508" s="31"/>
      <c r="G508" s="9" t="s">
        <v>40</v>
      </c>
      <c r="H508" s="12">
        <v>60</v>
      </c>
      <c r="I508" s="12">
        <v>75</v>
      </c>
      <c r="J508" s="12">
        <v>51</v>
      </c>
      <c r="K508" s="12">
        <v>64</v>
      </c>
      <c r="L508" s="12">
        <v>48</v>
      </c>
      <c r="M508" s="12">
        <v>62</v>
      </c>
      <c r="N508" s="12">
        <v>46</v>
      </c>
      <c r="O508" s="30">
        <v>46</v>
      </c>
      <c r="P508" s="31"/>
      <c r="Q508" s="11">
        <v>452</v>
      </c>
    </row>
    <row r="509" spans="5:17">
      <c r="E509" s="7" t="s">
        <v>62</v>
      </c>
      <c r="F509" s="7"/>
      <c r="G509" s="9" t="s">
        <v>63</v>
      </c>
      <c r="H509" s="12">
        <v>100</v>
      </c>
      <c r="I509" s="12">
        <v>100</v>
      </c>
      <c r="J509" s="12">
        <v>100</v>
      </c>
      <c r="K509" s="12">
        <v>100</v>
      </c>
      <c r="L509" s="12">
        <v>100</v>
      </c>
      <c r="M509" s="12">
        <v>100</v>
      </c>
      <c r="N509" s="12">
        <v>50</v>
      </c>
      <c r="O509" s="30">
        <v>50</v>
      </c>
      <c r="P509" s="31"/>
      <c r="Q509" s="11">
        <v>700</v>
      </c>
    </row>
    <row r="510" spans="5:17">
      <c r="E510" s="32" t="s">
        <v>126</v>
      </c>
      <c r="F510" s="31"/>
      <c r="G510" s="9" t="s">
        <v>65</v>
      </c>
      <c r="H510" s="10" t="s">
        <v>69</v>
      </c>
      <c r="I510" s="10" t="s">
        <v>102</v>
      </c>
      <c r="J510" s="10" t="s">
        <v>138</v>
      </c>
      <c r="K510" s="10" t="s">
        <v>69</v>
      </c>
      <c r="L510" s="10" t="s">
        <v>127</v>
      </c>
      <c r="M510" s="10" t="s">
        <v>69</v>
      </c>
      <c r="N510" s="10" t="s">
        <v>71</v>
      </c>
      <c r="O510" s="30" t="s">
        <v>71</v>
      </c>
      <c r="P510" s="31"/>
      <c r="Q510" s="9" t="s">
        <v>37</v>
      </c>
    </row>
    <row r="511" spans="5:17">
      <c r="E511" s="15" t="s">
        <v>72</v>
      </c>
      <c r="F511" s="15" t="s">
        <v>410</v>
      </c>
      <c r="G511" s="9" t="s">
        <v>74</v>
      </c>
      <c r="H511" s="10" t="s">
        <v>75</v>
      </c>
      <c r="I511" s="10" t="s">
        <v>75</v>
      </c>
      <c r="J511" s="10" t="s">
        <v>75</v>
      </c>
      <c r="K511" s="10" t="s">
        <v>75</v>
      </c>
      <c r="L511" s="10" t="s">
        <v>75</v>
      </c>
      <c r="M511" s="10" t="s">
        <v>75</v>
      </c>
      <c r="N511" s="10" t="s">
        <v>75</v>
      </c>
      <c r="O511" s="30" t="s">
        <v>75</v>
      </c>
      <c r="P511" s="31"/>
      <c r="Q511" s="9" t="s">
        <v>37</v>
      </c>
    </row>
    <row r="512" spans="5:17">
      <c r="E512" s="16" t="s">
        <v>37</v>
      </c>
      <c r="F512" s="16" t="s">
        <v>37</v>
      </c>
      <c r="G512" s="16" t="s">
        <v>37</v>
      </c>
      <c r="H512" s="17" t="s">
        <v>37</v>
      </c>
      <c r="I512" s="17" t="s">
        <v>37</v>
      </c>
      <c r="J512" s="17" t="s">
        <v>37</v>
      </c>
      <c r="K512" s="17" t="s">
        <v>37</v>
      </c>
      <c r="L512" s="17" t="s">
        <v>37</v>
      </c>
      <c r="M512" s="17" t="s">
        <v>37</v>
      </c>
      <c r="N512" s="17" t="s">
        <v>37</v>
      </c>
      <c r="O512" s="41" t="s">
        <v>37</v>
      </c>
      <c r="P512" s="28"/>
      <c r="Q512" s="17" t="s">
        <v>37</v>
      </c>
    </row>
    <row r="513" spans="5:17" ht="0" hidden="1" customHeight="1"/>
    <row r="514" spans="5:17" ht="0.6" customHeight="1"/>
    <row r="515" spans="5:17">
      <c r="E515" s="38" t="s">
        <v>35</v>
      </c>
      <c r="F515" s="31"/>
      <c r="G515" s="4" t="s">
        <v>36</v>
      </c>
      <c r="H515" s="6" t="s">
        <v>37</v>
      </c>
      <c r="I515" s="6" t="s">
        <v>37</v>
      </c>
      <c r="J515" s="6" t="s">
        <v>37</v>
      </c>
      <c r="K515" s="6" t="s">
        <v>37</v>
      </c>
      <c r="L515" s="6" t="s">
        <v>37</v>
      </c>
      <c r="M515" s="6" t="s">
        <v>37</v>
      </c>
      <c r="N515" s="6" t="s">
        <v>37</v>
      </c>
      <c r="O515" s="39" t="s">
        <v>37</v>
      </c>
      <c r="P515" s="28"/>
      <c r="Q515" s="6" t="s">
        <v>37</v>
      </c>
    </row>
    <row r="516" spans="5:17" ht="21">
      <c r="E516" s="32" t="s">
        <v>411</v>
      </c>
      <c r="F516" s="31"/>
      <c r="G516" s="8" t="s">
        <v>39</v>
      </c>
      <c r="H516" s="8" t="s">
        <v>19</v>
      </c>
      <c r="I516" s="8" t="s">
        <v>9</v>
      </c>
      <c r="J516" s="8" t="s">
        <v>21</v>
      </c>
      <c r="K516" s="8" t="s">
        <v>11</v>
      </c>
      <c r="L516" s="8" t="s">
        <v>17</v>
      </c>
      <c r="M516" s="8" t="s">
        <v>27</v>
      </c>
      <c r="N516" s="8" t="s">
        <v>7</v>
      </c>
      <c r="O516" s="40" t="s">
        <v>29</v>
      </c>
      <c r="P516" s="31"/>
      <c r="Q516" s="8" t="s">
        <v>40</v>
      </c>
    </row>
    <row r="517" spans="5:17" ht="22.5">
      <c r="E517" s="7" t="s">
        <v>41</v>
      </c>
      <c r="F517" s="7" t="s">
        <v>412</v>
      </c>
      <c r="G517" s="9" t="s">
        <v>43</v>
      </c>
      <c r="H517" s="10" t="s">
        <v>413</v>
      </c>
      <c r="I517" s="10" t="s">
        <v>414</v>
      </c>
      <c r="J517" s="10" t="s">
        <v>415</v>
      </c>
      <c r="K517" s="10" t="s">
        <v>297</v>
      </c>
      <c r="L517" s="10" t="s">
        <v>416</v>
      </c>
      <c r="M517" s="10" t="s">
        <v>417</v>
      </c>
      <c r="N517" s="10" t="s">
        <v>418</v>
      </c>
      <c r="O517" s="30" t="s">
        <v>51</v>
      </c>
      <c r="P517" s="31"/>
      <c r="Q517" s="9" t="s">
        <v>37</v>
      </c>
    </row>
    <row r="518" spans="5:17">
      <c r="E518" s="32" t="s">
        <v>419</v>
      </c>
      <c r="F518" s="33"/>
      <c r="G518" s="9" t="s">
        <v>53</v>
      </c>
      <c r="H518" s="10" t="s">
        <v>51</v>
      </c>
      <c r="I518" s="10" t="s">
        <v>51</v>
      </c>
      <c r="J518" s="10" t="s">
        <v>51</v>
      </c>
      <c r="K518" s="10" t="s">
        <v>51</v>
      </c>
      <c r="L518" s="10" t="s">
        <v>51</v>
      </c>
      <c r="M518" s="10" t="s">
        <v>51</v>
      </c>
      <c r="N518" s="10" t="s">
        <v>51</v>
      </c>
      <c r="O518" s="30" t="s">
        <v>178</v>
      </c>
      <c r="P518" s="31"/>
      <c r="Q518" s="9" t="s">
        <v>37</v>
      </c>
    </row>
    <row r="519" spans="5:17">
      <c r="E519" s="34"/>
      <c r="F519" s="35"/>
      <c r="G519" s="9" t="s">
        <v>55</v>
      </c>
      <c r="H519" s="10" t="s">
        <v>37</v>
      </c>
      <c r="I519" s="10" t="s">
        <v>37</v>
      </c>
      <c r="J519" s="10" t="s">
        <v>37</v>
      </c>
      <c r="K519" s="10" t="s">
        <v>37</v>
      </c>
      <c r="L519" s="10" t="s">
        <v>37</v>
      </c>
      <c r="M519" s="10" t="s">
        <v>37</v>
      </c>
      <c r="N519" s="10" t="s">
        <v>37</v>
      </c>
      <c r="O519" s="30" t="s">
        <v>37</v>
      </c>
      <c r="P519" s="31"/>
      <c r="Q519" s="11">
        <v>0</v>
      </c>
    </row>
    <row r="520" spans="5:17">
      <c r="E520" s="36"/>
      <c r="F520" s="37"/>
      <c r="G520" s="9" t="s">
        <v>56</v>
      </c>
      <c r="H520" s="12">
        <v>4</v>
      </c>
      <c r="I520" s="12">
        <v>4</v>
      </c>
      <c r="J520" s="12">
        <v>4</v>
      </c>
      <c r="K520" s="12">
        <v>3</v>
      </c>
      <c r="L520" s="12">
        <v>3</v>
      </c>
      <c r="M520" s="12">
        <v>3</v>
      </c>
      <c r="N520" s="12">
        <v>2</v>
      </c>
      <c r="O520" s="30">
        <v>2</v>
      </c>
      <c r="P520" s="31"/>
      <c r="Q520" s="11">
        <v>21</v>
      </c>
    </row>
    <row r="521" spans="5:17">
      <c r="E521" s="7" t="s">
        <v>57</v>
      </c>
      <c r="F521" s="13">
        <v>5.3</v>
      </c>
      <c r="G521" s="9" t="s">
        <v>58</v>
      </c>
      <c r="H521" s="12">
        <v>5.5</v>
      </c>
      <c r="I521" s="12">
        <v>6.5</v>
      </c>
      <c r="J521" s="10"/>
      <c r="K521" s="12">
        <v>4.5</v>
      </c>
      <c r="L521" s="12">
        <v>6</v>
      </c>
      <c r="M521" s="12">
        <v>7</v>
      </c>
      <c r="N521" s="12">
        <v>6.5</v>
      </c>
      <c r="O521" s="30">
        <v>9.5</v>
      </c>
      <c r="P521" s="31"/>
      <c r="Q521" s="9" t="s">
        <v>37</v>
      </c>
    </row>
    <row r="522" spans="5:17">
      <c r="E522" s="7" t="s">
        <v>59</v>
      </c>
      <c r="F522" s="7"/>
      <c r="G522" s="9" t="s">
        <v>60</v>
      </c>
      <c r="H522" s="12">
        <v>22</v>
      </c>
      <c r="I522" s="12">
        <v>26</v>
      </c>
      <c r="J522" s="10"/>
      <c r="K522" s="12">
        <v>13.5</v>
      </c>
      <c r="L522" s="12">
        <v>18</v>
      </c>
      <c r="M522" s="12">
        <v>21</v>
      </c>
      <c r="N522" s="12">
        <v>13</v>
      </c>
      <c r="O522" s="30">
        <v>19</v>
      </c>
      <c r="P522" s="31"/>
      <c r="Q522" s="11">
        <v>132.5</v>
      </c>
    </row>
    <row r="523" spans="5:17">
      <c r="E523" s="32" t="s">
        <v>260</v>
      </c>
      <c r="F523" s="31"/>
      <c r="G523" s="9" t="s">
        <v>40</v>
      </c>
      <c r="H523" s="12">
        <v>52</v>
      </c>
      <c r="I523" s="12">
        <v>62</v>
      </c>
      <c r="J523" s="12">
        <v>22</v>
      </c>
      <c r="K523" s="12">
        <v>44</v>
      </c>
      <c r="L523" s="12">
        <v>59</v>
      </c>
      <c r="M523" s="12">
        <v>68</v>
      </c>
      <c r="N523" s="12">
        <v>31</v>
      </c>
      <c r="O523" s="30">
        <v>47</v>
      </c>
      <c r="P523" s="31"/>
      <c r="Q523" s="11">
        <v>385</v>
      </c>
    </row>
    <row r="524" spans="5:17">
      <c r="E524" s="7" t="s">
        <v>62</v>
      </c>
      <c r="F524" s="7"/>
      <c r="G524" s="9" t="s">
        <v>63</v>
      </c>
      <c r="H524" s="12">
        <v>100</v>
      </c>
      <c r="I524" s="12">
        <v>100</v>
      </c>
      <c r="J524" s="12">
        <v>100</v>
      </c>
      <c r="K524" s="12">
        <v>100</v>
      </c>
      <c r="L524" s="12">
        <v>100</v>
      </c>
      <c r="M524" s="12">
        <v>100</v>
      </c>
      <c r="N524" s="12">
        <v>50</v>
      </c>
      <c r="O524" s="30">
        <v>50</v>
      </c>
      <c r="P524" s="31"/>
      <c r="Q524" s="11">
        <v>700</v>
      </c>
    </row>
    <row r="525" spans="5:17">
      <c r="E525" s="32" t="s">
        <v>339</v>
      </c>
      <c r="F525" s="31"/>
      <c r="G525" s="9" t="s">
        <v>65</v>
      </c>
      <c r="H525" s="10" t="s">
        <v>138</v>
      </c>
      <c r="I525" s="10" t="s">
        <v>69</v>
      </c>
      <c r="J525" s="10"/>
      <c r="K525" s="10" t="s">
        <v>303</v>
      </c>
      <c r="L525" s="10" t="s">
        <v>103</v>
      </c>
      <c r="M525" s="10" t="s">
        <v>66</v>
      </c>
      <c r="N525" s="10" t="s">
        <v>69</v>
      </c>
      <c r="O525" s="30" t="s">
        <v>71</v>
      </c>
      <c r="P525" s="31"/>
      <c r="Q525" s="9" t="s">
        <v>37</v>
      </c>
    </row>
    <row r="526" spans="5:17">
      <c r="E526" s="15" t="s">
        <v>72</v>
      </c>
      <c r="F526" s="15" t="s">
        <v>420</v>
      </c>
      <c r="G526" s="9" t="s">
        <v>74</v>
      </c>
      <c r="H526" s="10" t="s">
        <v>75</v>
      </c>
      <c r="I526" s="10" t="s">
        <v>75</v>
      </c>
      <c r="J526" s="10" t="s">
        <v>263</v>
      </c>
      <c r="K526" s="10" t="s">
        <v>75</v>
      </c>
      <c r="L526" s="10" t="s">
        <v>75</v>
      </c>
      <c r="M526" s="10" t="s">
        <v>75</v>
      </c>
      <c r="N526" s="10" t="s">
        <v>75</v>
      </c>
      <c r="O526" s="30" t="s">
        <v>75</v>
      </c>
      <c r="P526" s="31"/>
      <c r="Q526" s="9" t="s">
        <v>37</v>
      </c>
    </row>
    <row r="527" spans="5:17">
      <c r="E527" s="16" t="s">
        <v>37</v>
      </c>
      <c r="F527" s="16" t="s">
        <v>37</v>
      </c>
      <c r="G527" s="16" t="s">
        <v>37</v>
      </c>
      <c r="H527" s="17" t="s">
        <v>37</v>
      </c>
      <c r="I527" s="17" t="s">
        <v>37</v>
      </c>
      <c r="J527" s="17" t="s">
        <v>37</v>
      </c>
      <c r="K527" s="17" t="s">
        <v>37</v>
      </c>
      <c r="L527" s="17" t="s">
        <v>37</v>
      </c>
      <c r="M527" s="17" t="s">
        <v>37</v>
      </c>
      <c r="N527" s="17" t="s">
        <v>37</v>
      </c>
      <c r="O527" s="41" t="s">
        <v>37</v>
      </c>
      <c r="P527" s="28"/>
      <c r="Q527" s="17" t="s">
        <v>37</v>
      </c>
    </row>
    <row r="528" spans="5:17" ht="0" hidden="1" customHeight="1"/>
    <row r="529" spans="5:17" ht="0.6" customHeight="1"/>
    <row r="530" spans="5:17">
      <c r="E530" s="38" t="s">
        <v>35</v>
      </c>
      <c r="F530" s="31"/>
      <c r="G530" s="4" t="s">
        <v>36</v>
      </c>
      <c r="H530" s="6" t="s">
        <v>37</v>
      </c>
      <c r="I530" s="6" t="s">
        <v>37</v>
      </c>
      <c r="J530" s="6" t="s">
        <v>37</v>
      </c>
      <c r="K530" s="6" t="s">
        <v>37</v>
      </c>
      <c r="L530" s="6" t="s">
        <v>37</v>
      </c>
      <c r="M530" s="6" t="s">
        <v>37</v>
      </c>
      <c r="N530" s="6" t="s">
        <v>37</v>
      </c>
      <c r="O530" s="39" t="s">
        <v>37</v>
      </c>
      <c r="P530" s="28"/>
      <c r="Q530" s="6" t="s">
        <v>37</v>
      </c>
    </row>
    <row r="531" spans="5:17" ht="21">
      <c r="E531" s="32" t="s">
        <v>421</v>
      </c>
      <c r="F531" s="31"/>
      <c r="G531" s="8" t="s">
        <v>39</v>
      </c>
      <c r="H531" s="8" t="s">
        <v>19</v>
      </c>
      <c r="I531" s="8" t="s">
        <v>9</v>
      </c>
      <c r="J531" s="8" t="s">
        <v>21</v>
      </c>
      <c r="K531" s="8" t="s">
        <v>11</v>
      </c>
      <c r="L531" s="8" t="s">
        <v>17</v>
      </c>
      <c r="M531" s="8" t="s">
        <v>27</v>
      </c>
      <c r="N531" s="8" t="s">
        <v>7</v>
      </c>
      <c r="O531" s="40" t="s">
        <v>25</v>
      </c>
      <c r="P531" s="31"/>
      <c r="Q531" s="8" t="s">
        <v>40</v>
      </c>
    </row>
    <row r="532" spans="5:17" ht="22.5">
      <c r="E532" s="7" t="s">
        <v>41</v>
      </c>
      <c r="F532" s="7" t="s">
        <v>422</v>
      </c>
      <c r="G532" s="9" t="s">
        <v>43</v>
      </c>
      <c r="H532" s="10" t="s">
        <v>423</v>
      </c>
      <c r="I532" s="10" t="s">
        <v>424</v>
      </c>
      <c r="J532" s="10" t="s">
        <v>425</v>
      </c>
      <c r="K532" s="10" t="s">
        <v>92</v>
      </c>
      <c r="L532" s="10" t="s">
        <v>426</v>
      </c>
      <c r="M532" s="10" t="s">
        <v>427</v>
      </c>
      <c r="N532" s="10" t="s">
        <v>84</v>
      </c>
      <c r="O532" s="30" t="s">
        <v>51</v>
      </c>
      <c r="P532" s="31"/>
      <c r="Q532" s="9" t="s">
        <v>37</v>
      </c>
    </row>
    <row r="533" spans="5:17">
      <c r="E533" s="32" t="s">
        <v>428</v>
      </c>
      <c r="F533" s="33"/>
      <c r="G533" s="9" t="s">
        <v>53</v>
      </c>
      <c r="H533" s="10" t="s">
        <v>51</v>
      </c>
      <c r="I533" s="10" t="s">
        <v>51</v>
      </c>
      <c r="J533" s="10" t="s">
        <v>51</v>
      </c>
      <c r="K533" s="10" t="s">
        <v>51</v>
      </c>
      <c r="L533" s="10" t="s">
        <v>51</v>
      </c>
      <c r="M533" s="10" t="s">
        <v>51</v>
      </c>
      <c r="N533" s="10" t="s">
        <v>51</v>
      </c>
      <c r="O533" s="30" t="s">
        <v>54</v>
      </c>
      <c r="P533" s="31"/>
      <c r="Q533" s="9" t="s">
        <v>37</v>
      </c>
    </row>
    <row r="534" spans="5:17">
      <c r="E534" s="34"/>
      <c r="F534" s="35"/>
      <c r="G534" s="9" t="s">
        <v>55</v>
      </c>
      <c r="H534" s="10" t="s">
        <v>37</v>
      </c>
      <c r="I534" s="10" t="s">
        <v>37</v>
      </c>
      <c r="J534" s="10" t="s">
        <v>37</v>
      </c>
      <c r="K534" s="10" t="s">
        <v>37</v>
      </c>
      <c r="L534" s="10" t="s">
        <v>37</v>
      </c>
      <c r="M534" s="10" t="s">
        <v>37</v>
      </c>
      <c r="N534" s="10" t="s">
        <v>37</v>
      </c>
      <c r="O534" s="30" t="s">
        <v>37</v>
      </c>
      <c r="P534" s="31"/>
      <c r="Q534" s="11">
        <v>0</v>
      </c>
    </row>
    <row r="535" spans="5:17">
      <c r="E535" s="36"/>
      <c r="F535" s="37"/>
      <c r="G535" s="9" t="s">
        <v>56</v>
      </c>
      <c r="H535" s="12">
        <v>4</v>
      </c>
      <c r="I535" s="12">
        <v>4</v>
      </c>
      <c r="J535" s="12">
        <v>4</v>
      </c>
      <c r="K535" s="12">
        <v>3</v>
      </c>
      <c r="L535" s="12">
        <v>3</v>
      </c>
      <c r="M535" s="12">
        <v>3</v>
      </c>
      <c r="N535" s="12">
        <v>2</v>
      </c>
      <c r="O535" s="30">
        <v>2</v>
      </c>
      <c r="P535" s="31"/>
      <c r="Q535" s="11">
        <v>25</v>
      </c>
    </row>
    <row r="536" spans="5:17">
      <c r="E536" s="7" t="s">
        <v>57</v>
      </c>
      <c r="F536" s="13">
        <v>8.5399999999999991</v>
      </c>
      <c r="G536" s="9" t="s">
        <v>58</v>
      </c>
      <c r="H536" s="12">
        <v>8</v>
      </c>
      <c r="I536" s="12">
        <v>8.5</v>
      </c>
      <c r="J536" s="12">
        <v>8</v>
      </c>
      <c r="K536" s="12">
        <v>7.5</v>
      </c>
      <c r="L536" s="12">
        <v>9</v>
      </c>
      <c r="M536" s="12">
        <v>9</v>
      </c>
      <c r="N536" s="12">
        <v>10</v>
      </c>
      <c r="O536" s="30">
        <v>9.5</v>
      </c>
      <c r="P536" s="31"/>
      <c r="Q536" s="9" t="s">
        <v>37</v>
      </c>
    </row>
    <row r="537" spans="5:17">
      <c r="E537" s="7" t="s">
        <v>59</v>
      </c>
      <c r="F537" s="14">
        <v>8.5399999999999991</v>
      </c>
      <c r="G537" s="9" t="s">
        <v>60</v>
      </c>
      <c r="H537" s="12">
        <v>32</v>
      </c>
      <c r="I537" s="12">
        <v>34</v>
      </c>
      <c r="J537" s="12">
        <v>32</v>
      </c>
      <c r="K537" s="12">
        <v>22.5</v>
      </c>
      <c r="L537" s="12">
        <v>27</v>
      </c>
      <c r="M537" s="12">
        <v>27</v>
      </c>
      <c r="N537" s="12">
        <v>20</v>
      </c>
      <c r="O537" s="30">
        <v>19</v>
      </c>
      <c r="P537" s="31"/>
      <c r="Q537" s="11">
        <v>213.5</v>
      </c>
    </row>
    <row r="538" spans="5:17">
      <c r="E538" s="32" t="s">
        <v>61</v>
      </c>
      <c r="F538" s="31"/>
      <c r="G538" s="9" t="s">
        <v>40</v>
      </c>
      <c r="H538" s="12">
        <v>76</v>
      </c>
      <c r="I538" s="12">
        <v>82</v>
      </c>
      <c r="J538" s="12">
        <v>76</v>
      </c>
      <c r="K538" s="12">
        <v>72</v>
      </c>
      <c r="L538" s="12">
        <v>89</v>
      </c>
      <c r="M538" s="12">
        <v>87</v>
      </c>
      <c r="N538" s="12">
        <v>48</v>
      </c>
      <c r="O538" s="30">
        <v>45</v>
      </c>
      <c r="P538" s="31"/>
      <c r="Q538" s="11">
        <v>575</v>
      </c>
    </row>
    <row r="539" spans="5:17">
      <c r="E539" s="7" t="s">
        <v>62</v>
      </c>
      <c r="F539" s="7"/>
      <c r="G539" s="9" t="s">
        <v>63</v>
      </c>
      <c r="H539" s="12">
        <v>100</v>
      </c>
      <c r="I539" s="12">
        <v>100</v>
      </c>
      <c r="J539" s="12">
        <v>100</v>
      </c>
      <c r="K539" s="12">
        <v>100</v>
      </c>
      <c r="L539" s="12">
        <v>100</v>
      </c>
      <c r="M539" s="12">
        <v>100</v>
      </c>
      <c r="N539" s="12">
        <v>50</v>
      </c>
      <c r="O539" s="30">
        <v>50</v>
      </c>
      <c r="P539" s="31"/>
      <c r="Q539" s="11">
        <v>700</v>
      </c>
    </row>
    <row r="540" spans="5:17">
      <c r="E540" s="32" t="s">
        <v>188</v>
      </c>
      <c r="F540" s="31"/>
      <c r="G540" s="9" t="s">
        <v>65</v>
      </c>
      <c r="H540" s="10" t="s">
        <v>102</v>
      </c>
      <c r="I540" s="10" t="s">
        <v>70</v>
      </c>
      <c r="J540" s="10" t="s">
        <v>102</v>
      </c>
      <c r="K540" s="10" t="s">
        <v>68</v>
      </c>
      <c r="L540" s="10" t="s">
        <v>67</v>
      </c>
      <c r="M540" s="10" t="s">
        <v>67</v>
      </c>
      <c r="N540" s="10" t="s">
        <v>88</v>
      </c>
      <c r="O540" s="30" t="s">
        <v>71</v>
      </c>
      <c r="P540" s="31"/>
      <c r="Q540" s="9" t="s">
        <v>37</v>
      </c>
    </row>
    <row r="541" spans="5:17">
      <c r="E541" s="15" t="s">
        <v>72</v>
      </c>
      <c r="F541" s="15" t="s">
        <v>429</v>
      </c>
      <c r="G541" s="9" t="s">
        <v>74</v>
      </c>
      <c r="H541" s="10" t="s">
        <v>75</v>
      </c>
      <c r="I541" s="10" t="s">
        <v>75</v>
      </c>
      <c r="J541" s="10" t="s">
        <v>75</v>
      </c>
      <c r="K541" s="10" t="s">
        <v>75</v>
      </c>
      <c r="L541" s="10" t="s">
        <v>75</v>
      </c>
      <c r="M541" s="10" t="s">
        <v>75</v>
      </c>
      <c r="N541" s="10" t="s">
        <v>75</v>
      </c>
      <c r="O541" s="30" t="s">
        <v>75</v>
      </c>
      <c r="P541" s="31"/>
      <c r="Q541" s="9" t="s">
        <v>37</v>
      </c>
    </row>
    <row r="542" spans="5:17">
      <c r="E542" s="16" t="s">
        <v>37</v>
      </c>
      <c r="F542" s="16" t="s">
        <v>37</v>
      </c>
      <c r="G542" s="16" t="s">
        <v>37</v>
      </c>
      <c r="H542" s="17" t="s">
        <v>37</v>
      </c>
      <c r="I542" s="17" t="s">
        <v>37</v>
      </c>
      <c r="J542" s="17" t="s">
        <v>37</v>
      </c>
      <c r="K542" s="17" t="s">
        <v>37</v>
      </c>
      <c r="L542" s="17" t="s">
        <v>37</v>
      </c>
      <c r="M542" s="17" t="s">
        <v>37</v>
      </c>
      <c r="N542" s="17" t="s">
        <v>37</v>
      </c>
      <c r="O542" s="41" t="s">
        <v>37</v>
      </c>
      <c r="P542" s="28"/>
      <c r="Q542" s="17" t="s">
        <v>37</v>
      </c>
    </row>
    <row r="543" spans="5:17" ht="0" hidden="1" customHeight="1"/>
    <row r="544" spans="5:17" ht="0.6" customHeight="1"/>
    <row r="545" spans="5:17">
      <c r="E545" s="38" t="s">
        <v>35</v>
      </c>
      <c r="F545" s="31"/>
      <c r="G545" s="4" t="s">
        <v>36</v>
      </c>
      <c r="H545" s="6" t="s">
        <v>37</v>
      </c>
      <c r="I545" s="6" t="s">
        <v>37</v>
      </c>
      <c r="J545" s="6" t="s">
        <v>37</v>
      </c>
      <c r="K545" s="6" t="s">
        <v>37</v>
      </c>
      <c r="L545" s="6" t="s">
        <v>37</v>
      </c>
      <c r="M545" s="6" t="s">
        <v>37</v>
      </c>
      <c r="N545" s="6" t="s">
        <v>37</v>
      </c>
      <c r="O545" s="39" t="s">
        <v>37</v>
      </c>
      <c r="P545" s="28"/>
      <c r="Q545" s="6" t="s">
        <v>37</v>
      </c>
    </row>
    <row r="546" spans="5:17" ht="21">
      <c r="E546" s="32" t="s">
        <v>430</v>
      </c>
      <c r="F546" s="31"/>
      <c r="G546" s="8" t="s">
        <v>39</v>
      </c>
      <c r="H546" s="8" t="s">
        <v>19</v>
      </c>
      <c r="I546" s="8" t="s">
        <v>9</v>
      </c>
      <c r="J546" s="8" t="s">
        <v>21</v>
      </c>
      <c r="K546" s="8" t="s">
        <v>11</v>
      </c>
      <c r="L546" s="8" t="s">
        <v>17</v>
      </c>
      <c r="M546" s="8" t="s">
        <v>27</v>
      </c>
      <c r="N546" s="8" t="s">
        <v>7</v>
      </c>
      <c r="O546" s="40" t="s">
        <v>33</v>
      </c>
      <c r="P546" s="31"/>
      <c r="Q546" s="8" t="s">
        <v>40</v>
      </c>
    </row>
    <row r="547" spans="5:17" ht="22.5">
      <c r="E547" s="7" t="s">
        <v>41</v>
      </c>
      <c r="F547" s="7" t="s">
        <v>431</v>
      </c>
      <c r="G547" s="9" t="s">
        <v>43</v>
      </c>
      <c r="H547" s="10" t="s">
        <v>299</v>
      </c>
      <c r="I547" s="10" t="s">
        <v>121</v>
      </c>
      <c r="J547" s="10" t="s">
        <v>432</v>
      </c>
      <c r="K547" s="10" t="s">
        <v>135</v>
      </c>
      <c r="L547" s="10" t="s">
        <v>287</v>
      </c>
      <c r="M547" s="10" t="s">
        <v>433</v>
      </c>
      <c r="N547" s="10" t="s">
        <v>434</v>
      </c>
      <c r="O547" s="30" t="s">
        <v>51</v>
      </c>
      <c r="P547" s="31"/>
      <c r="Q547" s="9" t="s">
        <v>37</v>
      </c>
    </row>
    <row r="548" spans="5:17">
      <c r="E548" s="32" t="s">
        <v>435</v>
      </c>
      <c r="F548" s="33"/>
      <c r="G548" s="9" t="s">
        <v>53</v>
      </c>
      <c r="H548" s="10" t="s">
        <v>51</v>
      </c>
      <c r="I548" s="10" t="s">
        <v>51</v>
      </c>
      <c r="J548" s="10" t="s">
        <v>51</v>
      </c>
      <c r="K548" s="10" t="s">
        <v>51</v>
      </c>
      <c r="L548" s="10" t="s">
        <v>51</v>
      </c>
      <c r="M548" s="10" t="s">
        <v>51</v>
      </c>
      <c r="N548" s="10" t="s">
        <v>51</v>
      </c>
      <c r="O548" s="30" t="s">
        <v>125</v>
      </c>
      <c r="P548" s="31"/>
      <c r="Q548" s="9" t="s">
        <v>37</v>
      </c>
    </row>
    <row r="549" spans="5:17">
      <c r="E549" s="34"/>
      <c r="F549" s="35"/>
      <c r="G549" s="9" t="s">
        <v>55</v>
      </c>
      <c r="H549" s="10" t="s">
        <v>37</v>
      </c>
      <c r="I549" s="10" t="s">
        <v>37</v>
      </c>
      <c r="J549" s="10" t="s">
        <v>37</v>
      </c>
      <c r="K549" s="10" t="s">
        <v>37</v>
      </c>
      <c r="L549" s="10" t="s">
        <v>37</v>
      </c>
      <c r="M549" s="10" t="s">
        <v>37</v>
      </c>
      <c r="N549" s="10" t="s">
        <v>37</v>
      </c>
      <c r="O549" s="30" t="s">
        <v>37</v>
      </c>
      <c r="P549" s="31"/>
      <c r="Q549" s="11">
        <v>0</v>
      </c>
    </row>
    <row r="550" spans="5:17">
      <c r="E550" s="36"/>
      <c r="F550" s="37"/>
      <c r="G550" s="9" t="s">
        <v>56</v>
      </c>
      <c r="H550" s="12">
        <v>4</v>
      </c>
      <c r="I550" s="12">
        <v>4</v>
      </c>
      <c r="J550" s="12">
        <v>4</v>
      </c>
      <c r="K550" s="12">
        <v>3</v>
      </c>
      <c r="L550" s="12">
        <v>3</v>
      </c>
      <c r="M550" s="12">
        <v>3</v>
      </c>
      <c r="N550" s="12">
        <v>2</v>
      </c>
      <c r="O550" s="30">
        <v>2</v>
      </c>
      <c r="P550" s="31"/>
      <c r="Q550" s="11">
        <v>25</v>
      </c>
    </row>
    <row r="551" spans="5:17">
      <c r="E551" s="7" t="s">
        <v>57</v>
      </c>
      <c r="F551" s="13">
        <v>7.94</v>
      </c>
      <c r="G551" s="9" t="s">
        <v>58</v>
      </c>
      <c r="H551" s="12">
        <v>7.5</v>
      </c>
      <c r="I551" s="12">
        <v>7</v>
      </c>
      <c r="J551" s="12">
        <v>8</v>
      </c>
      <c r="K551" s="12">
        <v>6</v>
      </c>
      <c r="L551" s="12">
        <v>9</v>
      </c>
      <c r="M551" s="12">
        <v>8.5</v>
      </c>
      <c r="N551" s="12">
        <v>9.5</v>
      </c>
      <c r="O551" s="30">
        <v>9.5</v>
      </c>
      <c r="P551" s="31"/>
      <c r="Q551" s="9" t="s">
        <v>37</v>
      </c>
    </row>
    <row r="552" spans="5:17">
      <c r="E552" s="7" t="s">
        <v>59</v>
      </c>
      <c r="F552" s="14">
        <v>7.94</v>
      </c>
      <c r="G552" s="9" t="s">
        <v>60</v>
      </c>
      <c r="H552" s="12">
        <v>30</v>
      </c>
      <c r="I552" s="12">
        <v>28</v>
      </c>
      <c r="J552" s="12">
        <v>32</v>
      </c>
      <c r="K552" s="12">
        <v>18</v>
      </c>
      <c r="L552" s="12">
        <v>27</v>
      </c>
      <c r="M552" s="12">
        <v>25.5</v>
      </c>
      <c r="N552" s="12">
        <v>19</v>
      </c>
      <c r="O552" s="30">
        <v>19</v>
      </c>
      <c r="P552" s="31"/>
      <c r="Q552" s="11">
        <v>198.5</v>
      </c>
    </row>
    <row r="553" spans="5:17">
      <c r="E553" s="32" t="s">
        <v>61</v>
      </c>
      <c r="F553" s="31"/>
      <c r="G553" s="9" t="s">
        <v>40</v>
      </c>
      <c r="H553" s="12">
        <v>73</v>
      </c>
      <c r="I553" s="12">
        <v>65</v>
      </c>
      <c r="J553" s="12">
        <v>78</v>
      </c>
      <c r="K553" s="12">
        <v>56</v>
      </c>
      <c r="L553" s="12">
        <v>88</v>
      </c>
      <c r="M553" s="12">
        <v>82</v>
      </c>
      <c r="N553" s="12">
        <v>45</v>
      </c>
      <c r="O553" s="30">
        <v>46</v>
      </c>
      <c r="P553" s="31"/>
      <c r="Q553" s="11">
        <v>533</v>
      </c>
    </row>
    <row r="554" spans="5:17">
      <c r="E554" s="7" t="s">
        <v>62</v>
      </c>
      <c r="F554" s="7"/>
      <c r="G554" s="9" t="s">
        <v>63</v>
      </c>
      <c r="H554" s="12">
        <v>100</v>
      </c>
      <c r="I554" s="12">
        <v>100</v>
      </c>
      <c r="J554" s="12">
        <v>100</v>
      </c>
      <c r="K554" s="12">
        <v>100</v>
      </c>
      <c r="L554" s="12">
        <v>100</v>
      </c>
      <c r="M554" s="12">
        <v>100</v>
      </c>
      <c r="N554" s="12">
        <v>50</v>
      </c>
      <c r="O554" s="30">
        <v>50</v>
      </c>
      <c r="P554" s="31"/>
      <c r="Q554" s="11">
        <v>700</v>
      </c>
    </row>
    <row r="555" spans="5:17">
      <c r="E555" s="32" t="s">
        <v>64</v>
      </c>
      <c r="F555" s="31"/>
      <c r="G555" s="9" t="s">
        <v>65</v>
      </c>
      <c r="H555" s="10" t="s">
        <v>68</v>
      </c>
      <c r="I555" s="10" t="s">
        <v>66</v>
      </c>
      <c r="J555" s="10" t="s">
        <v>102</v>
      </c>
      <c r="K555" s="10" t="s">
        <v>103</v>
      </c>
      <c r="L555" s="10" t="s">
        <v>67</v>
      </c>
      <c r="M555" s="10" t="s">
        <v>70</v>
      </c>
      <c r="N555" s="10" t="s">
        <v>71</v>
      </c>
      <c r="O555" s="30" t="s">
        <v>71</v>
      </c>
      <c r="P555" s="31"/>
      <c r="Q555" s="9" t="s">
        <v>37</v>
      </c>
    </row>
    <row r="556" spans="5:17">
      <c r="E556" s="15" t="s">
        <v>72</v>
      </c>
      <c r="F556" s="15" t="s">
        <v>436</v>
      </c>
      <c r="G556" s="9" t="s">
        <v>74</v>
      </c>
      <c r="H556" s="10" t="s">
        <v>75</v>
      </c>
      <c r="I556" s="10" t="s">
        <v>75</v>
      </c>
      <c r="J556" s="10" t="s">
        <v>75</v>
      </c>
      <c r="K556" s="10" t="s">
        <v>75</v>
      </c>
      <c r="L556" s="10" t="s">
        <v>75</v>
      </c>
      <c r="M556" s="10" t="s">
        <v>75</v>
      </c>
      <c r="N556" s="10" t="s">
        <v>75</v>
      </c>
      <c r="O556" s="30" t="s">
        <v>75</v>
      </c>
      <c r="P556" s="31"/>
      <c r="Q556" s="9" t="s">
        <v>37</v>
      </c>
    </row>
    <row r="557" spans="5:17">
      <c r="E557" s="16" t="s">
        <v>37</v>
      </c>
      <c r="F557" s="16" t="s">
        <v>37</v>
      </c>
      <c r="G557" s="16" t="s">
        <v>37</v>
      </c>
      <c r="H557" s="17" t="s">
        <v>37</v>
      </c>
      <c r="I557" s="17" t="s">
        <v>37</v>
      </c>
      <c r="J557" s="17" t="s">
        <v>37</v>
      </c>
      <c r="K557" s="17" t="s">
        <v>37</v>
      </c>
      <c r="L557" s="17" t="s">
        <v>37</v>
      </c>
      <c r="M557" s="17" t="s">
        <v>37</v>
      </c>
      <c r="N557" s="17" t="s">
        <v>37</v>
      </c>
      <c r="O557" s="41" t="s">
        <v>37</v>
      </c>
      <c r="P557" s="28"/>
      <c r="Q557" s="17" t="s">
        <v>37</v>
      </c>
    </row>
    <row r="558" spans="5:17" ht="0" hidden="1" customHeight="1"/>
    <row r="559" spans="5:17" ht="0.6" customHeight="1"/>
    <row r="560" spans="5:17">
      <c r="E560" s="38" t="s">
        <v>35</v>
      </c>
      <c r="F560" s="31"/>
      <c r="G560" s="4" t="s">
        <v>36</v>
      </c>
      <c r="H560" s="6" t="s">
        <v>37</v>
      </c>
      <c r="I560" s="6" t="s">
        <v>37</v>
      </c>
      <c r="J560" s="6" t="s">
        <v>37</v>
      </c>
      <c r="K560" s="6" t="s">
        <v>37</v>
      </c>
      <c r="L560" s="6" t="s">
        <v>37</v>
      </c>
      <c r="M560" s="6" t="s">
        <v>37</v>
      </c>
      <c r="N560" s="6" t="s">
        <v>37</v>
      </c>
      <c r="O560" s="39" t="s">
        <v>37</v>
      </c>
      <c r="P560" s="28"/>
      <c r="Q560" s="6" t="s">
        <v>37</v>
      </c>
    </row>
    <row r="561" spans="5:17" ht="21">
      <c r="E561" s="32" t="s">
        <v>437</v>
      </c>
      <c r="F561" s="31"/>
      <c r="G561" s="8" t="s">
        <v>39</v>
      </c>
      <c r="H561" s="8" t="s">
        <v>19</v>
      </c>
      <c r="I561" s="8" t="s">
        <v>9</v>
      </c>
      <c r="J561" s="8" t="s">
        <v>21</v>
      </c>
      <c r="K561" s="8" t="s">
        <v>11</v>
      </c>
      <c r="L561" s="8" t="s">
        <v>17</v>
      </c>
      <c r="M561" s="8" t="s">
        <v>27</v>
      </c>
      <c r="N561" s="8" t="s">
        <v>7</v>
      </c>
      <c r="O561" s="40" t="s">
        <v>29</v>
      </c>
      <c r="P561" s="31"/>
      <c r="Q561" s="8" t="s">
        <v>40</v>
      </c>
    </row>
    <row r="562" spans="5:17" ht="22.5">
      <c r="E562" s="7" t="s">
        <v>41</v>
      </c>
      <c r="F562" s="7" t="s">
        <v>438</v>
      </c>
      <c r="G562" s="9" t="s">
        <v>43</v>
      </c>
      <c r="H562" s="10" t="s">
        <v>439</v>
      </c>
      <c r="I562" s="10" t="s">
        <v>132</v>
      </c>
      <c r="J562" s="10" t="s">
        <v>133</v>
      </c>
      <c r="K562" s="10" t="s">
        <v>440</v>
      </c>
      <c r="L562" s="10" t="s">
        <v>226</v>
      </c>
      <c r="M562" s="10" t="s">
        <v>441</v>
      </c>
      <c r="N562" s="10" t="s">
        <v>442</v>
      </c>
      <c r="O562" s="30" t="s">
        <v>51</v>
      </c>
      <c r="P562" s="31"/>
      <c r="Q562" s="9" t="s">
        <v>37</v>
      </c>
    </row>
    <row r="563" spans="5:17">
      <c r="E563" s="32" t="s">
        <v>443</v>
      </c>
      <c r="F563" s="33"/>
      <c r="G563" s="9" t="s">
        <v>53</v>
      </c>
      <c r="H563" s="10" t="s">
        <v>51</v>
      </c>
      <c r="I563" s="10" t="s">
        <v>51</v>
      </c>
      <c r="J563" s="10" t="s">
        <v>51</v>
      </c>
      <c r="K563" s="10" t="s">
        <v>51</v>
      </c>
      <c r="L563" s="10" t="s">
        <v>51</v>
      </c>
      <c r="M563" s="10" t="s">
        <v>51</v>
      </c>
      <c r="N563" s="10" t="s">
        <v>51</v>
      </c>
      <c r="O563" s="30" t="s">
        <v>54</v>
      </c>
      <c r="P563" s="31"/>
      <c r="Q563" s="9" t="s">
        <v>37</v>
      </c>
    </row>
    <row r="564" spans="5:17">
      <c r="E564" s="34"/>
      <c r="F564" s="35"/>
      <c r="G564" s="9" t="s">
        <v>55</v>
      </c>
      <c r="H564" s="10" t="s">
        <v>37</v>
      </c>
      <c r="I564" s="10" t="s">
        <v>37</v>
      </c>
      <c r="J564" s="10" t="s">
        <v>37</v>
      </c>
      <c r="K564" s="10" t="s">
        <v>37</v>
      </c>
      <c r="L564" s="10" t="s">
        <v>37</v>
      </c>
      <c r="M564" s="10" t="s">
        <v>37</v>
      </c>
      <c r="N564" s="10" t="s">
        <v>37</v>
      </c>
      <c r="O564" s="30" t="s">
        <v>37</v>
      </c>
      <c r="P564" s="31"/>
      <c r="Q564" s="11">
        <v>0</v>
      </c>
    </row>
    <row r="565" spans="5:17">
      <c r="E565" s="36"/>
      <c r="F565" s="37"/>
      <c r="G565" s="9" t="s">
        <v>56</v>
      </c>
      <c r="H565" s="12">
        <v>4</v>
      </c>
      <c r="I565" s="12">
        <v>4</v>
      </c>
      <c r="J565" s="12">
        <v>4</v>
      </c>
      <c r="K565" s="12">
        <v>3</v>
      </c>
      <c r="L565" s="12">
        <v>3</v>
      </c>
      <c r="M565" s="12">
        <v>3</v>
      </c>
      <c r="N565" s="12">
        <v>2</v>
      </c>
      <c r="O565" s="30">
        <v>2</v>
      </c>
      <c r="P565" s="31"/>
      <c r="Q565" s="11">
        <v>25</v>
      </c>
    </row>
    <row r="566" spans="5:17">
      <c r="E566" s="7" t="s">
        <v>57</v>
      </c>
      <c r="F566" s="13">
        <v>6.74</v>
      </c>
      <c r="G566" s="9" t="s">
        <v>58</v>
      </c>
      <c r="H566" s="12">
        <v>6</v>
      </c>
      <c r="I566" s="12">
        <v>7.5</v>
      </c>
      <c r="J566" s="12">
        <v>5.5</v>
      </c>
      <c r="K566" s="12">
        <v>5.5</v>
      </c>
      <c r="L566" s="12">
        <v>7</v>
      </c>
      <c r="M566" s="12">
        <v>6</v>
      </c>
      <c r="N566" s="12">
        <v>9</v>
      </c>
      <c r="O566" s="30">
        <v>9.5</v>
      </c>
      <c r="P566" s="31"/>
      <c r="Q566" s="9" t="s">
        <v>37</v>
      </c>
    </row>
    <row r="567" spans="5:17">
      <c r="E567" s="7" t="s">
        <v>59</v>
      </c>
      <c r="F567" s="14">
        <v>6.74</v>
      </c>
      <c r="G567" s="9" t="s">
        <v>60</v>
      </c>
      <c r="H567" s="12">
        <v>24</v>
      </c>
      <c r="I567" s="12">
        <v>30</v>
      </c>
      <c r="J567" s="12">
        <v>22</v>
      </c>
      <c r="K567" s="12">
        <v>16.5</v>
      </c>
      <c r="L567" s="12">
        <v>21</v>
      </c>
      <c r="M567" s="12">
        <v>18</v>
      </c>
      <c r="N567" s="12">
        <v>18</v>
      </c>
      <c r="O567" s="30">
        <v>19</v>
      </c>
      <c r="P567" s="31"/>
      <c r="Q567" s="11">
        <v>168.5</v>
      </c>
    </row>
    <row r="568" spans="5:17">
      <c r="E568" s="32" t="s">
        <v>61</v>
      </c>
      <c r="F568" s="31"/>
      <c r="G568" s="9" t="s">
        <v>40</v>
      </c>
      <c r="H568" s="12">
        <v>59</v>
      </c>
      <c r="I568" s="12">
        <v>73</v>
      </c>
      <c r="J568" s="12">
        <v>52</v>
      </c>
      <c r="K568" s="12">
        <v>53</v>
      </c>
      <c r="L568" s="12">
        <v>69</v>
      </c>
      <c r="M568" s="12">
        <v>58</v>
      </c>
      <c r="N568" s="12">
        <v>43</v>
      </c>
      <c r="O568" s="30">
        <v>45</v>
      </c>
      <c r="P568" s="31"/>
      <c r="Q568" s="11">
        <v>452</v>
      </c>
    </row>
    <row r="569" spans="5:17">
      <c r="E569" s="7" t="s">
        <v>62</v>
      </c>
      <c r="F569" s="7"/>
      <c r="G569" s="9" t="s">
        <v>63</v>
      </c>
      <c r="H569" s="12">
        <v>100</v>
      </c>
      <c r="I569" s="12">
        <v>100</v>
      </c>
      <c r="J569" s="12">
        <v>100</v>
      </c>
      <c r="K569" s="12">
        <v>100</v>
      </c>
      <c r="L569" s="12">
        <v>100</v>
      </c>
      <c r="M569" s="12">
        <v>100</v>
      </c>
      <c r="N569" s="12">
        <v>50</v>
      </c>
      <c r="O569" s="30">
        <v>50</v>
      </c>
      <c r="P569" s="31"/>
      <c r="Q569" s="11">
        <v>700</v>
      </c>
    </row>
    <row r="570" spans="5:17">
      <c r="E570" s="32" t="s">
        <v>126</v>
      </c>
      <c r="F570" s="31"/>
      <c r="G570" s="9" t="s">
        <v>65</v>
      </c>
      <c r="H570" s="10" t="s">
        <v>103</v>
      </c>
      <c r="I570" s="10" t="s">
        <v>68</v>
      </c>
      <c r="J570" s="10" t="s">
        <v>138</v>
      </c>
      <c r="K570" s="10" t="s">
        <v>138</v>
      </c>
      <c r="L570" s="10" t="s">
        <v>66</v>
      </c>
      <c r="M570" s="10" t="s">
        <v>103</v>
      </c>
      <c r="N570" s="10" t="s">
        <v>67</v>
      </c>
      <c r="O570" s="30" t="s">
        <v>71</v>
      </c>
      <c r="P570" s="31"/>
      <c r="Q570" s="9" t="s">
        <v>37</v>
      </c>
    </row>
    <row r="571" spans="5:17">
      <c r="E571" s="15" t="s">
        <v>72</v>
      </c>
      <c r="F571" s="15" t="s">
        <v>444</v>
      </c>
      <c r="G571" s="9" t="s">
        <v>74</v>
      </c>
      <c r="H571" s="10" t="s">
        <v>75</v>
      </c>
      <c r="I571" s="10" t="s">
        <v>75</v>
      </c>
      <c r="J571" s="10" t="s">
        <v>75</v>
      </c>
      <c r="K571" s="10" t="s">
        <v>75</v>
      </c>
      <c r="L571" s="10" t="s">
        <v>75</v>
      </c>
      <c r="M571" s="10" t="s">
        <v>75</v>
      </c>
      <c r="N571" s="10" t="s">
        <v>75</v>
      </c>
      <c r="O571" s="30" t="s">
        <v>75</v>
      </c>
      <c r="P571" s="31"/>
      <c r="Q571" s="9" t="s">
        <v>37</v>
      </c>
    </row>
    <row r="572" spans="5:17">
      <c r="E572" s="16" t="s">
        <v>37</v>
      </c>
      <c r="F572" s="16" t="s">
        <v>37</v>
      </c>
      <c r="G572" s="16" t="s">
        <v>37</v>
      </c>
      <c r="H572" s="17" t="s">
        <v>37</v>
      </c>
      <c r="I572" s="17" t="s">
        <v>37</v>
      </c>
      <c r="J572" s="17" t="s">
        <v>37</v>
      </c>
      <c r="K572" s="17" t="s">
        <v>37</v>
      </c>
      <c r="L572" s="17" t="s">
        <v>37</v>
      </c>
      <c r="M572" s="17" t="s">
        <v>37</v>
      </c>
      <c r="N572" s="17" t="s">
        <v>37</v>
      </c>
      <c r="O572" s="41" t="s">
        <v>37</v>
      </c>
      <c r="P572" s="28"/>
      <c r="Q572" s="17" t="s">
        <v>37</v>
      </c>
    </row>
    <row r="573" spans="5:17" ht="0" hidden="1" customHeight="1"/>
    <row r="574" spans="5:17" ht="0.6" customHeight="1"/>
    <row r="575" spans="5:17">
      <c r="E575" s="38" t="s">
        <v>35</v>
      </c>
      <c r="F575" s="31"/>
      <c r="G575" s="4" t="s">
        <v>36</v>
      </c>
      <c r="H575" s="6" t="s">
        <v>37</v>
      </c>
      <c r="I575" s="6" t="s">
        <v>37</v>
      </c>
      <c r="J575" s="6" t="s">
        <v>37</v>
      </c>
      <c r="K575" s="6" t="s">
        <v>37</v>
      </c>
      <c r="L575" s="6" t="s">
        <v>37</v>
      </c>
      <c r="M575" s="6" t="s">
        <v>37</v>
      </c>
      <c r="N575" s="6" t="s">
        <v>37</v>
      </c>
      <c r="O575" s="39" t="s">
        <v>37</v>
      </c>
      <c r="P575" s="28"/>
      <c r="Q575" s="6" t="s">
        <v>37</v>
      </c>
    </row>
    <row r="576" spans="5:17" ht="21">
      <c r="E576" s="32" t="s">
        <v>445</v>
      </c>
      <c r="F576" s="31"/>
      <c r="G576" s="8" t="s">
        <v>39</v>
      </c>
      <c r="H576" s="8" t="s">
        <v>19</v>
      </c>
      <c r="I576" s="8" t="s">
        <v>9</v>
      </c>
      <c r="J576" s="8" t="s">
        <v>21</v>
      </c>
      <c r="K576" s="8" t="s">
        <v>11</v>
      </c>
      <c r="L576" s="8" t="s">
        <v>17</v>
      </c>
      <c r="M576" s="8" t="s">
        <v>27</v>
      </c>
      <c r="N576" s="8" t="s">
        <v>7</v>
      </c>
      <c r="O576" s="40" t="s">
        <v>29</v>
      </c>
      <c r="P576" s="31"/>
      <c r="Q576" s="8" t="s">
        <v>40</v>
      </c>
    </row>
    <row r="577" spans="5:17" ht="22.5">
      <c r="E577" s="7" t="s">
        <v>41</v>
      </c>
      <c r="F577" s="7" t="s">
        <v>446</v>
      </c>
      <c r="G577" s="9" t="s">
        <v>43</v>
      </c>
      <c r="H577" s="10" t="s">
        <v>447</v>
      </c>
      <c r="I577" s="10" t="s">
        <v>448</v>
      </c>
      <c r="J577" s="10" t="s">
        <v>107</v>
      </c>
      <c r="K577" s="10" t="s">
        <v>449</v>
      </c>
      <c r="L577" s="10" t="s">
        <v>245</v>
      </c>
      <c r="M577" s="10" t="s">
        <v>280</v>
      </c>
      <c r="N577" s="10" t="s">
        <v>218</v>
      </c>
      <c r="O577" s="30" t="s">
        <v>51</v>
      </c>
      <c r="P577" s="31"/>
      <c r="Q577" s="9" t="s">
        <v>37</v>
      </c>
    </row>
    <row r="578" spans="5:17">
      <c r="E578" s="32" t="s">
        <v>450</v>
      </c>
      <c r="F578" s="33"/>
      <c r="G578" s="9" t="s">
        <v>53</v>
      </c>
      <c r="H578" s="10" t="s">
        <v>51</v>
      </c>
      <c r="I578" s="10" t="s">
        <v>51</v>
      </c>
      <c r="J578" s="10" t="s">
        <v>51</v>
      </c>
      <c r="K578" s="10" t="s">
        <v>51</v>
      </c>
      <c r="L578" s="10" t="s">
        <v>51</v>
      </c>
      <c r="M578" s="10" t="s">
        <v>51</v>
      </c>
      <c r="N578" s="10" t="s">
        <v>51</v>
      </c>
      <c r="O578" s="30" t="s">
        <v>125</v>
      </c>
      <c r="P578" s="31"/>
      <c r="Q578" s="9" t="s">
        <v>37</v>
      </c>
    </row>
    <row r="579" spans="5:17">
      <c r="E579" s="34"/>
      <c r="F579" s="35"/>
      <c r="G579" s="9" t="s">
        <v>55</v>
      </c>
      <c r="H579" s="10" t="s">
        <v>37</v>
      </c>
      <c r="I579" s="10" t="s">
        <v>37</v>
      </c>
      <c r="J579" s="10" t="s">
        <v>37</v>
      </c>
      <c r="K579" s="10" t="s">
        <v>37</v>
      </c>
      <c r="L579" s="10" t="s">
        <v>37</v>
      </c>
      <c r="M579" s="10" t="s">
        <v>37</v>
      </c>
      <c r="N579" s="10" t="s">
        <v>37</v>
      </c>
      <c r="O579" s="30" t="s">
        <v>37</v>
      </c>
      <c r="P579" s="31"/>
      <c r="Q579" s="11">
        <v>0</v>
      </c>
    </row>
    <row r="580" spans="5:17">
      <c r="E580" s="36"/>
      <c r="F580" s="37"/>
      <c r="G580" s="9" t="s">
        <v>56</v>
      </c>
      <c r="H580" s="12">
        <v>4</v>
      </c>
      <c r="I580" s="12">
        <v>4</v>
      </c>
      <c r="J580" s="12">
        <v>4</v>
      </c>
      <c r="K580" s="12">
        <v>3</v>
      </c>
      <c r="L580" s="12">
        <v>3</v>
      </c>
      <c r="M580" s="12">
        <v>3</v>
      </c>
      <c r="N580" s="12">
        <v>2</v>
      </c>
      <c r="O580" s="30">
        <v>2</v>
      </c>
      <c r="P580" s="31"/>
      <c r="Q580" s="11">
        <v>25</v>
      </c>
    </row>
    <row r="581" spans="5:17">
      <c r="E581" s="7" t="s">
        <v>57</v>
      </c>
      <c r="F581" s="13">
        <v>8.1199999999999992</v>
      </c>
      <c r="G581" s="9" t="s">
        <v>58</v>
      </c>
      <c r="H581" s="12">
        <v>7.5</v>
      </c>
      <c r="I581" s="12">
        <v>8</v>
      </c>
      <c r="J581" s="12">
        <v>7</v>
      </c>
      <c r="K581" s="12">
        <v>7.5</v>
      </c>
      <c r="L581" s="12">
        <v>8.5</v>
      </c>
      <c r="M581" s="12">
        <v>9</v>
      </c>
      <c r="N581" s="12">
        <v>9.5</v>
      </c>
      <c r="O581" s="30">
        <v>9.5</v>
      </c>
      <c r="P581" s="31"/>
      <c r="Q581" s="9" t="s">
        <v>37</v>
      </c>
    </row>
    <row r="582" spans="5:17">
      <c r="E582" s="7" t="s">
        <v>59</v>
      </c>
      <c r="F582" s="14">
        <v>8.1199999999999992</v>
      </c>
      <c r="G582" s="9" t="s">
        <v>60</v>
      </c>
      <c r="H582" s="12">
        <v>30</v>
      </c>
      <c r="I582" s="12">
        <v>32</v>
      </c>
      <c r="J582" s="12">
        <v>28</v>
      </c>
      <c r="K582" s="12">
        <v>22.5</v>
      </c>
      <c r="L582" s="12">
        <v>25.5</v>
      </c>
      <c r="M582" s="12">
        <v>27</v>
      </c>
      <c r="N582" s="12">
        <v>19</v>
      </c>
      <c r="O582" s="30">
        <v>19</v>
      </c>
      <c r="P582" s="31"/>
      <c r="Q582" s="11">
        <v>203</v>
      </c>
    </row>
    <row r="583" spans="5:17">
      <c r="E583" s="32" t="s">
        <v>61</v>
      </c>
      <c r="F583" s="31"/>
      <c r="G583" s="9" t="s">
        <v>40</v>
      </c>
      <c r="H583" s="12">
        <v>73</v>
      </c>
      <c r="I583" s="12">
        <v>77</v>
      </c>
      <c r="J583" s="12">
        <v>69</v>
      </c>
      <c r="K583" s="12">
        <v>70</v>
      </c>
      <c r="L583" s="12">
        <v>80</v>
      </c>
      <c r="M583" s="12">
        <v>86</v>
      </c>
      <c r="N583" s="12">
        <v>47</v>
      </c>
      <c r="O583" s="30">
        <v>46</v>
      </c>
      <c r="P583" s="31"/>
      <c r="Q583" s="11">
        <v>548</v>
      </c>
    </row>
    <row r="584" spans="5:17">
      <c r="E584" s="7" t="s">
        <v>62</v>
      </c>
      <c r="F584" s="7"/>
      <c r="G584" s="9" t="s">
        <v>63</v>
      </c>
      <c r="H584" s="12">
        <v>100</v>
      </c>
      <c r="I584" s="12">
        <v>100</v>
      </c>
      <c r="J584" s="12">
        <v>100</v>
      </c>
      <c r="K584" s="12">
        <v>100</v>
      </c>
      <c r="L584" s="12">
        <v>100</v>
      </c>
      <c r="M584" s="12">
        <v>100</v>
      </c>
      <c r="N584" s="12">
        <v>50</v>
      </c>
      <c r="O584" s="30">
        <v>50</v>
      </c>
      <c r="P584" s="31"/>
      <c r="Q584" s="11">
        <v>700</v>
      </c>
    </row>
    <row r="585" spans="5:17">
      <c r="E585" s="32" t="s">
        <v>200</v>
      </c>
      <c r="F585" s="31"/>
      <c r="G585" s="9" t="s">
        <v>65</v>
      </c>
      <c r="H585" s="10" t="s">
        <v>68</v>
      </c>
      <c r="I585" s="10" t="s">
        <v>102</v>
      </c>
      <c r="J585" s="10" t="s">
        <v>66</v>
      </c>
      <c r="K585" s="10" t="s">
        <v>68</v>
      </c>
      <c r="L585" s="10" t="s">
        <v>70</v>
      </c>
      <c r="M585" s="10" t="s">
        <v>67</v>
      </c>
      <c r="N585" s="10" t="s">
        <v>71</v>
      </c>
      <c r="O585" s="30" t="s">
        <v>71</v>
      </c>
      <c r="P585" s="31"/>
      <c r="Q585" s="9" t="s">
        <v>37</v>
      </c>
    </row>
    <row r="586" spans="5:17">
      <c r="E586" s="15" t="s">
        <v>72</v>
      </c>
      <c r="F586" s="15" t="s">
        <v>451</v>
      </c>
      <c r="G586" s="9" t="s">
        <v>74</v>
      </c>
      <c r="H586" s="10" t="s">
        <v>75</v>
      </c>
      <c r="I586" s="10" t="s">
        <v>75</v>
      </c>
      <c r="J586" s="10" t="s">
        <v>75</v>
      </c>
      <c r="K586" s="10" t="s">
        <v>75</v>
      </c>
      <c r="L586" s="10" t="s">
        <v>75</v>
      </c>
      <c r="M586" s="10" t="s">
        <v>75</v>
      </c>
      <c r="N586" s="10" t="s">
        <v>75</v>
      </c>
      <c r="O586" s="30" t="s">
        <v>75</v>
      </c>
      <c r="P586" s="31"/>
      <c r="Q586" s="9" t="s">
        <v>37</v>
      </c>
    </row>
    <row r="587" spans="5:17">
      <c r="E587" s="16" t="s">
        <v>37</v>
      </c>
      <c r="F587" s="16" t="s">
        <v>37</v>
      </c>
      <c r="G587" s="16" t="s">
        <v>37</v>
      </c>
      <c r="H587" s="17" t="s">
        <v>37</v>
      </c>
      <c r="I587" s="17" t="s">
        <v>37</v>
      </c>
      <c r="J587" s="17" t="s">
        <v>37</v>
      </c>
      <c r="K587" s="17" t="s">
        <v>37</v>
      </c>
      <c r="L587" s="17" t="s">
        <v>37</v>
      </c>
      <c r="M587" s="17" t="s">
        <v>37</v>
      </c>
      <c r="N587" s="17" t="s">
        <v>37</v>
      </c>
      <c r="O587" s="41" t="s">
        <v>37</v>
      </c>
      <c r="P587" s="28"/>
      <c r="Q587" s="17" t="s">
        <v>37</v>
      </c>
    </row>
    <row r="588" spans="5:17" ht="0.6" customHeight="1"/>
    <row r="589" spans="5:17">
      <c r="E589" s="38" t="s">
        <v>35</v>
      </c>
      <c r="F589" s="31"/>
      <c r="G589" s="4" t="s">
        <v>36</v>
      </c>
      <c r="H589" s="6" t="s">
        <v>37</v>
      </c>
      <c r="I589" s="6" t="s">
        <v>37</v>
      </c>
      <c r="J589" s="6" t="s">
        <v>37</v>
      </c>
      <c r="K589" s="6" t="s">
        <v>37</v>
      </c>
      <c r="L589" s="6" t="s">
        <v>37</v>
      </c>
      <c r="M589" s="6" t="s">
        <v>37</v>
      </c>
      <c r="N589" s="6" t="s">
        <v>37</v>
      </c>
      <c r="O589" s="39" t="s">
        <v>37</v>
      </c>
      <c r="P589" s="28"/>
      <c r="Q589" s="6" t="s">
        <v>37</v>
      </c>
    </row>
    <row r="590" spans="5:17" ht="21">
      <c r="E590" s="32" t="s">
        <v>452</v>
      </c>
      <c r="F590" s="31"/>
      <c r="G590" s="8" t="s">
        <v>39</v>
      </c>
      <c r="H590" s="8" t="s">
        <v>19</v>
      </c>
      <c r="I590" s="8" t="s">
        <v>9</v>
      </c>
      <c r="J590" s="8" t="s">
        <v>21</v>
      </c>
      <c r="K590" s="8" t="s">
        <v>11</v>
      </c>
      <c r="L590" s="8" t="s">
        <v>17</v>
      </c>
      <c r="M590" s="8" t="s">
        <v>27</v>
      </c>
      <c r="N590" s="8" t="s">
        <v>7</v>
      </c>
      <c r="O590" s="40" t="s">
        <v>29</v>
      </c>
      <c r="P590" s="31"/>
      <c r="Q590" s="8" t="s">
        <v>40</v>
      </c>
    </row>
    <row r="591" spans="5:17" ht="22.5">
      <c r="E591" s="7" t="s">
        <v>41</v>
      </c>
      <c r="F591" s="7" t="s">
        <v>453</v>
      </c>
      <c r="G591" s="9" t="s">
        <v>43</v>
      </c>
      <c r="H591" s="10" t="s">
        <v>45</v>
      </c>
      <c r="I591" s="10" t="s">
        <v>287</v>
      </c>
      <c r="J591" s="10" t="s">
        <v>427</v>
      </c>
      <c r="K591" s="10" t="s">
        <v>454</v>
      </c>
      <c r="L591" s="10" t="s">
        <v>287</v>
      </c>
      <c r="M591" s="10" t="s">
        <v>455</v>
      </c>
      <c r="N591" s="10" t="s">
        <v>209</v>
      </c>
      <c r="O591" s="30" t="s">
        <v>51</v>
      </c>
      <c r="P591" s="31"/>
      <c r="Q591" s="9" t="s">
        <v>37</v>
      </c>
    </row>
    <row r="592" spans="5:17">
      <c r="E592" s="32" t="s">
        <v>456</v>
      </c>
      <c r="F592" s="33"/>
      <c r="G592" s="9" t="s">
        <v>53</v>
      </c>
      <c r="H592" s="10" t="s">
        <v>51</v>
      </c>
      <c r="I592" s="10" t="s">
        <v>51</v>
      </c>
      <c r="J592" s="10" t="s">
        <v>51</v>
      </c>
      <c r="K592" s="10" t="s">
        <v>51</v>
      </c>
      <c r="L592" s="10" t="s">
        <v>51</v>
      </c>
      <c r="M592" s="10" t="s">
        <v>51</v>
      </c>
      <c r="N592" s="10" t="s">
        <v>51</v>
      </c>
      <c r="O592" s="30" t="s">
        <v>125</v>
      </c>
      <c r="P592" s="31"/>
      <c r="Q592" s="9" t="s">
        <v>37</v>
      </c>
    </row>
    <row r="593" spans="5:17">
      <c r="E593" s="34"/>
      <c r="F593" s="35"/>
      <c r="G593" s="9" t="s">
        <v>55</v>
      </c>
      <c r="H593" s="10" t="s">
        <v>37</v>
      </c>
      <c r="I593" s="10" t="s">
        <v>37</v>
      </c>
      <c r="J593" s="10" t="s">
        <v>37</v>
      </c>
      <c r="K593" s="10" t="s">
        <v>37</v>
      </c>
      <c r="L593" s="10" t="s">
        <v>37</v>
      </c>
      <c r="M593" s="10" t="s">
        <v>37</v>
      </c>
      <c r="N593" s="10" t="s">
        <v>37</v>
      </c>
      <c r="O593" s="30" t="s">
        <v>37</v>
      </c>
      <c r="P593" s="31"/>
      <c r="Q593" s="11">
        <v>0</v>
      </c>
    </row>
    <row r="594" spans="5:17">
      <c r="E594" s="36"/>
      <c r="F594" s="37"/>
      <c r="G594" s="9" t="s">
        <v>56</v>
      </c>
      <c r="H594" s="12">
        <v>4</v>
      </c>
      <c r="I594" s="12">
        <v>4</v>
      </c>
      <c r="J594" s="12">
        <v>4</v>
      </c>
      <c r="K594" s="12">
        <v>3</v>
      </c>
      <c r="L594" s="12">
        <v>3</v>
      </c>
      <c r="M594" s="12">
        <v>3</v>
      </c>
      <c r="N594" s="12">
        <v>2</v>
      </c>
      <c r="O594" s="30">
        <v>2</v>
      </c>
      <c r="P594" s="31"/>
      <c r="Q594" s="11">
        <v>25</v>
      </c>
    </row>
    <row r="595" spans="5:17">
      <c r="E595" s="7" t="s">
        <v>57</v>
      </c>
      <c r="F595" s="13">
        <v>8.94</v>
      </c>
      <c r="G595" s="9" t="s">
        <v>58</v>
      </c>
      <c r="H595" s="12">
        <v>9</v>
      </c>
      <c r="I595" s="12">
        <v>9</v>
      </c>
      <c r="J595" s="12">
        <v>9</v>
      </c>
      <c r="K595" s="12">
        <v>8</v>
      </c>
      <c r="L595" s="12">
        <v>9</v>
      </c>
      <c r="M595" s="12">
        <v>8.5</v>
      </c>
      <c r="N595" s="12">
        <v>10</v>
      </c>
      <c r="O595" s="30">
        <v>9.5</v>
      </c>
      <c r="P595" s="31"/>
      <c r="Q595" s="9" t="s">
        <v>37</v>
      </c>
    </row>
    <row r="596" spans="5:17">
      <c r="E596" s="7" t="s">
        <v>59</v>
      </c>
      <c r="F596" s="14">
        <v>8.94</v>
      </c>
      <c r="G596" s="9" t="s">
        <v>60</v>
      </c>
      <c r="H596" s="12">
        <v>36</v>
      </c>
      <c r="I596" s="12">
        <v>36</v>
      </c>
      <c r="J596" s="12">
        <v>36</v>
      </c>
      <c r="K596" s="12">
        <v>24</v>
      </c>
      <c r="L596" s="12">
        <v>27</v>
      </c>
      <c r="M596" s="12">
        <v>25.5</v>
      </c>
      <c r="N596" s="12">
        <v>20</v>
      </c>
      <c r="O596" s="30">
        <v>19</v>
      </c>
      <c r="P596" s="31"/>
      <c r="Q596" s="11">
        <v>223.5</v>
      </c>
    </row>
    <row r="597" spans="5:17">
      <c r="E597" s="32" t="s">
        <v>61</v>
      </c>
      <c r="F597" s="31"/>
      <c r="G597" s="9" t="s">
        <v>40</v>
      </c>
      <c r="H597" s="12">
        <v>89</v>
      </c>
      <c r="I597" s="12">
        <v>88</v>
      </c>
      <c r="J597" s="12">
        <v>87</v>
      </c>
      <c r="K597" s="12">
        <v>77</v>
      </c>
      <c r="L597" s="12">
        <v>88</v>
      </c>
      <c r="M597" s="12">
        <v>84</v>
      </c>
      <c r="N597" s="12">
        <v>50</v>
      </c>
      <c r="O597" s="30">
        <v>46</v>
      </c>
      <c r="P597" s="31"/>
      <c r="Q597" s="11">
        <v>609</v>
      </c>
    </row>
    <row r="598" spans="5:17">
      <c r="E598" s="7" t="s">
        <v>62</v>
      </c>
      <c r="F598" s="7"/>
      <c r="G598" s="9" t="s">
        <v>63</v>
      </c>
      <c r="H598" s="12">
        <v>100</v>
      </c>
      <c r="I598" s="12">
        <v>100</v>
      </c>
      <c r="J598" s="12">
        <v>100</v>
      </c>
      <c r="K598" s="12">
        <v>100</v>
      </c>
      <c r="L598" s="12">
        <v>100</v>
      </c>
      <c r="M598" s="12">
        <v>100</v>
      </c>
      <c r="N598" s="12">
        <v>50</v>
      </c>
      <c r="O598" s="30">
        <v>50</v>
      </c>
      <c r="P598" s="31"/>
      <c r="Q598" s="11">
        <v>700</v>
      </c>
    </row>
    <row r="599" spans="5:17">
      <c r="E599" s="32" t="s">
        <v>188</v>
      </c>
      <c r="F599" s="31"/>
      <c r="G599" s="9" t="s">
        <v>65</v>
      </c>
      <c r="H599" s="10" t="s">
        <v>67</v>
      </c>
      <c r="I599" s="10" t="s">
        <v>67</v>
      </c>
      <c r="J599" s="10" t="s">
        <v>67</v>
      </c>
      <c r="K599" s="10" t="s">
        <v>102</v>
      </c>
      <c r="L599" s="10" t="s">
        <v>67</v>
      </c>
      <c r="M599" s="10" t="s">
        <v>70</v>
      </c>
      <c r="N599" s="10" t="s">
        <v>88</v>
      </c>
      <c r="O599" s="30" t="s">
        <v>71</v>
      </c>
      <c r="P599" s="31"/>
      <c r="Q599" s="9" t="s">
        <v>37</v>
      </c>
    </row>
    <row r="600" spans="5:17">
      <c r="E600" s="15" t="s">
        <v>72</v>
      </c>
      <c r="F600" s="15" t="s">
        <v>457</v>
      </c>
      <c r="G600" s="9" t="s">
        <v>74</v>
      </c>
      <c r="H600" s="10" t="s">
        <v>75</v>
      </c>
      <c r="I600" s="10" t="s">
        <v>75</v>
      </c>
      <c r="J600" s="10" t="s">
        <v>75</v>
      </c>
      <c r="K600" s="10" t="s">
        <v>75</v>
      </c>
      <c r="L600" s="10" t="s">
        <v>75</v>
      </c>
      <c r="M600" s="10" t="s">
        <v>75</v>
      </c>
      <c r="N600" s="10" t="s">
        <v>75</v>
      </c>
      <c r="O600" s="30" t="s">
        <v>75</v>
      </c>
      <c r="P600" s="31"/>
      <c r="Q600" s="9" t="s">
        <v>37</v>
      </c>
    </row>
    <row r="601" spans="5:17">
      <c r="E601" s="16" t="s">
        <v>37</v>
      </c>
      <c r="F601" s="16" t="s">
        <v>37</v>
      </c>
      <c r="G601" s="16" t="s">
        <v>37</v>
      </c>
      <c r="H601" s="17" t="s">
        <v>37</v>
      </c>
      <c r="I601" s="17" t="s">
        <v>37</v>
      </c>
      <c r="J601" s="17" t="s">
        <v>37</v>
      </c>
      <c r="K601" s="17" t="s">
        <v>37</v>
      </c>
      <c r="L601" s="17" t="s">
        <v>37</v>
      </c>
      <c r="M601" s="17" t="s">
        <v>37</v>
      </c>
      <c r="N601" s="17" t="s">
        <v>37</v>
      </c>
      <c r="O601" s="41" t="s">
        <v>37</v>
      </c>
      <c r="P601" s="28"/>
      <c r="Q601" s="17" t="s">
        <v>37</v>
      </c>
    </row>
    <row r="602" spans="5:17" ht="0" hidden="1" customHeight="1"/>
    <row r="603" spans="5:17" ht="0.6" customHeight="1"/>
    <row r="604" spans="5:17">
      <c r="E604" s="38" t="s">
        <v>35</v>
      </c>
      <c r="F604" s="31"/>
      <c r="G604" s="4" t="s">
        <v>36</v>
      </c>
      <c r="H604" s="6" t="s">
        <v>37</v>
      </c>
      <c r="I604" s="6" t="s">
        <v>37</v>
      </c>
      <c r="J604" s="6" t="s">
        <v>37</v>
      </c>
      <c r="K604" s="6" t="s">
        <v>37</v>
      </c>
      <c r="L604" s="6" t="s">
        <v>37</v>
      </c>
      <c r="M604" s="6" t="s">
        <v>37</v>
      </c>
      <c r="N604" s="6" t="s">
        <v>37</v>
      </c>
      <c r="O604" s="39" t="s">
        <v>37</v>
      </c>
      <c r="P604" s="28"/>
      <c r="Q604" s="6" t="s">
        <v>37</v>
      </c>
    </row>
    <row r="605" spans="5:17" ht="21">
      <c r="E605" s="32" t="s">
        <v>458</v>
      </c>
      <c r="F605" s="31"/>
      <c r="G605" s="8" t="s">
        <v>39</v>
      </c>
      <c r="H605" s="8" t="s">
        <v>19</v>
      </c>
      <c r="I605" s="8" t="s">
        <v>9</v>
      </c>
      <c r="J605" s="8" t="s">
        <v>21</v>
      </c>
      <c r="K605" s="8" t="s">
        <v>11</v>
      </c>
      <c r="L605" s="8" t="s">
        <v>15</v>
      </c>
      <c r="M605" s="8" t="s">
        <v>27</v>
      </c>
      <c r="N605" s="8" t="s">
        <v>7</v>
      </c>
      <c r="O605" s="40" t="s">
        <v>33</v>
      </c>
      <c r="P605" s="31"/>
      <c r="Q605" s="8" t="s">
        <v>40</v>
      </c>
    </row>
    <row r="606" spans="5:17" ht="22.5">
      <c r="E606" s="7" t="s">
        <v>41</v>
      </c>
      <c r="F606" s="7" t="s">
        <v>459</v>
      </c>
      <c r="G606" s="9" t="s">
        <v>43</v>
      </c>
      <c r="H606" s="10" t="s">
        <v>185</v>
      </c>
      <c r="I606" s="10" t="s">
        <v>460</v>
      </c>
      <c r="J606" s="10" t="s">
        <v>461</v>
      </c>
      <c r="K606" s="10" t="s">
        <v>462</v>
      </c>
      <c r="L606" s="10" t="s">
        <v>463</v>
      </c>
      <c r="M606" s="10" t="s">
        <v>132</v>
      </c>
      <c r="N606" s="10" t="s">
        <v>166</v>
      </c>
      <c r="O606" s="30" t="s">
        <v>51</v>
      </c>
      <c r="P606" s="31"/>
      <c r="Q606" s="9" t="s">
        <v>37</v>
      </c>
    </row>
    <row r="607" spans="5:17">
      <c r="E607" s="32" t="s">
        <v>464</v>
      </c>
      <c r="F607" s="33"/>
      <c r="G607" s="9" t="s">
        <v>53</v>
      </c>
      <c r="H607" s="10" t="s">
        <v>51</v>
      </c>
      <c r="I607" s="10" t="s">
        <v>51</v>
      </c>
      <c r="J607" s="10" t="s">
        <v>51</v>
      </c>
      <c r="K607" s="10" t="s">
        <v>51</v>
      </c>
      <c r="L607" s="10" t="s">
        <v>51</v>
      </c>
      <c r="M607" s="10" t="s">
        <v>51</v>
      </c>
      <c r="N607" s="10" t="s">
        <v>51</v>
      </c>
      <c r="O607" s="30" t="s">
        <v>100</v>
      </c>
      <c r="P607" s="31"/>
      <c r="Q607" s="9" t="s">
        <v>37</v>
      </c>
    </row>
    <row r="608" spans="5:17">
      <c r="E608" s="34"/>
      <c r="F608" s="35"/>
      <c r="G608" s="9" t="s">
        <v>55</v>
      </c>
      <c r="H608" s="10" t="s">
        <v>37</v>
      </c>
      <c r="I608" s="10" t="s">
        <v>37</v>
      </c>
      <c r="J608" s="10" t="s">
        <v>37</v>
      </c>
      <c r="K608" s="10" t="s">
        <v>37</v>
      </c>
      <c r="L608" s="10" t="s">
        <v>37</v>
      </c>
      <c r="M608" s="10" t="s">
        <v>37</v>
      </c>
      <c r="N608" s="10" t="s">
        <v>37</v>
      </c>
      <c r="O608" s="30" t="s">
        <v>37</v>
      </c>
      <c r="P608" s="31"/>
      <c r="Q608" s="11">
        <v>0</v>
      </c>
    </row>
    <row r="609" spans="5:17">
      <c r="E609" s="36"/>
      <c r="F609" s="37"/>
      <c r="G609" s="9" t="s">
        <v>56</v>
      </c>
      <c r="H609" s="12">
        <v>4</v>
      </c>
      <c r="I609" s="12">
        <v>4</v>
      </c>
      <c r="J609" s="12">
        <v>4</v>
      </c>
      <c r="K609" s="12">
        <v>3</v>
      </c>
      <c r="L609" s="12">
        <v>3</v>
      </c>
      <c r="M609" s="12">
        <v>3</v>
      </c>
      <c r="N609" s="12">
        <v>2</v>
      </c>
      <c r="O609" s="30">
        <v>2</v>
      </c>
      <c r="P609" s="31"/>
      <c r="Q609" s="11">
        <v>25</v>
      </c>
    </row>
    <row r="610" spans="5:17">
      <c r="E610" s="7" t="s">
        <v>57</v>
      </c>
      <c r="F610" s="13">
        <v>8.42</v>
      </c>
      <c r="G610" s="9" t="s">
        <v>58</v>
      </c>
      <c r="H610" s="12">
        <v>8.5</v>
      </c>
      <c r="I610" s="12">
        <v>8.5</v>
      </c>
      <c r="J610" s="12">
        <v>8</v>
      </c>
      <c r="K610" s="12">
        <v>8</v>
      </c>
      <c r="L610" s="12">
        <v>8</v>
      </c>
      <c r="M610" s="12">
        <v>7.5</v>
      </c>
      <c r="N610" s="12">
        <v>10</v>
      </c>
      <c r="O610" s="30">
        <v>10</v>
      </c>
      <c r="P610" s="31"/>
      <c r="Q610" s="9" t="s">
        <v>37</v>
      </c>
    </row>
    <row r="611" spans="5:17">
      <c r="E611" s="7" t="s">
        <v>59</v>
      </c>
      <c r="F611" s="14">
        <v>8.42</v>
      </c>
      <c r="G611" s="9" t="s">
        <v>60</v>
      </c>
      <c r="H611" s="12">
        <v>34</v>
      </c>
      <c r="I611" s="12">
        <v>34</v>
      </c>
      <c r="J611" s="12">
        <v>32</v>
      </c>
      <c r="K611" s="12">
        <v>24</v>
      </c>
      <c r="L611" s="12">
        <v>24</v>
      </c>
      <c r="M611" s="12">
        <v>22.5</v>
      </c>
      <c r="N611" s="12">
        <v>20</v>
      </c>
      <c r="O611" s="30">
        <v>20</v>
      </c>
      <c r="P611" s="31"/>
      <c r="Q611" s="11">
        <v>210.5</v>
      </c>
    </row>
    <row r="612" spans="5:17">
      <c r="E612" s="32" t="s">
        <v>61</v>
      </c>
      <c r="F612" s="31"/>
      <c r="G612" s="9" t="s">
        <v>40</v>
      </c>
      <c r="H612" s="12">
        <v>82</v>
      </c>
      <c r="I612" s="12">
        <v>83</v>
      </c>
      <c r="J612" s="12">
        <v>77</v>
      </c>
      <c r="K612" s="12">
        <v>76</v>
      </c>
      <c r="L612" s="12">
        <v>76</v>
      </c>
      <c r="M612" s="12">
        <v>73</v>
      </c>
      <c r="N612" s="12">
        <v>49</v>
      </c>
      <c r="O612" s="30">
        <v>50</v>
      </c>
      <c r="P612" s="31"/>
      <c r="Q612" s="11">
        <v>566</v>
      </c>
    </row>
    <row r="613" spans="5:17">
      <c r="E613" s="7" t="s">
        <v>62</v>
      </c>
      <c r="F613" s="7"/>
      <c r="G613" s="9" t="s">
        <v>63</v>
      </c>
      <c r="H613" s="12">
        <v>100</v>
      </c>
      <c r="I613" s="12">
        <v>100</v>
      </c>
      <c r="J613" s="12">
        <v>100</v>
      </c>
      <c r="K613" s="12">
        <v>100</v>
      </c>
      <c r="L613" s="12">
        <v>100</v>
      </c>
      <c r="M613" s="12">
        <v>100</v>
      </c>
      <c r="N613" s="12">
        <v>50</v>
      </c>
      <c r="O613" s="30">
        <v>50</v>
      </c>
      <c r="P613" s="31"/>
      <c r="Q613" s="11">
        <v>700</v>
      </c>
    </row>
    <row r="614" spans="5:17">
      <c r="E614" s="32" t="s">
        <v>200</v>
      </c>
      <c r="F614" s="31"/>
      <c r="G614" s="9" t="s">
        <v>65</v>
      </c>
      <c r="H614" s="10" t="s">
        <v>70</v>
      </c>
      <c r="I614" s="10" t="s">
        <v>70</v>
      </c>
      <c r="J614" s="10" t="s">
        <v>102</v>
      </c>
      <c r="K614" s="10" t="s">
        <v>102</v>
      </c>
      <c r="L614" s="10" t="s">
        <v>102</v>
      </c>
      <c r="M614" s="10" t="s">
        <v>68</v>
      </c>
      <c r="N614" s="10" t="s">
        <v>88</v>
      </c>
      <c r="O614" s="30" t="s">
        <v>88</v>
      </c>
      <c r="P614" s="31"/>
      <c r="Q614" s="9" t="s">
        <v>37</v>
      </c>
    </row>
    <row r="615" spans="5:17">
      <c r="E615" s="15" t="s">
        <v>72</v>
      </c>
      <c r="F615" s="15" t="s">
        <v>465</v>
      </c>
      <c r="G615" s="9" t="s">
        <v>74</v>
      </c>
      <c r="H615" s="10" t="s">
        <v>75</v>
      </c>
      <c r="I615" s="10" t="s">
        <v>75</v>
      </c>
      <c r="J615" s="10" t="s">
        <v>75</v>
      </c>
      <c r="K615" s="10" t="s">
        <v>75</v>
      </c>
      <c r="L615" s="10" t="s">
        <v>75</v>
      </c>
      <c r="M615" s="10" t="s">
        <v>75</v>
      </c>
      <c r="N615" s="10" t="s">
        <v>75</v>
      </c>
      <c r="O615" s="30" t="s">
        <v>75</v>
      </c>
      <c r="P615" s="31"/>
      <c r="Q615" s="9" t="s">
        <v>37</v>
      </c>
    </row>
    <row r="616" spans="5:17">
      <c r="E616" s="16" t="s">
        <v>37</v>
      </c>
      <c r="F616" s="16" t="s">
        <v>37</v>
      </c>
      <c r="G616" s="16" t="s">
        <v>37</v>
      </c>
      <c r="H616" s="17" t="s">
        <v>37</v>
      </c>
      <c r="I616" s="17" t="s">
        <v>37</v>
      </c>
      <c r="J616" s="17" t="s">
        <v>37</v>
      </c>
      <c r="K616" s="17" t="s">
        <v>37</v>
      </c>
      <c r="L616" s="17" t="s">
        <v>37</v>
      </c>
      <c r="M616" s="17" t="s">
        <v>37</v>
      </c>
      <c r="N616" s="17" t="s">
        <v>37</v>
      </c>
      <c r="O616" s="41" t="s">
        <v>37</v>
      </c>
      <c r="P616" s="28"/>
      <c r="Q616" s="17" t="s">
        <v>37</v>
      </c>
    </row>
    <row r="617" spans="5:17" ht="0" hidden="1" customHeight="1"/>
    <row r="618" spans="5:17" ht="0.6" customHeight="1"/>
    <row r="619" spans="5:17">
      <c r="E619" s="38" t="s">
        <v>35</v>
      </c>
      <c r="F619" s="31"/>
      <c r="G619" s="4" t="s">
        <v>36</v>
      </c>
      <c r="H619" s="6" t="s">
        <v>37</v>
      </c>
      <c r="I619" s="6" t="s">
        <v>37</v>
      </c>
      <c r="J619" s="6" t="s">
        <v>37</v>
      </c>
      <c r="K619" s="6" t="s">
        <v>37</v>
      </c>
      <c r="L619" s="6" t="s">
        <v>37</v>
      </c>
      <c r="M619" s="6" t="s">
        <v>37</v>
      </c>
      <c r="N619" s="6" t="s">
        <v>37</v>
      </c>
      <c r="O619" s="39" t="s">
        <v>37</v>
      </c>
      <c r="P619" s="28"/>
      <c r="Q619" s="6" t="s">
        <v>37</v>
      </c>
    </row>
    <row r="620" spans="5:17" ht="21">
      <c r="E620" s="32" t="s">
        <v>466</v>
      </c>
      <c r="F620" s="31"/>
      <c r="G620" s="8" t="s">
        <v>39</v>
      </c>
      <c r="H620" s="8" t="s">
        <v>19</v>
      </c>
      <c r="I620" s="8" t="s">
        <v>9</v>
      </c>
      <c r="J620" s="8" t="s">
        <v>21</v>
      </c>
      <c r="K620" s="8" t="s">
        <v>11</v>
      </c>
      <c r="L620" s="8" t="s">
        <v>17</v>
      </c>
      <c r="M620" s="8" t="s">
        <v>27</v>
      </c>
      <c r="N620" s="8" t="s">
        <v>7</v>
      </c>
      <c r="O620" s="40" t="s">
        <v>29</v>
      </c>
      <c r="P620" s="31"/>
      <c r="Q620" s="8" t="s">
        <v>40</v>
      </c>
    </row>
    <row r="621" spans="5:17" ht="22.5">
      <c r="E621" s="7" t="s">
        <v>41</v>
      </c>
      <c r="F621" s="7" t="s">
        <v>467</v>
      </c>
      <c r="G621" s="9" t="s">
        <v>43</v>
      </c>
      <c r="H621" s="10" t="s">
        <v>47</v>
      </c>
      <c r="I621" s="10" t="s">
        <v>468</v>
      </c>
      <c r="J621" s="10" t="s">
        <v>469</v>
      </c>
      <c r="K621" s="10" t="s">
        <v>470</v>
      </c>
      <c r="L621" s="10" t="s">
        <v>425</v>
      </c>
      <c r="M621" s="10" t="s">
        <v>471</v>
      </c>
      <c r="N621" s="10" t="s">
        <v>389</v>
      </c>
      <c r="O621" s="30" t="s">
        <v>51</v>
      </c>
      <c r="P621" s="31"/>
      <c r="Q621" s="9" t="s">
        <v>37</v>
      </c>
    </row>
    <row r="622" spans="5:17">
      <c r="E622" s="32" t="s">
        <v>472</v>
      </c>
      <c r="F622" s="33"/>
      <c r="G622" s="9" t="s">
        <v>53</v>
      </c>
      <c r="H622" s="10" t="s">
        <v>51</v>
      </c>
      <c r="I622" s="10" t="s">
        <v>51</v>
      </c>
      <c r="J622" s="10" t="s">
        <v>51</v>
      </c>
      <c r="K622" s="10" t="s">
        <v>51</v>
      </c>
      <c r="L622" s="10" t="s">
        <v>51</v>
      </c>
      <c r="M622" s="10" t="s">
        <v>51</v>
      </c>
      <c r="N622" s="10" t="s">
        <v>51</v>
      </c>
      <c r="O622" s="30" t="s">
        <v>125</v>
      </c>
      <c r="P622" s="31"/>
      <c r="Q622" s="9" t="s">
        <v>37</v>
      </c>
    </row>
    <row r="623" spans="5:17">
      <c r="E623" s="34"/>
      <c r="F623" s="35"/>
      <c r="G623" s="9" t="s">
        <v>55</v>
      </c>
      <c r="H623" s="10" t="s">
        <v>37</v>
      </c>
      <c r="I623" s="10" t="s">
        <v>37</v>
      </c>
      <c r="J623" s="10" t="s">
        <v>37</v>
      </c>
      <c r="K623" s="10" t="s">
        <v>37</v>
      </c>
      <c r="L623" s="10" t="s">
        <v>37</v>
      </c>
      <c r="M623" s="10" t="s">
        <v>37</v>
      </c>
      <c r="N623" s="10" t="s">
        <v>37</v>
      </c>
      <c r="O623" s="30" t="s">
        <v>37</v>
      </c>
      <c r="P623" s="31"/>
      <c r="Q623" s="11">
        <v>0</v>
      </c>
    </row>
    <row r="624" spans="5:17">
      <c r="E624" s="36"/>
      <c r="F624" s="37"/>
      <c r="G624" s="9" t="s">
        <v>56</v>
      </c>
      <c r="H624" s="12">
        <v>4</v>
      </c>
      <c r="I624" s="12">
        <v>4</v>
      </c>
      <c r="J624" s="12">
        <v>4</v>
      </c>
      <c r="K624" s="12">
        <v>3</v>
      </c>
      <c r="L624" s="12">
        <v>3</v>
      </c>
      <c r="M624" s="12">
        <v>3</v>
      </c>
      <c r="N624" s="12">
        <v>2</v>
      </c>
      <c r="O624" s="30">
        <v>2</v>
      </c>
      <c r="P624" s="31"/>
      <c r="Q624" s="11">
        <v>25</v>
      </c>
    </row>
    <row r="625" spans="5:17">
      <c r="E625" s="7" t="s">
        <v>57</v>
      </c>
      <c r="F625" s="13">
        <v>7.3</v>
      </c>
      <c r="G625" s="9" t="s">
        <v>58</v>
      </c>
      <c r="H625" s="12">
        <v>6.5</v>
      </c>
      <c r="I625" s="12">
        <v>8.5</v>
      </c>
      <c r="J625" s="12">
        <v>6.5</v>
      </c>
      <c r="K625" s="12">
        <v>5.5</v>
      </c>
      <c r="L625" s="12">
        <v>8</v>
      </c>
      <c r="M625" s="12">
        <v>6</v>
      </c>
      <c r="N625" s="12">
        <v>9.5</v>
      </c>
      <c r="O625" s="30">
        <v>9.5</v>
      </c>
      <c r="P625" s="31"/>
      <c r="Q625" s="9" t="s">
        <v>37</v>
      </c>
    </row>
    <row r="626" spans="5:17">
      <c r="E626" s="7" t="s">
        <v>59</v>
      </c>
      <c r="F626" s="14">
        <v>7.3</v>
      </c>
      <c r="G626" s="9" t="s">
        <v>60</v>
      </c>
      <c r="H626" s="12">
        <v>26</v>
      </c>
      <c r="I626" s="12">
        <v>34</v>
      </c>
      <c r="J626" s="12">
        <v>26</v>
      </c>
      <c r="K626" s="12">
        <v>16.5</v>
      </c>
      <c r="L626" s="12">
        <v>24</v>
      </c>
      <c r="M626" s="12">
        <v>18</v>
      </c>
      <c r="N626" s="12">
        <v>19</v>
      </c>
      <c r="O626" s="30">
        <v>19</v>
      </c>
      <c r="P626" s="31"/>
      <c r="Q626" s="11">
        <v>182.5</v>
      </c>
    </row>
    <row r="627" spans="5:17">
      <c r="E627" s="32" t="s">
        <v>61</v>
      </c>
      <c r="F627" s="31"/>
      <c r="G627" s="9" t="s">
        <v>40</v>
      </c>
      <c r="H627" s="12">
        <v>60</v>
      </c>
      <c r="I627" s="12">
        <v>81</v>
      </c>
      <c r="J627" s="12">
        <v>63</v>
      </c>
      <c r="K627" s="12">
        <v>52</v>
      </c>
      <c r="L627" s="12">
        <v>76</v>
      </c>
      <c r="M627" s="12">
        <v>59</v>
      </c>
      <c r="N627" s="12">
        <v>46</v>
      </c>
      <c r="O627" s="30">
        <v>46</v>
      </c>
      <c r="P627" s="31"/>
      <c r="Q627" s="11">
        <v>483</v>
      </c>
    </row>
    <row r="628" spans="5:17">
      <c r="E628" s="7" t="s">
        <v>62</v>
      </c>
      <c r="F628" s="7"/>
      <c r="G628" s="9" t="s">
        <v>63</v>
      </c>
      <c r="H628" s="12">
        <v>100</v>
      </c>
      <c r="I628" s="12">
        <v>100</v>
      </c>
      <c r="J628" s="12">
        <v>100</v>
      </c>
      <c r="K628" s="12">
        <v>100</v>
      </c>
      <c r="L628" s="12">
        <v>100</v>
      </c>
      <c r="M628" s="12">
        <v>100</v>
      </c>
      <c r="N628" s="12">
        <v>50</v>
      </c>
      <c r="O628" s="30">
        <v>50</v>
      </c>
      <c r="P628" s="31"/>
      <c r="Q628" s="11">
        <v>700</v>
      </c>
    </row>
    <row r="629" spans="5:17">
      <c r="E629" s="32" t="s">
        <v>101</v>
      </c>
      <c r="F629" s="31"/>
      <c r="G629" s="9" t="s">
        <v>65</v>
      </c>
      <c r="H629" s="10" t="s">
        <v>69</v>
      </c>
      <c r="I629" s="10" t="s">
        <v>70</v>
      </c>
      <c r="J629" s="10" t="s">
        <v>69</v>
      </c>
      <c r="K629" s="10" t="s">
        <v>138</v>
      </c>
      <c r="L629" s="10" t="s">
        <v>102</v>
      </c>
      <c r="M629" s="10" t="s">
        <v>103</v>
      </c>
      <c r="N629" s="10" t="s">
        <v>71</v>
      </c>
      <c r="O629" s="30" t="s">
        <v>71</v>
      </c>
      <c r="P629" s="31"/>
      <c r="Q629" s="9" t="s">
        <v>37</v>
      </c>
    </row>
    <row r="630" spans="5:17">
      <c r="E630" s="15" t="s">
        <v>72</v>
      </c>
      <c r="F630" s="15" t="s">
        <v>473</v>
      </c>
      <c r="G630" s="9" t="s">
        <v>74</v>
      </c>
      <c r="H630" s="10" t="s">
        <v>75</v>
      </c>
      <c r="I630" s="10" t="s">
        <v>75</v>
      </c>
      <c r="J630" s="10" t="s">
        <v>75</v>
      </c>
      <c r="K630" s="10" t="s">
        <v>75</v>
      </c>
      <c r="L630" s="10" t="s">
        <v>75</v>
      </c>
      <c r="M630" s="10" t="s">
        <v>75</v>
      </c>
      <c r="N630" s="10" t="s">
        <v>75</v>
      </c>
      <c r="O630" s="30" t="s">
        <v>75</v>
      </c>
      <c r="P630" s="31"/>
      <c r="Q630" s="9" t="s">
        <v>37</v>
      </c>
    </row>
    <row r="631" spans="5:17">
      <c r="E631" s="16" t="s">
        <v>37</v>
      </c>
      <c r="F631" s="16" t="s">
        <v>37</v>
      </c>
      <c r="G631" s="16" t="s">
        <v>37</v>
      </c>
      <c r="H631" s="17" t="s">
        <v>37</v>
      </c>
      <c r="I631" s="17" t="s">
        <v>37</v>
      </c>
      <c r="J631" s="17" t="s">
        <v>37</v>
      </c>
      <c r="K631" s="17" t="s">
        <v>37</v>
      </c>
      <c r="L631" s="17" t="s">
        <v>37</v>
      </c>
      <c r="M631" s="17" t="s">
        <v>37</v>
      </c>
      <c r="N631" s="17" t="s">
        <v>37</v>
      </c>
      <c r="O631" s="41" t="s">
        <v>37</v>
      </c>
      <c r="P631" s="28"/>
      <c r="Q631" s="17" t="s">
        <v>37</v>
      </c>
    </row>
    <row r="632" spans="5:17" ht="0" hidden="1" customHeight="1"/>
    <row r="633" spans="5:17" ht="0.6" customHeight="1"/>
    <row r="634" spans="5:17">
      <c r="E634" s="38" t="s">
        <v>35</v>
      </c>
      <c r="F634" s="31"/>
      <c r="G634" s="4" t="s">
        <v>36</v>
      </c>
      <c r="H634" s="6" t="s">
        <v>37</v>
      </c>
      <c r="I634" s="6" t="s">
        <v>37</v>
      </c>
      <c r="J634" s="6" t="s">
        <v>37</v>
      </c>
      <c r="K634" s="6" t="s">
        <v>37</v>
      </c>
      <c r="L634" s="6" t="s">
        <v>37</v>
      </c>
      <c r="M634" s="6" t="s">
        <v>37</v>
      </c>
      <c r="N634" s="6" t="s">
        <v>37</v>
      </c>
      <c r="O634" s="39" t="s">
        <v>37</v>
      </c>
      <c r="P634" s="28"/>
      <c r="Q634" s="6" t="s">
        <v>37</v>
      </c>
    </row>
    <row r="635" spans="5:17" ht="21">
      <c r="E635" s="32" t="s">
        <v>474</v>
      </c>
      <c r="F635" s="31"/>
      <c r="G635" s="8" t="s">
        <v>39</v>
      </c>
      <c r="H635" s="8" t="s">
        <v>19</v>
      </c>
      <c r="I635" s="8" t="s">
        <v>9</v>
      </c>
      <c r="J635" s="8" t="s">
        <v>21</v>
      </c>
      <c r="K635" s="8" t="s">
        <v>11</v>
      </c>
      <c r="L635" s="8" t="s">
        <v>17</v>
      </c>
      <c r="M635" s="8" t="s">
        <v>27</v>
      </c>
      <c r="N635" s="8" t="s">
        <v>7</v>
      </c>
      <c r="O635" s="40" t="s">
        <v>23</v>
      </c>
      <c r="P635" s="31"/>
      <c r="Q635" s="8" t="s">
        <v>40</v>
      </c>
    </row>
    <row r="636" spans="5:17" ht="22.5">
      <c r="E636" s="7" t="s">
        <v>41</v>
      </c>
      <c r="F636" s="7" t="s">
        <v>475</v>
      </c>
      <c r="G636" s="9" t="s">
        <v>43</v>
      </c>
      <c r="H636" s="10" t="s">
        <v>476</v>
      </c>
      <c r="I636" s="10" t="s">
        <v>477</v>
      </c>
      <c r="J636" s="10" t="s">
        <v>478</v>
      </c>
      <c r="K636" s="10" t="s">
        <v>479</v>
      </c>
      <c r="L636" s="10" t="s">
        <v>184</v>
      </c>
      <c r="M636" s="10" t="s">
        <v>480</v>
      </c>
      <c r="N636" s="10" t="s">
        <v>218</v>
      </c>
      <c r="O636" s="30" t="s">
        <v>51</v>
      </c>
      <c r="P636" s="31"/>
      <c r="Q636" s="9" t="s">
        <v>37</v>
      </c>
    </row>
    <row r="637" spans="5:17">
      <c r="E637" s="32" t="s">
        <v>481</v>
      </c>
      <c r="F637" s="33"/>
      <c r="G637" s="9" t="s">
        <v>53</v>
      </c>
      <c r="H637" s="10" t="s">
        <v>51</v>
      </c>
      <c r="I637" s="10" t="s">
        <v>51</v>
      </c>
      <c r="J637" s="10" t="s">
        <v>51</v>
      </c>
      <c r="K637" s="10" t="s">
        <v>51</v>
      </c>
      <c r="L637" s="10" t="s">
        <v>51</v>
      </c>
      <c r="M637" s="10" t="s">
        <v>51</v>
      </c>
      <c r="N637" s="10" t="s">
        <v>51</v>
      </c>
      <c r="O637" s="30" t="s">
        <v>482</v>
      </c>
      <c r="P637" s="31"/>
      <c r="Q637" s="9" t="s">
        <v>37</v>
      </c>
    </row>
    <row r="638" spans="5:17">
      <c r="E638" s="34"/>
      <c r="F638" s="35"/>
      <c r="G638" s="9" t="s">
        <v>55</v>
      </c>
      <c r="H638" s="10" t="s">
        <v>37</v>
      </c>
      <c r="I638" s="10" t="s">
        <v>37</v>
      </c>
      <c r="J638" s="10" t="s">
        <v>37</v>
      </c>
      <c r="K638" s="10" t="s">
        <v>37</v>
      </c>
      <c r="L638" s="10" t="s">
        <v>37</v>
      </c>
      <c r="M638" s="10" t="s">
        <v>37</v>
      </c>
      <c r="N638" s="10" t="s">
        <v>37</v>
      </c>
      <c r="O638" s="30" t="s">
        <v>37</v>
      </c>
      <c r="P638" s="31"/>
      <c r="Q638" s="11">
        <v>0</v>
      </c>
    </row>
    <row r="639" spans="5:17">
      <c r="E639" s="36"/>
      <c r="F639" s="37"/>
      <c r="G639" s="9" t="s">
        <v>56</v>
      </c>
      <c r="H639" s="12">
        <v>4</v>
      </c>
      <c r="I639" s="12">
        <v>4</v>
      </c>
      <c r="J639" s="12">
        <v>4</v>
      </c>
      <c r="K639" s="12">
        <v>3</v>
      </c>
      <c r="L639" s="12">
        <v>3</v>
      </c>
      <c r="M639" s="12">
        <v>3</v>
      </c>
      <c r="N639" s="12">
        <v>2</v>
      </c>
      <c r="O639" s="30">
        <v>2</v>
      </c>
      <c r="P639" s="31"/>
      <c r="Q639" s="11">
        <v>25</v>
      </c>
    </row>
    <row r="640" spans="5:17">
      <c r="E640" s="7" t="s">
        <v>57</v>
      </c>
      <c r="F640" s="13">
        <v>8</v>
      </c>
      <c r="G640" s="9" t="s">
        <v>58</v>
      </c>
      <c r="H640" s="12">
        <v>7.5</v>
      </c>
      <c r="I640" s="12">
        <v>10</v>
      </c>
      <c r="J640" s="12">
        <v>7.5</v>
      </c>
      <c r="K640" s="12">
        <v>5.5</v>
      </c>
      <c r="L640" s="12">
        <v>8</v>
      </c>
      <c r="M640" s="12">
        <v>8.5</v>
      </c>
      <c r="N640" s="12">
        <v>9.5</v>
      </c>
      <c r="O640" s="30">
        <v>7.5</v>
      </c>
      <c r="P640" s="31"/>
      <c r="Q640" s="9" t="s">
        <v>37</v>
      </c>
    </row>
    <row r="641" spans="5:17">
      <c r="E641" s="7" t="s">
        <v>59</v>
      </c>
      <c r="F641" s="14">
        <v>8</v>
      </c>
      <c r="G641" s="9" t="s">
        <v>60</v>
      </c>
      <c r="H641" s="12">
        <v>30</v>
      </c>
      <c r="I641" s="12">
        <v>40</v>
      </c>
      <c r="J641" s="12">
        <v>30</v>
      </c>
      <c r="K641" s="12">
        <v>16.5</v>
      </c>
      <c r="L641" s="12">
        <v>24</v>
      </c>
      <c r="M641" s="12">
        <v>25.5</v>
      </c>
      <c r="N641" s="12">
        <v>19</v>
      </c>
      <c r="O641" s="30">
        <v>15</v>
      </c>
      <c r="P641" s="31"/>
      <c r="Q641" s="11">
        <v>200</v>
      </c>
    </row>
    <row r="642" spans="5:17">
      <c r="E642" s="32" t="s">
        <v>61</v>
      </c>
      <c r="F642" s="31"/>
      <c r="G642" s="9" t="s">
        <v>40</v>
      </c>
      <c r="H642" s="12">
        <v>72</v>
      </c>
      <c r="I642" s="12">
        <v>96</v>
      </c>
      <c r="J642" s="12">
        <v>72</v>
      </c>
      <c r="K642" s="12">
        <v>54</v>
      </c>
      <c r="L642" s="12">
        <v>77</v>
      </c>
      <c r="M642" s="12">
        <v>82</v>
      </c>
      <c r="N642" s="12">
        <v>47</v>
      </c>
      <c r="O642" s="30">
        <v>37</v>
      </c>
      <c r="P642" s="31"/>
      <c r="Q642" s="11">
        <v>537</v>
      </c>
    </row>
    <row r="643" spans="5:17">
      <c r="E643" s="7" t="s">
        <v>62</v>
      </c>
      <c r="F643" s="7"/>
      <c r="G643" s="9" t="s">
        <v>63</v>
      </c>
      <c r="H643" s="12">
        <v>100</v>
      </c>
      <c r="I643" s="12">
        <v>100</v>
      </c>
      <c r="J643" s="12">
        <v>100</v>
      </c>
      <c r="K643" s="12">
        <v>100</v>
      </c>
      <c r="L643" s="12">
        <v>100</v>
      </c>
      <c r="M643" s="12">
        <v>100</v>
      </c>
      <c r="N643" s="12">
        <v>50</v>
      </c>
      <c r="O643" s="30">
        <v>50</v>
      </c>
      <c r="P643" s="31"/>
      <c r="Q643" s="11">
        <v>700</v>
      </c>
    </row>
    <row r="644" spans="5:17">
      <c r="E644" s="32" t="s">
        <v>200</v>
      </c>
      <c r="F644" s="31"/>
      <c r="G644" s="9" t="s">
        <v>65</v>
      </c>
      <c r="H644" s="10" t="s">
        <v>68</v>
      </c>
      <c r="I644" s="10" t="s">
        <v>88</v>
      </c>
      <c r="J644" s="10" t="s">
        <v>68</v>
      </c>
      <c r="K644" s="10" t="s">
        <v>138</v>
      </c>
      <c r="L644" s="10" t="s">
        <v>102</v>
      </c>
      <c r="M644" s="10" t="s">
        <v>70</v>
      </c>
      <c r="N644" s="10" t="s">
        <v>71</v>
      </c>
      <c r="O644" s="30" t="s">
        <v>68</v>
      </c>
      <c r="P644" s="31"/>
      <c r="Q644" s="9" t="s">
        <v>37</v>
      </c>
    </row>
    <row r="645" spans="5:17">
      <c r="E645" s="15" t="s">
        <v>72</v>
      </c>
      <c r="F645" s="15" t="s">
        <v>483</v>
      </c>
      <c r="G645" s="9" t="s">
        <v>74</v>
      </c>
      <c r="H645" s="10" t="s">
        <v>75</v>
      </c>
      <c r="I645" s="10" t="s">
        <v>75</v>
      </c>
      <c r="J645" s="10" t="s">
        <v>75</v>
      </c>
      <c r="K645" s="10" t="s">
        <v>75</v>
      </c>
      <c r="L645" s="10" t="s">
        <v>75</v>
      </c>
      <c r="M645" s="10" t="s">
        <v>75</v>
      </c>
      <c r="N645" s="10" t="s">
        <v>75</v>
      </c>
      <c r="O645" s="30" t="s">
        <v>75</v>
      </c>
      <c r="P645" s="31"/>
      <c r="Q645" s="9" t="s">
        <v>37</v>
      </c>
    </row>
    <row r="646" spans="5:17">
      <c r="E646" s="16" t="s">
        <v>37</v>
      </c>
      <c r="F646" s="16" t="s">
        <v>37</v>
      </c>
      <c r="G646" s="16" t="s">
        <v>37</v>
      </c>
      <c r="H646" s="17" t="s">
        <v>37</v>
      </c>
      <c r="I646" s="17" t="s">
        <v>37</v>
      </c>
      <c r="J646" s="17" t="s">
        <v>37</v>
      </c>
      <c r="K646" s="17" t="s">
        <v>37</v>
      </c>
      <c r="L646" s="17" t="s">
        <v>37</v>
      </c>
      <c r="M646" s="17" t="s">
        <v>37</v>
      </c>
      <c r="N646" s="17" t="s">
        <v>37</v>
      </c>
      <c r="O646" s="41" t="s">
        <v>37</v>
      </c>
      <c r="P646" s="28"/>
      <c r="Q646" s="17" t="s">
        <v>37</v>
      </c>
    </row>
    <row r="647" spans="5:17" ht="0" hidden="1" customHeight="1"/>
    <row r="648" spans="5:17" ht="0.6" customHeight="1"/>
    <row r="649" spans="5:17">
      <c r="E649" s="38" t="s">
        <v>35</v>
      </c>
      <c r="F649" s="31"/>
      <c r="G649" s="4" t="s">
        <v>36</v>
      </c>
      <c r="H649" s="6" t="s">
        <v>37</v>
      </c>
      <c r="I649" s="6" t="s">
        <v>37</v>
      </c>
      <c r="J649" s="6" t="s">
        <v>37</v>
      </c>
      <c r="K649" s="6" t="s">
        <v>37</v>
      </c>
      <c r="L649" s="6" t="s">
        <v>37</v>
      </c>
      <c r="M649" s="6" t="s">
        <v>37</v>
      </c>
      <c r="N649" s="6" t="s">
        <v>37</v>
      </c>
      <c r="O649" s="39" t="s">
        <v>37</v>
      </c>
      <c r="P649" s="28"/>
      <c r="Q649" s="6" t="s">
        <v>37</v>
      </c>
    </row>
    <row r="650" spans="5:17" ht="21">
      <c r="E650" s="32" t="s">
        <v>484</v>
      </c>
      <c r="F650" s="31"/>
      <c r="G650" s="8" t="s">
        <v>39</v>
      </c>
      <c r="H650" s="8" t="s">
        <v>19</v>
      </c>
      <c r="I650" s="8" t="s">
        <v>9</v>
      </c>
      <c r="J650" s="8" t="s">
        <v>21</v>
      </c>
      <c r="K650" s="8" t="s">
        <v>11</v>
      </c>
      <c r="L650" s="8" t="s">
        <v>17</v>
      </c>
      <c r="M650" s="8" t="s">
        <v>27</v>
      </c>
      <c r="N650" s="8" t="s">
        <v>7</v>
      </c>
      <c r="O650" s="40" t="s">
        <v>23</v>
      </c>
      <c r="P650" s="31"/>
      <c r="Q650" s="8" t="s">
        <v>40</v>
      </c>
    </row>
    <row r="651" spans="5:17" ht="22.5">
      <c r="E651" s="7" t="s">
        <v>41</v>
      </c>
      <c r="F651" s="7" t="s">
        <v>485</v>
      </c>
      <c r="G651" s="9" t="s">
        <v>43</v>
      </c>
      <c r="H651" s="10" t="s">
        <v>486</v>
      </c>
      <c r="I651" s="10" t="s">
        <v>477</v>
      </c>
      <c r="J651" s="10" t="s">
        <v>487</v>
      </c>
      <c r="K651" s="10" t="s">
        <v>153</v>
      </c>
      <c r="L651" s="10" t="s">
        <v>488</v>
      </c>
      <c r="M651" s="10" t="s">
        <v>489</v>
      </c>
      <c r="N651" s="10" t="s">
        <v>310</v>
      </c>
      <c r="O651" s="30" t="s">
        <v>51</v>
      </c>
      <c r="P651" s="31"/>
      <c r="Q651" s="9" t="s">
        <v>37</v>
      </c>
    </row>
    <row r="652" spans="5:17">
      <c r="E652" s="32" t="s">
        <v>490</v>
      </c>
      <c r="F652" s="33"/>
      <c r="G652" s="9" t="s">
        <v>53</v>
      </c>
      <c r="H652" s="10" t="s">
        <v>51</v>
      </c>
      <c r="I652" s="10" t="s">
        <v>51</v>
      </c>
      <c r="J652" s="10" t="s">
        <v>51</v>
      </c>
      <c r="K652" s="10" t="s">
        <v>51</v>
      </c>
      <c r="L652" s="10" t="s">
        <v>51</v>
      </c>
      <c r="M652" s="10" t="s">
        <v>51</v>
      </c>
      <c r="N652" s="10" t="s">
        <v>51</v>
      </c>
      <c r="O652" s="30" t="s">
        <v>54</v>
      </c>
      <c r="P652" s="31"/>
      <c r="Q652" s="9" t="s">
        <v>37</v>
      </c>
    </row>
    <row r="653" spans="5:17">
      <c r="E653" s="34"/>
      <c r="F653" s="35"/>
      <c r="G653" s="9" t="s">
        <v>55</v>
      </c>
      <c r="H653" s="10" t="s">
        <v>37</v>
      </c>
      <c r="I653" s="10" t="s">
        <v>37</v>
      </c>
      <c r="J653" s="10" t="s">
        <v>37</v>
      </c>
      <c r="K653" s="10" t="s">
        <v>37</v>
      </c>
      <c r="L653" s="10" t="s">
        <v>37</v>
      </c>
      <c r="M653" s="10" t="s">
        <v>37</v>
      </c>
      <c r="N653" s="10" t="s">
        <v>37</v>
      </c>
      <c r="O653" s="30" t="s">
        <v>37</v>
      </c>
      <c r="P653" s="31"/>
      <c r="Q653" s="11">
        <v>0</v>
      </c>
    </row>
    <row r="654" spans="5:17">
      <c r="E654" s="36"/>
      <c r="F654" s="37"/>
      <c r="G654" s="9" t="s">
        <v>56</v>
      </c>
      <c r="H654" s="12">
        <v>4</v>
      </c>
      <c r="I654" s="12">
        <v>4</v>
      </c>
      <c r="J654" s="12">
        <v>4</v>
      </c>
      <c r="K654" s="12">
        <v>3</v>
      </c>
      <c r="L654" s="12">
        <v>3</v>
      </c>
      <c r="M654" s="12">
        <v>3</v>
      </c>
      <c r="N654" s="12">
        <v>2</v>
      </c>
      <c r="O654" s="30">
        <v>2</v>
      </c>
      <c r="P654" s="31"/>
      <c r="Q654" s="11">
        <v>25</v>
      </c>
    </row>
    <row r="655" spans="5:17">
      <c r="E655" s="7" t="s">
        <v>57</v>
      </c>
      <c r="F655" s="13">
        <v>8.64</v>
      </c>
      <c r="G655" s="9" t="s">
        <v>58</v>
      </c>
      <c r="H655" s="12">
        <v>8</v>
      </c>
      <c r="I655" s="12">
        <v>10</v>
      </c>
      <c r="J655" s="12">
        <v>8.5</v>
      </c>
      <c r="K655" s="12">
        <v>6.5</v>
      </c>
      <c r="L655" s="12">
        <v>9.5</v>
      </c>
      <c r="M655" s="12">
        <v>8</v>
      </c>
      <c r="N655" s="12">
        <v>9.5</v>
      </c>
      <c r="O655" s="30">
        <v>9.5</v>
      </c>
      <c r="P655" s="31"/>
      <c r="Q655" s="9" t="s">
        <v>37</v>
      </c>
    </row>
    <row r="656" spans="5:17">
      <c r="E656" s="7" t="s">
        <v>59</v>
      </c>
      <c r="F656" s="14">
        <v>8.64</v>
      </c>
      <c r="G656" s="9" t="s">
        <v>60</v>
      </c>
      <c r="H656" s="12">
        <v>32</v>
      </c>
      <c r="I656" s="12">
        <v>40</v>
      </c>
      <c r="J656" s="12">
        <v>34</v>
      </c>
      <c r="K656" s="12">
        <v>19.5</v>
      </c>
      <c r="L656" s="12">
        <v>28.5</v>
      </c>
      <c r="M656" s="12">
        <v>24</v>
      </c>
      <c r="N656" s="12">
        <v>19</v>
      </c>
      <c r="O656" s="30">
        <v>19</v>
      </c>
      <c r="P656" s="31"/>
      <c r="Q656" s="11">
        <v>216</v>
      </c>
    </row>
    <row r="657" spans="5:17">
      <c r="E657" s="32" t="s">
        <v>61</v>
      </c>
      <c r="F657" s="31"/>
      <c r="G657" s="9" t="s">
        <v>40</v>
      </c>
      <c r="H657" s="12">
        <v>79</v>
      </c>
      <c r="I657" s="12">
        <v>96</v>
      </c>
      <c r="J657" s="12">
        <v>83</v>
      </c>
      <c r="K657" s="12">
        <v>64</v>
      </c>
      <c r="L657" s="12">
        <v>90</v>
      </c>
      <c r="M657" s="12">
        <v>77</v>
      </c>
      <c r="N657" s="12">
        <v>46</v>
      </c>
      <c r="O657" s="30">
        <v>45</v>
      </c>
      <c r="P657" s="31"/>
      <c r="Q657" s="11">
        <v>580</v>
      </c>
    </row>
    <row r="658" spans="5:17">
      <c r="E658" s="7" t="s">
        <v>62</v>
      </c>
      <c r="F658" s="7"/>
      <c r="G658" s="9" t="s">
        <v>63</v>
      </c>
      <c r="H658" s="12">
        <v>100</v>
      </c>
      <c r="I658" s="12">
        <v>100</v>
      </c>
      <c r="J658" s="12">
        <v>100</v>
      </c>
      <c r="K658" s="12">
        <v>100</v>
      </c>
      <c r="L658" s="12">
        <v>100</v>
      </c>
      <c r="M658" s="12">
        <v>100</v>
      </c>
      <c r="N658" s="12">
        <v>50</v>
      </c>
      <c r="O658" s="30">
        <v>50</v>
      </c>
      <c r="P658" s="31"/>
      <c r="Q658" s="11">
        <v>700</v>
      </c>
    </row>
    <row r="659" spans="5:17">
      <c r="E659" s="32" t="s">
        <v>188</v>
      </c>
      <c r="F659" s="31"/>
      <c r="G659" s="9" t="s">
        <v>65</v>
      </c>
      <c r="H659" s="10" t="s">
        <v>102</v>
      </c>
      <c r="I659" s="10" t="s">
        <v>88</v>
      </c>
      <c r="J659" s="10" t="s">
        <v>70</v>
      </c>
      <c r="K659" s="10" t="s">
        <v>69</v>
      </c>
      <c r="L659" s="10" t="s">
        <v>71</v>
      </c>
      <c r="M659" s="10" t="s">
        <v>102</v>
      </c>
      <c r="N659" s="10" t="s">
        <v>71</v>
      </c>
      <c r="O659" s="30" t="s">
        <v>71</v>
      </c>
      <c r="P659" s="31"/>
      <c r="Q659" s="9" t="s">
        <v>37</v>
      </c>
    </row>
    <row r="660" spans="5:17">
      <c r="E660" s="15" t="s">
        <v>72</v>
      </c>
      <c r="F660" s="15" t="s">
        <v>491</v>
      </c>
      <c r="G660" s="9" t="s">
        <v>74</v>
      </c>
      <c r="H660" s="10" t="s">
        <v>75</v>
      </c>
      <c r="I660" s="10" t="s">
        <v>75</v>
      </c>
      <c r="J660" s="10" t="s">
        <v>75</v>
      </c>
      <c r="K660" s="10" t="s">
        <v>75</v>
      </c>
      <c r="L660" s="10" t="s">
        <v>75</v>
      </c>
      <c r="M660" s="10" t="s">
        <v>75</v>
      </c>
      <c r="N660" s="10" t="s">
        <v>75</v>
      </c>
      <c r="O660" s="30" t="s">
        <v>75</v>
      </c>
      <c r="P660" s="31"/>
      <c r="Q660" s="9" t="s">
        <v>37</v>
      </c>
    </row>
    <row r="661" spans="5:17">
      <c r="E661" s="16" t="s">
        <v>37</v>
      </c>
      <c r="F661" s="16" t="s">
        <v>37</v>
      </c>
      <c r="G661" s="16" t="s">
        <v>37</v>
      </c>
      <c r="H661" s="17" t="s">
        <v>37</v>
      </c>
      <c r="I661" s="17" t="s">
        <v>37</v>
      </c>
      <c r="J661" s="17" t="s">
        <v>37</v>
      </c>
      <c r="K661" s="17" t="s">
        <v>37</v>
      </c>
      <c r="L661" s="17" t="s">
        <v>37</v>
      </c>
      <c r="M661" s="17" t="s">
        <v>37</v>
      </c>
      <c r="N661" s="17" t="s">
        <v>37</v>
      </c>
      <c r="O661" s="41" t="s">
        <v>37</v>
      </c>
      <c r="P661" s="28"/>
      <c r="Q661" s="17" t="s">
        <v>37</v>
      </c>
    </row>
    <row r="662" spans="5:17" ht="0" hidden="1" customHeight="1"/>
    <row r="663" spans="5:17" ht="0.6" customHeight="1"/>
    <row r="664" spans="5:17">
      <c r="E664" s="38" t="s">
        <v>35</v>
      </c>
      <c r="F664" s="31"/>
      <c r="G664" s="4" t="s">
        <v>36</v>
      </c>
      <c r="H664" s="6" t="s">
        <v>37</v>
      </c>
      <c r="I664" s="6" t="s">
        <v>37</v>
      </c>
      <c r="J664" s="6" t="s">
        <v>37</v>
      </c>
      <c r="K664" s="6" t="s">
        <v>37</v>
      </c>
      <c r="L664" s="6" t="s">
        <v>37</v>
      </c>
      <c r="M664" s="6" t="s">
        <v>37</v>
      </c>
      <c r="N664" s="6" t="s">
        <v>37</v>
      </c>
      <c r="O664" s="39" t="s">
        <v>37</v>
      </c>
      <c r="P664" s="28"/>
      <c r="Q664" s="6" t="s">
        <v>37</v>
      </c>
    </row>
    <row r="665" spans="5:17" ht="21">
      <c r="E665" s="32" t="s">
        <v>492</v>
      </c>
      <c r="F665" s="31"/>
      <c r="G665" s="8" t="s">
        <v>39</v>
      </c>
      <c r="H665" s="8" t="s">
        <v>19</v>
      </c>
      <c r="I665" s="8" t="s">
        <v>9</v>
      </c>
      <c r="J665" s="8" t="s">
        <v>21</v>
      </c>
      <c r="K665" s="8" t="s">
        <v>11</v>
      </c>
      <c r="L665" s="8" t="s">
        <v>17</v>
      </c>
      <c r="M665" s="8" t="s">
        <v>27</v>
      </c>
      <c r="N665" s="8" t="s">
        <v>7</v>
      </c>
      <c r="O665" s="40" t="s">
        <v>23</v>
      </c>
      <c r="P665" s="31"/>
      <c r="Q665" s="8" t="s">
        <v>40</v>
      </c>
    </row>
    <row r="666" spans="5:17" ht="22.5">
      <c r="E666" s="7" t="s">
        <v>41</v>
      </c>
      <c r="F666" s="7" t="s">
        <v>493</v>
      </c>
      <c r="G666" s="9" t="s">
        <v>43</v>
      </c>
      <c r="H666" s="10" t="s">
        <v>215</v>
      </c>
      <c r="I666" s="10" t="s">
        <v>45</v>
      </c>
      <c r="J666" s="10" t="s">
        <v>494</v>
      </c>
      <c r="K666" s="10" t="s">
        <v>495</v>
      </c>
      <c r="L666" s="10" t="s">
        <v>432</v>
      </c>
      <c r="M666" s="10" t="s">
        <v>496</v>
      </c>
      <c r="N666" s="10" t="s">
        <v>497</v>
      </c>
      <c r="O666" s="30" t="s">
        <v>51</v>
      </c>
      <c r="P666" s="31"/>
      <c r="Q666" s="9" t="s">
        <v>37</v>
      </c>
    </row>
    <row r="667" spans="5:17">
      <c r="E667" s="32" t="s">
        <v>498</v>
      </c>
      <c r="F667" s="33"/>
      <c r="G667" s="9" t="s">
        <v>53</v>
      </c>
      <c r="H667" s="10" t="s">
        <v>51</v>
      </c>
      <c r="I667" s="10" t="s">
        <v>51</v>
      </c>
      <c r="J667" s="10" t="s">
        <v>51</v>
      </c>
      <c r="K667" s="10" t="s">
        <v>51</v>
      </c>
      <c r="L667" s="10" t="s">
        <v>51</v>
      </c>
      <c r="M667" s="10" t="s">
        <v>51</v>
      </c>
      <c r="N667" s="10" t="s">
        <v>51</v>
      </c>
      <c r="O667" s="30" t="s">
        <v>54</v>
      </c>
      <c r="P667" s="31"/>
      <c r="Q667" s="9" t="s">
        <v>37</v>
      </c>
    </row>
    <row r="668" spans="5:17">
      <c r="E668" s="34"/>
      <c r="F668" s="35"/>
      <c r="G668" s="9" t="s">
        <v>55</v>
      </c>
      <c r="H668" s="10" t="s">
        <v>37</v>
      </c>
      <c r="I668" s="10" t="s">
        <v>37</v>
      </c>
      <c r="J668" s="10" t="s">
        <v>37</v>
      </c>
      <c r="K668" s="10" t="s">
        <v>37</v>
      </c>
      <c r="L668" s="10" t="s">
        <v>37</v>
      </c>
      <c r="M668" s="10" t="s">
        <v>37</v>
      </c>
      <c r="N668" s="10" t="s">
        <v>37</v>
      </c>
      <c r="O668" s="30" t="s">
        <v>37</v>
      </c>
      <c r="P668" s="31"/>
      <c r="Q668" s="11">
        <v>0</v>
      </c>
    </row>
    <row r="669" spans="5:17">
      <c r="E669" s="36"/>
      <c r="F669" s="37"/>
      <c r="G669" s="9" t="s">
        <v>56</v>
      </c>
      <c r="H669" s="12">
        <v>4</v>
      </c>
      <c r="I669" s="12">
        <v>4</v>
      </c>
      <c r="J669" s="12">
        <v>4</v>
      </c>
      <c r="K669" s="12">
        <v>3</v>
      </c>
      <c r="L669" s="12">
        <v>3</v>
      </c>
      <c r="M669" s="12">
        <v>3</v>
      </c>
      <c r="N669" s="12">
        <v>2</v>
      </c>
      <c r="O669" s="30">
        <v>2</v>
      </c>
      <c r="P669" s="31"/>
      <c r="Q669" s="11">
        <v>25</v>
      </c>
    </row>
    <row r="670" spans="5:17">
      <c r="E670" s="7" t="s">
        <v>57</v>
      </c>
      <c r="F670" s="13">
        <v>7.8</v>
      </c>
      <c r="G670" s="9" t="s">
        <v>58</v>
      </c>
      <c r="H670" s="12">
        <v>7</v>
      </c>
      <c r="I670" s="12">
        <v>9</v>
      </c>
      <c r="J670" s="12">
        <v>8</v>
      </c>
      <c r="K670" s="12">
        <v>6</v>
      </c>
      <c r="L670" s="12">
        <v>8</v>
      </c>
      <c r="M670" s="12">
        <v>7</v>
      </c>
      <c r="N670" s="12">
        <v>8.5</v>
      </c>
      <c r="O670" s="30">
        <v>9.5</v>
      </c>
      <c r="P670" s="31"/>
      <c r="Q670" s="9" t="s">
        <v>37</v>
      </c>
    </row>
    <row r="671" spans="5:17">
      <c r="E671" s="7" t="s">
        <v>59</v>
      </c>
      <c r="F671" s="14">
        <v>7.8</v>
      </c>
      <c r="G671" s="9" t="s">
        <v>60</v>
      </c>
      <c r="H671" s="12">
        <v>28</v>
      </c>
      <c r="I671" s="12">
        <v>36</v>
      </c>
      <c r="J671" s="12">
        <v>32</v>
      </c>
      <c r="K671" s="12">
        <v>18</v>
      </c>
      <c r="L671" s="12">
        <v>24</v>
      </c>
      <c r="M671" s="12">
        <v>21</v>
      </c>
      <c r="N671" s="12">
        <v>17</v>
      </c>
      <c r="O671" s="30">
        <v>19</v>
      </c>
      <c r="P671" s="31"/>
      <c r="Q671" s="11">
        <v>195</v>
      </c>
    </row>
    <row r="672" spans="5:17">
      <c r="E672" s="32" t="s">
        <v>61</v>
      </c>
      <c r="F672" s="31"/>
      <c r="G672" s="9" t="s">
        <v>40</v>
      </c>
      <c r="H672" s="12">
        <v>68</v>
      </c>
      <c r="I672" s="12">
        <v>89</v>
      </c>
      <c r="J672" s="12">
        <v>76</v>
      </c>
      <c r="K672" s="12">
        <v>58</v>
      </c>
      <c r="L672" s="12">
        <v>78</v>
      </c>
      <c r="M672" s="12">
        <v>67</v>
      </c>
      <c r="N672" s="12">
        <v>40</v>
      </c>
      <c r="O672" s="30">
        <v>45</v>
      </c>
      <c r="P672" s="31"/>
      <c r="Q672" s="11">
        <v>521</v>
      </c>
    </row>
    <row r="673" spans="5:17">
      <c r="E673" s="7" t="s">
        <v>62</v>
      </c>
      <c r="F673" s="7"/>
      <c r="G673" s="9" t="s">
        <v>63</v>
      </c>
      <c r="H673" s="12">
        <v>100</v>
      </c>
      <c r="I673" s="12">
        <v>100</v>
      </c>
      <c r="J673" s="12">
        <v>100</v>
      </c>
      <c r="K673" s="12">
        <v>100</v>
      </c>
      <c r="L673" s="12">
        <v>100</v>
      </c>
      <c r="M673" s="12">
        <v>100</v>
      </c>
      <c r="N673" s="12">
        <v>50</v>
      </c>
      <c r="O673" s="30">
        <v>50</v>
      </c>
      <c r="P673" s="31"/>
      <c r="Q673" s="11">
        <v>700</v>
      </c>
    </row>
    <row r="674" spans="5:17">
      <c r="E674" s="32" t="s">
        <v>64</v>
      </c>
      <c r="F674" s="31"/>
      <c r="G674" s="9" t="s">
        <v>65</v>
      </c>
      <c r="H674" s="10" t="s">
        <v>66</v>
      </c>
      <c r="I674" s="10" t="s">
        <v>67</v>
      </c>
      <c r="J674" s="10" t="s">
        <v>102</v>
      </c>
      <c r="K674" s="10" t="s">
        <v>103</v>
      </c>
      <c r="L674" s="10" t="s">
        <v>102</v>
      </c>
      <c r="M674" s="10" t="s">
        <v>66</v>
      </c>
      <c r="N674" s="10" t="s">
        <v>70</v>
      </c>
      <c r="O674" s="30" t="s">
        <v>71</v>
      </c>
      <c r="P674" s="31"/>
      <c r="Q674" s="9" t="s">
        <v>37</v>
      </c>
    </row>
    <row r="675" spans="5:17">
      <c r="E675" s="15" t="s">
        <v>72</v>
      </c>
      <c r="F675" s="15" t="s">
        <v>499</v>
      </c>
      <c r="G675" s="9" t="s">
        <v>74</v>
      </c>
      <c r="H675" s="10" t="s">
        <v>75</v>
      </c>
      <c r="I675" s="10" t="s">
        <v>75</v>
      </c>
      <c r="J675" s="10" t="s">
        <v>75</v>
      </c>
      <c r="K675" s="10" t="s">
        <v>75</v>
      </c>
      <c r="L675" s="10" t="s">
        <v>75</v>
      </c>
      <c r="M675" s="10" t="s">
        <v>75</v>
      </c>
      <c r="N675" s="10" t="s">
        <v>75</v>
      </c>
      <c r="O675" s="30" t="s">
        <v>75</v>
      </c>
      <c r="P675" s="31"/>
      <c r="Q675" s="9" t="s">
        <v>37</v>
      </c>
    </row>
    <row r="676" spans="5:17">
      <c r="E676" s="16" t="s">
        <v>37</v>
      </c>
      <c r="F676" s="16" t="s">
        <v>37</v>
      </c>
      <c r="G676" s="16" t="s">
        <v>37</v>
      </c>
      <c r="H676" s="17" t="s">
        <v>37</v>
      </c>
      <c r="I676" s="17" t="s">
        <v>37</v>
      </c>
      <c r="J676" s="17" t="s">
        <v>37</v>
      </c>
      <c r="K676" s="17" t="s">
        <v>37</v>
      </c>
      <c r="L676" s="17" t="s">
        <v>37</v>
      </c>
      <c r="M676" s="17" t="s">
        <v>37</v>
      </c>
      <c r="N676" s="17" t="s">
        <v>37</v>
      </c>
      <c r="O676" s="41" t="s">
        <v>37</v>
      </c>
      <c r="P676" s="28"/>
      <c r="Q676" s="17" t="s">
        <v>37</v>
      </c>
    </row>
    <row r="677" spans="5:17" ht="0" hidden="1" customHeight="1"/>
    <row r="678" spans="5:17" ht="0.6" customHeight="1"/>
    <row r="679" spans="5:17">
      <c r="E679" s="38" t="s">
        <v>35</v>
      </c>
      <c r="F679" s="31"/>
      <c r="G679" s="4" t="s">
        <v>36</v>
      </c>
      <c r="H679" s="6" t="s">
        <v>37</v>
      </c>
      <c r="I679" s="6" t="s">
        <v>37</v>
      </c>
      <c r="J679" s="6" t="s">
        <v>37</v>
      </c>
      <c r="K679" s="6" t="s">
        <v>37</v>
      </c>
      <c r="L679" s="6" t="s">
        <v>37</v>
      </c>
      <c r="M679" s="6" t="s">
        <v>37</v>
      </c>
      <c r="N679" s="6" t="s">
        <v>37</v>
      </c>
      <c r="O679" s="39" t="s">
        <v>37</v>
      </c>
      <c r="P679" s="28"/>
      <c r="Q679" s="6" t="s">
        <v>37</v>
      </c>
    </row>
    <row r="680" spans="5:17" ht="21">
      <c r="E680" s="32" t="s">
        <v>500</v>
      </c>
      <c r="F680" s="31"/>
      <c r="G680" s="8" t="s">
        <v>39</v>
      </c>
      <c r="H680" s="8" t="s">
        <v>19</v>
      </c>
      <c r="I680" s="8" t="s">
        <v>9</v>
      </c>
      <c r="J680" s="8" t="s">
        <v>21</v>
      </c>
      <c r="K680" s="8" t="s">
        <v>11</v>
      </c>
      <c r="L680" s="8" t="s">
        <v>17</v>
      </c>
      <c r="M680" s="8" t="s">
        <v>27</v>
      </c>
      <c r="N680" s="8" t="s">
        <v>7</v>
      </c>
      <c r="O680" s="40" t="s">
        <v>23</v>
      </c>
      <c r="P680" s="31"/>
      <c r="Q680" s="8" t="s">
        <v>40</v>
      </c>
    </row>
    <row r="681" spans="5:17" ht="22.5">
      <c r="E681" s="7" t="s">
        <v>41</v>
      </c>
      <c r="F681" s="7" t="s">
        <v>501</v>
      </c>
      <c r="G681" s="9" t="s">
        <v>43</v>
      </c>
      <c r="H681" s="10" t="s">
        <v>307</v>
      </c>
      <c r="I681" s="10" t="s">
        <v>502</v>
      </c>
      <c r="J681" s="10" t="s">
        <v>133</v>
      </c>
      <c r="K681" s="10" t="s">
        <v>503</v>
      </c>
      <c r="L681" s="10" t="s">
        <v>504</v>
      </c>
      <c r="M681" s="10" t="s">
        <v>479</v>
      </c>
      <c r="N681" s="10" t="s">
        <v>505</v>
      </c>
      <c r="O681" s="30" t="s">
        <v>51</v>
      </c>
      <c r="P681" s="31"/>
      <c r="Q681" s="9" t="s">
        <v>37</v>
      </c>
    </row>
    <row r="682" spans="5:17">
      <c r="E682" s="32" t="s">
        <v>506</v>
      </c>
      <c r="F682" s="33"/>
      <c r="G682" s="9" t="s">
        <v>53</v>
      </c>
      <c r="H682" s="10" t="s">
        <v>51</v>
      </c>
      <c r="I682" s="10" t="s">
        <v>51</v>
      </c>
      <c r="J682" s="10" t="s">
        <v>51</v>
      </c>
      <c r="K682" s="10" t="s">
        <v>51</v>
      </c>
      <c r="L682" s="10" t="s">
        <v>51</v>
      </c>
      <c r="M682" s="10" t="s">
        <v>51</v>
      </c>
      <c r="N682" s="10" t="s">
        <v>51</v>
      </c>
      <c r="O682" s="30" t="s">
        <v>54</v>
      </c>
      <c r="P682" s="31"/>
      <c r="Q682" s="9" t="s">
        <v>37</v>
      </c>
    </row>
    <row r="683" spans="5:17">
      <c r="E683" s="34"/>
      <c r="F683" s="35"/>
      <c r="G683" s="9" t="s">
        <v>55</v>
      </c>
      <c r="H683" s="10" t="s">
        <v>37</v>
      </c>
      <c r="I683" s="10" t="s">
        <v>37</v>
      </c>
      <c r="J683" s="10" t="s">
        <v>37</v>
      </c>
      <c r="K683" s="12">
        <v>3</v>
      </c>
      <c r="L683" s="10" t="s">
        <v>37</v>
      </c>
      <c r="M683" s="10" t="s">
        <v>37</v>
      </c>
      <c r="N683" s="10" t="s">
        <v>37</v>
      </c>
      <c r="O683" s="30" t="s">
        <v>37</v>
      </c>
      <c r="P683" s="31"/>
      <c r="Q683" s="11">
        <v>3</v>
      </c>
    </row>
    <row r="684" spans="5:17">
      <c r="E684" s="36"/>
      <c r="F684" s="37"/>
      <c r="G684" s="9" t="s">
        <v>56</v>
      </c>
      <c r="H684" s="12">
        <v>4</v>
      </c>
      <c r="I684" s="12">
        <v>4</v>
      </c>
      <c r="J684" s="12">
        <v>4</v>
      </c>
      <c r="K684" s="12">
        <v>3</v>
      </c>
      <c r="L684" s="12">
        <v>3</v>
      </c>
      <c r="M684" s="12">
        <v>3</v>
      </c>
      <c r="N684" s="12">
        <v>2</v>
      </c>
      <c r="O684" s="30">
        <v>2</v>
      </c>
      <c r="P684" s="31"/>
      <c r="Q684" s="11">
        <v>25</v>
      </c>
    </row>
    <row r="685" spans="5:17">
      <c r="E685" s="7" t="s">
        <v>57</v>
      </c>
      <c r="F685" s="13">
        <v>6.28</v>
      </c>
      <c r="G685" s="9" t="s">
        <v>58</v>
      </c>
      <c r="H685" s="12">
        <v>6.5</v>
      </c>
      <c r="I685" s="12">
        <v>6</v>
      </c>
      <c r="J685" s="12">
        <v>5.5</v>
      </c>
      <c r="K685" s="12">
        <v>4.5</v>
      </c>
      <c r="L685" s="12">
        <v>7</v>
      </c>
      <c r="M685" s="12">
        <v>5.5</v>
      </c>
      <c r="N685" s="12">
        <v>7.5</v>
      </c>
      <c r="O685" s="30">
        <v>9.5</v>
      </c>
      <c r="P685" s="31"/>
      <c r="Q685" s="9" t="s">
        <v>37</v>
      </c>
    </row>
    <row r="686" spans="5:17">
      <c r="E686" s="7" t="s">
        <v>59</v>
      </c>
      <c r="F686" s="14">
        <v>6.28</v>
      </c>
      <c r="G686" s="9" t="s">
        <v>60</v>
      </c>
      <c r="H686" s="12">
        <v>26</v>
      </c>
      <c r="I686" s="12">
        <v>24</v>
      </c>
      <c r="J686" s="12">
        <v>22</v>
      </c>
      <c r="K686" s="12">
        <v>13.5</v>
      </c>
      <c r="L686" s="12">
        <v>21</v>
      </c>
      <c r="M686" s="12">
        <v>16.5</v>
      </c>
      <c r="N686" s="12">
        <v>15</v>
      </c>
      <c r="O686" s="30">
        <v>19</v>
      </c>
      <c r="P686" s="31"/>
      <c r="Q686" s="11">
        <v>157</v>
      </c>
    </row>
    <row r="687" spans="5:17">
      <c r="E687" s="32" t="s">
        <v>61</v>
      </c>
      <c r="F687" s="31"/>
      <c r="G687" s="9" t="s">
        <v>40</v>
      </c>
      <c r="H687" s="12">
        <v>61</v>
      </c>
      <c r="I687" s="12">
        <v>58</v>
      </c>
      <c r="J687" s="12">
        <v>52</v>
      </c>
      <c r="K687" s="12">
        <v>42</v>
      </c>
      <c r="L687" s="12">
        <v>65</v>
      </c>
      <c r="M687" s="12">
        <v>54</v>
      </c>
      <c r="N687" s="12">
        <v>37</v>
      </c>
      <c r="O687" s="30">
        <v>45</v>
      </c>
      <c r="P687" s="31"/>
      <c r="Q687" s="11">
        <v>414</v>
      </c>
    </row>
    <row r="688" spans="5:17">
      <c r="E688" s="7" t="s">
        <v>62</v>
      </c>
      <c r="F688" s="7"/>
      <c r="G688" s="9" t="s">
        <v>63</v>
      </c>
      <c r="H688" s="12">
        <v>100</v>
      </c>
      <c r="I688" s="12">
        <v>100</v>
      </c>
      <c r="J688" s="12">
        <v>100</v>
      </c>
      <c r="K688" s="12">
        <v>100</v>
      </c>
      <c r="L688" s="12">
        <v>100</v>
      </c>
      <c r="M688" s="12">
        <v>100</v>
      </c>
      <c r="N688" s="12">
        <v>50</v>
      </c>
      <c r="O688" s="30">
        <v>50</v>
      </c>
      <c r="P688" s="31"/>
      <c r="Q688" s="11">
        <v>700</v>
      </c>
    </row>
    <row r="689" spans="5:17">
      <c r="E689" s="32" t="s">
        <v>273</v>
      </c>
      <c r="F689" s="31"/>
      <c r="G689" s="9" t="s">
        <v>65</v>
      </c>
      <c r="H689" s="10" t="s">
        <v>69</v>
      </c>
      <c r="I689" s="10" t="s">
        <v>103</v>
      </c>
      <c r="J689" s="10" t="s">
        <v>138</v>
      </c>
      <c r="K689" s="10" t="s">
        <v>303</v>
      </c>
      <c r="L689" s="10" t="s">
        <v>66</v>
      </c>
      <c r="M689" s="10" t="s">
        <v>138</v>
      </c>
      <c r="N689" s="10" t="s">
        <v>68</v>
      </c>
      <c r="O689" s="30" t="s">
        <v>71</v>
      </c>
      <c r="P689" s="31"/>
      <c r="Q689" s="9" t="s">
        <v>37</v>
      </c>
    </row>
    <row r="690" spans="5:17">
      <c r="E690" s="15" t="s">
        <v>72</v>
      </c>
      <c r="F690" s="15" t="s">
        <v>507</v>
      </c>
      <c r="G690" s="9" t="s">
        <v>74</v>
      </c>
      <c r="H690" s="10" t="s">
        <v>75</v>
      </c>
      <c r="I690" s="10" t="s">
        <v>75</v>
      </c>
      <c r="J690" s="10" t="s">
        <v>75</v>
      </c>
      <c r="K690" s="10" t="s">
        <v>75</v>
      </c>
      <c r="L690" s="10" t="s">
        <v>75</v>
      </c>
      <c r="M690" s="10" t="s">
        <v>75</v>
      </c>
      <c r="N690" s="10" t="s">
        <v>75</v>
      </c>
      <c r="O690" s="30" t="s">
        <v>75</v>
      </c>
      <c r="P690" s="31"/>
      <c r="Q690" s="9" t="s">
        <v>37</v>
      </c>
    </row>
    <row r="691" spans="5:17">
      <c r="E691" s="16" t="s">
        <v>37</v>
      </c>
      <c r="F691" s="16" t="s">
        <v>37</v>
      </c>
      <c r="G691" s="16" t="s">
        <v>37</v>
      </c>
      <c r="H691" s="17" t="s">
        <v>37</v>
      </c>
      <c r="I691" s="17" t="s">
        <v>37</v>
      </c>
      <c r="J691" s="17" t="s">
        <v>37</v>
      </c>
      <c r="K691" s="17" t="s">
        <v>37</v>
      </c>
      <c r="L691" s="17" t="s">
        <v>37</v>
      </c>
      <c r="M691" s="17" t="s">
        <v>37</v>
      </c>
      <c r="N691" s="17" t="s">
        <v>37</v>
      </c>
      <c r="O691" s="41" t="s">
        <v>37</v>
      </c>
      <c r="P691" s="28"/>
      <c r="Q691" s="17" t="s">
        <v>37</v>
      </c>
    </row>
    <row r="692" spans="5:17" ht="0" hidden="1" customHeight="1"/>
    <row r="693" spans="5:17" ht="0.6" customHeight="1"/>
    <row r="694" spans="5:17">
      <c r="E694" s="38" t="s">
        <v>35</v>
      </c>
      <c r="F694" s="31"/>
      <c r="G694" s="4" t="s">
        <v>36</v>
      </c>
      <c r="H694" s="6" t="s">
        <v>37</v>
      </c>
      <c r="I694" s="6" t="s">
        <v>37</v>
      </c>
      <c r="J694" s="6" t="s">
        <v>37</v>
      </c>
      <c r="K694" s="6" t="s">
        <v>37</v>
      </c>
      <c r="L694" s="6" t="s">
        <v>37</v>
      </c>
      <c r="M694" s="6" t="s">
        <v>37</v>
      </c>
      <c r="N694" s="6" t="s">
        <v>37</v>
      </c>
      <c r="O694" s="39" t="s">
        <v>37</v>
      </c>
      <c r="P694" s="28"/>
      <c r="Q694" s="6" t="s">
        <v>37</v>
      </c>
    </row>
    <row r="695" spans="5:17" ht="21">
      <c r="E695" s="32" t="s">
        <v>508</v>
      </c>
      <c r="F695" s="31"/>
      <c r="G695" s="8" t="s">
        <v>39</v>
      </c>
      <c r="H695" s="8" t="s">
        <v>19</v>
      </c>
      <c r="I695" s="8" t="s">
        <v>9</v>
      </c>
      <c r="J695" s="8" t="s">
        <v>21</v>
      </c>
      <c r="K695" s="8" t="s">
        <v>11</v>
      </c>
      <c r="L695" s="8" t="s">
        <v>17</v>
      </c>
      <c r="M695" s="8" t="s">
        <v>27</v>
      </c>
      <c r="N695" s="8" t="s">
        <v>7</v>
      </c>
      <c r="O695" s="40" t="s">
        <v>13</v>
      </c>
      <c r="P695" s="31"/>
      <c r="Q695" s="8" t="s">
        <v>40</v>
      </c>
    </row>
    <row r="696" spans="5:17" ht="22.5">
      <c r="E696" s="7" t="s">
        <v>41</v>
      </c>
      <c r="F696" s="7" t="s">
        <v>509</v>
      </c>
      <c r="G696" s="9" t="s">
        <v>43</v>
      </c>
      <c r="H696" s="10" t="s">
        <v>317</v>
      </c>
      <c r="I696" s="10" t="s">
        <v>183</v>
      </c>
      <c r="J696" s="10" t="s">
        <v>510</v>
      </c>
      <c r="K696" s="10" t="s">
        <v>277</v>
      </c>
      <c r="L696" s="10" t="s">
        <v>511</v>
      </c>
      <c r="M696" s="10" t="s">
        <v>512</v>
      </c>
      <c r="N696" s="10" t="s">
        <v>166</v>
      </c>
      <c r="O696" s="30" t="s">
        <v>51</v>
      </c>
      <c r="P696" s="31"/>
      <c r="Q696" s="9" t="s">
        <v>37</v>
      </c>
    </row>
    <row r="697" spans="5:17">
      <c r="E697" s="32" t="s">
        <v>513</v>
      </c>
      <c r="F697" s="33"/>
      <c r="G697" s="9" t="s">
        <v>53</v>
      </c>
      <c r="H697" s="10" t="s">
        <v>51</v>
      </c>
      <c r="I697" s="10" t="s">
        <v>51</v>
      </c>
      <c r="J697" s="10" t="s">
        <v>51</v>
      </c>
      <c r="K697" s="10" t="s">
        <v>51</v>
      </c>
      <c r="L697" s="10" t="s">
        <v>51</v>
      </c>
      <c r="M697" s="10" t="s">
        <v>51</v>
      </c>
      <c r="N697" s="10" t="s">
        <v>51</v>
      </c>
      <c r="O697" s="30" t="s">
        <v>125</v>
      </c>
      <c r="P697" s="31"/>
      <c r="Q697" s="9" t="s">
        <v>37</v>
      </c>
    </row>
    <row r="698" spans="5:17">
      <c r="E698" s="34"/>
      <c r="F698" s="35"/>
      <c r="G698" s="9" t="s">
        <v>55</v>
      </c>
      <c r="H698" s="10" t="s">
        <v>37</v>
      </c>
      <c r="I698" s="10" t="s">
        <v>37</v>
      </c>
      <c r="J698" s="10" t="s">
        <v>37</v>
      </c>
      <c r="K698" s="10" t="s">
        <v>37</v>
      </c>
      <c r="L698" s="10" t="s">
        <v>37</v>
      </c>
      <c r="M698" s="10" t="s">
        <v>37</v>
      </c>
      <c r="N698" s="10" t="s">
        <v>37</v>
      </c>
      <c r="O698" s="30" t="s">
        <v>37</v>
      </c>
      <c r="P698" s="31"/>
      <c r="Q698" s="11">
        <v>0</v>
      </c>
    </row>
    <row r="699" spans="5:17">
      <c r="E699" s="36"/>
      <c r="F699" s="37"/>
      <c r="G699" s="9" t="s">
        <v>56</v>
      </c>
      <c r="H699" s="12">
        <v>4</v>
      </c>
      <c r="I699" s="12">
        <v>4</v>
      </c>
      <c r="J699" s="12">
        <v>4</v>
      </c>
      <c r="K699" s="12">
        <v>3</v>
      </c>
      <c r="L699" s="12">
        <v>3</v>
      </c>
      <c r="M699" s="12">
        <v>3</v>
      </c>
      <c r="N699" s="12">
        <v>2</v>
      </c>
      <c r="O699" s="30">
        <v>2</v>
      </c>
      <c r="P699" s="31"/>
      <c r="Q699" s="11">
        <v>25</v>
      </c>
    </row>
    <row r="700" spans="5:17">
      <c r="E700" s="7" t="s">
        <v>57</v>
      </c>
      <c r="F700" s="13">
        <v>8.8000000000000007</v>
      </c>
      <c r="G700" s="9" t="s">
        <v>58</v>
      </c>
      <c r="H700" s="12">
        <v>8.5</v>
      </c>
      <c r="I700" s="12">
        <v>9.5</v>
      </c>
      <c r="J700" s="12">
        <v>8.5</v>
      </c>
      <c r="K700" s="12">
        <v>8</v>
      </c>
      <c r="L700" s="12">
        <v>8.5</v>
      </c>
      <c r="M700" s="12">
        <v>8.5</v>
      </c>
      <c r="N700" s="12">
        <v>10</v>
      </c>
      <c r="O700" s="30">
        <v>9.5</v>
      </c>
      <c r="P700" s="31"/>
      <c r="Q700" s="9" t="s">
        <v>37</v>
      </c>
    </row>
    <row r="701" spans="5:17">
      <c r="E701" s="7" t="s">
        <v>59</v>
      </c>
      <c r="F701" s="14">
        <v>8.8000000000000007</v>
      </c>
      <c r="G701" s="9" t="s">
        <v>60</v>
      </c>
      <c r="H701" s="12">
        <v>34</v>
      </c>
      <c r="I701" s="12">
        <v>38</v>
      </c>
      <c r="J701" s="12">
        <v>34</v>
      </c>
      <c r="K701" s="12">
        <v>24</v>
      </c>
      <c r="L701" s="12">
        <v>25.5</v>
      </c>
      <c r="M701" s="12">
        <v>25.5</v>
      </c>
      <c r="N701" s="12">
        <v>20</v>
      </c>
      <c r="O701" s="30">
        <v>19</v>
      </c>
      <c r="P701" s="31"/>
      <c r="Q701" s="11">
        <v>220</v>
      </c>
    </row>
    <row r="702" spans="5:17">
      <c r="E702" s="32" t="s">
        <v>61</v>
      </c>
      <c r="F702" s="31"/>
      <c r="G702" s="9" t="s">
        <v>40</v>
      </c>
      <c r="H702" s="12">
        <v>82</v>
      </c>
      <c r="I702" s="12">
        <v>94</v>
      </c>
      <c r="J702" s="12">
        <v>81</v>
      </c>
      <c r="K702" s="12">
        <v>76</v>
      </c>
      <c r="L702" s="12">
        <v>80</v>
      </c>
      <c r="M702" s="12">
        <v>80</v>
      </c>
      <c r="N702" s="12">
        <v>49</v>
      </c>
      <c r="O702" s="30">
        <v>46</v>
      </c>
      <c r="P702" s="31"/>
      <c r="Q702" s="11">
        <v>588</v>
      </c>
    </row>
    <row r="703" spans="5:17">
      <c r="E703" s="7" t="s">
        <v>62</v>
      </c>
      <c r="F703" s="7"/>
      <c r="G703" s="9" t="s">
        <v>63</v>
      </c>
      <c r="H703" s="12">
        <v>100</v>
      </c>
      <c r="I703" s="12">
        <v>100</v>
      </c>
      <c r="J703" s="12">
        <v>100</v>
      </c>
      <c r="K703" s="12">
        <v>100</v>
      </c>
      <c r="L703" s="12">
        <v>100</v>
      </c>
      <c r="M703" s="12">
        <v>100</v>
      </c>
      <c r="N703" s="12">
        <v>50</v>
      </c>
      <c r="O703" s="30">
        <v>50</v>
      </c>
      <c r="P703" s="31"/>
      <c r="Q703" s="11">
        <v>700</v>
      </c>
    </row>
    <row r="704" spans="5:17">
      <c r="E704" s="32" t="s">
        <v>188</v>
      </c>
      <c r="F704" s="31"/>
      <c r="G704" s="9" t="s">
        <v>65</v>
      </c>
      <c r="H704" s="10" t="s">
        <v>70</v>
      </c>
      <c r="I704" s="10" t="s">
        <v>71</v>
      </c>
      <c r="J704" s="10" t="s">
        <v>70</v>
      </c>
      <c r="K704" s="10" t="s">
        <v>102</v>
      </c>
      <c r="L704" s="10" t="s">
        <v>70</v>
      </c>
      <c r="M704" s="10" t="s">
        <v>70</v>
      </c>
      <c r="N704" s="10" t="s">
        <v>88</v>
      </c>
      <c r="O704" s="30" t="s">
        <v>71</v>
      </c>
      <c r="P704" s="31"/>
      <c r="Q704" s="9" t="s">
        <v>37</v>
      </c>
    </row>
    <row r="705" spans="5:17">
      <c r="E705" s="15" t="s">
        <v>72</v>
      </c>
      <c r="F705" s="15" t="s">
        <v>514</v>
      </c>
      <c r="G705" s="9" t="s">
        <v>74</v>
      </c>
      <c r="H705" s="10" t="s">
        <v>75</v>
      </c>
      <c r="I705" s="10" t="s">
        <v>75</v>
      </c>
      <c r="J705" s="10" t="s">
        <v>75</v>
      </c>
      <c r="K705" s="10" t="s">
        <v>75</v>
      </c>
      <c r="L705" s="10" t="s">
        <v>75</v>
      </c>
      <c r="M705" s="10" t="s">
        <v>75</v>
      </c>
      <c r="N705" s="10" t="s">
        <v>75</v>
      </c>
      <c r="O705" s="30" t="s">
        <v>75</v>
      </c>
      <c r="P705" s="31"/>
      <c r="Q705" s="9" t="s">
        <v>37</v>
      </c>
    </row>
    <row r="706" spans="5:17">
      <c r="E706" s="16" t="s">
        <v>37</v>
      </c>
      <c r="F706" s="16" t="s">
        <v>37</v>
      </c>
      <c r="G706" s="16" t="s">
        <v>37</v>
      </c>
      <c r="H706" s="17" t="s">
        <v>37</v>
      </c>
      <c r="I706" s="17" t="s">
        <v>37</v>
      </c>
      <c r="J706" s="17" t="s">
        <v>37</v>
      </c>
      <c r="K706" s="17" t="s">
        <v>37</v>
      </c>
      <c r="L706" s="17" t="s">
        <v>37</v>
      </c>
      <c r="M706" s="17" t="s">
        <v>37</v>
      </c>
      <c r="N706" s="17" t="s">
        <v>37</v>
      </c>
      <c r="O706" s="41" t="s">
        <v>37</v>
      </c>
      <c r="P706" s="28"/>
      <c r="Q706" s="17" t="s">
        <v>37</v>
      </c>
    </row>
    <row r="707" spans="5:17" ht="0" hidden="1" customHeight="1"/>
    <row r="708" spans="5:17" ht="0.6" customHeight="1"/>
    <row r="709" spans="5:17">
      <c r="E709" s="38" t="s">
        <v>35</v>
      </c>
      <c r="F709" s="31"/>
      <c r="G709" s="4" t="s">
        <v>36</v>
      </c>
      <c r="H709" s="6" t="s">
        <v>37</v>
      </c>
      <c r="I709" s="6" t="s">
        <v>37</v>
      </c>
      <c r="J709" s="6" t="s">
        <v>37</v>
      </c>
      <c r="K709" s="6" t="s">
        <v>37</v>
      </c>
      <c r="L709" s="6" t="s">
        <v>37</v>
      </c>
      <c r="M709" s="6" t="s">
        <v>37</v>
      </c>
      <c r="N709" s="6" t="s">
        <v>37</v>
      </c>
      <c r="O709" s="39" t="s">
        <v>37</v>
      </c>
      <c r="P709" s="28"/>
      <c r="Q709" s="6" t="s">
        <v>37</v>
      </c>
    </row>
    <row r="710" spans="5:17" ht="21">
      <c r="E710" s="32" t="s">
        <v>515</v>
      </c>
      <c r="F710" s="31"/>
      <c r="G710" s="8" t="s">
        <v>39</v>
      </c>
      <c r="H710" s="8" t="s">
        <v>19</v>
      </c>
      <c r="I710" s="8" t="s">
        <v>9</v>
      </c>
      <c r="J710" s="8" t="s">
        <v>21</v>
      </c>
      <c r="K710" s="8" t="s">
        <v>11</v>
      </c>
      <c r="L710" s="8" t="s">
        <v>17</v>
      </c>
      <c r="M710" s="8" t="s">
        <v>27</v>
      </c>
      <c r="N710" s="8" t="s">
        <v>7</v>
      </c>
      <c r="O710" s="40" t="s">
        <v>33</v>
      </c>
      <c r="P710" s="31"/>
      <c r="Q710" s="8" t="s">
        <v>40</v>
      </c>
    </row>
    <row r="711" spans="5:17" ht="22.5">
      <c r="E711" s="7" t="s">
        <v>41</v>
      </c>
      <c r="F711" s="7" t="s">
        <v>516</v>
      </c>
      <c r="G711" s="9" t="s">
        <v>43</v>
      </c>
      <c r="H711" s="10" t="s">
        <v>517</v>
      </c>
      <c r="I711" s="10" t="s">
        <v>504</v>
      </c>
      <c r="J711" s="10" t="s">
        <v>133</v>
      </c>
      <c r="K711" s="10" t="s">
        <v>252</v>
      </c>
      <c r="L711" s="10" t="s">
        <v>518</v>
      </c>
      <c r="M711" s="10" t="s">
        <v>519</v>
      </c>
      <c r="N711" s="10" t="s">
        <v>520</v>
      </c>
      <c r="O711" s="30" t="s">
        <v>51</v>
      </c>
      <c r="P711" s="31"/>
      <c r="Q711" s="9" t="s">
        <v>37</v>
      </c>
    </row>
    <row r="712" spans="5:17">
      <c r="E712" s="32" t="s">
        <v>521</v>
      </c>
      <c r="F712" s="33"/>
      <c r="G712" s="9" t="s">
        <v>53</v>
      </c>
      <c r="H712" s="10" t="s">
        <v>51</v>
      </c>
      <c r="I712" s="10" t="s">
        <v>51</v>
      </c>
      <c r="J712" s="10" t="s">
        <v>51</v>
      </c>
      <c r="K712" s="10" t="s">
        <v>51</v>
      </c>
      <c r="L712" s="10" t="s">
        <v>51</v>
      </c>
      <c r="M712" s="10" t="s">
        <v>51</v>
      </c>
      <c r="N712" s="10" t="s">
        <v>51</v>
      </c>
      <c r="O712" s="30" t="s">
        <v>199</v>
      </c>
      <c r="P712" s="31"/>
      <c r="Q712" s="9" t="s">
        <v>37</v>
      </c>
    </row>
    <row r="713" spans="5:17">
      <c r="E713" s="34"/>
      <c r="F713" s="35"/>
      <c r="G713" s="9" t="s">
        <v>55</v>
      </c>
      <c r="H713" s="10" t="s">
        <v>37</v>
      </c>
      <c r="I713" s="10" t="s">
        <v>37</v>
      </c>
      <c r="J713" s="10" t="s">
        <v>37</v>
      </c>
      <c r="K713" s="10" t="s">
        <v>37</v>
      </c>
      <c r="L713" s="10" t="s">
        <v>37</v>
      </c>
      <c r="M713" s="10" t="s">
        <v>37</v>
      </c>
      <c r="N713" s="10" t="s">
        <v>37</v>
      </c>
      <c r="O713" s="30" t="s">
        <v>37</v>
      </c>
      <c r="P713" s="31"/>
      <c r="Q713" s="11">
        <v>0</v>
      </c>
    </row>
    <row r="714" spans="5:17">
      <c r="E714" s="36"/>
      <c r="F714" s="37"/>
      <c r="G714" s="9" t="s">
        <v>56</v>
      </c>
      <c r="H714" s="12">
        <v>4</v>
      </c>
      <c r="I714" s="12">
        <v>4</v>
      </c>
      <c r="J714" s="12">
        <v>4</v>
      </c>
      <c r="K714" s="12">
        <v>3</v>
      </c>
      <c r="L714" s="12">
        <v>3</v>
      </c>
      <c r="M714" s="12">
        <v>3</v>
      </c>
      <c r="N714" s="12">
        <v>2</v>
      </c>
      <c r="O714" s="30">
        <v>2</v>
      </c>
      <c r="P714" s="31"/>
      <c r="Q714" s="11">
        <v>25</v>
      </c>
    </row>
    <row r="715" spans="5:17">
      <c r="E715" s="7" t="s">
        <v>57</v>
      </c>
      <c r="F715" s="13">
        <v>6.22</v>
      </c>
      <c r="G715" s="9" t="s">
        <v>58</v>
      </c>
      <c r="H715" s="12">
        <v>5.5</v>
      </c>
      <c r="I715" s="12">
        <v>7</v>
      </c>
      <c r="J715" s="12">
        <v>5.5</v>
      </c>
      <c r="K715" s="12">
        <v>5</v>
      </c>
      <c r="L715" s="12">
        <v>6</v>
      </c>
      <c r="M715" s="12">
        <v>4.5</v>
      </c>
      <c r="N715" s="12">
        <v>8.5</v>
      </c>
      <c r="O715" s="30">
        <v>10</v>
      </c>
      <c r="P715" s="31"/>
      <c r="Q715" s="9" t="s">
        <v>37</v>
      </c>
    </row>
    <row r="716" spans="5:17">
      <c r="E716" s="7" t="s">
        <v>59</v>
      </c>
      <c r="F716" s="14">
        <v>6.22</v>
      </c>
      <c r="G716" s="9" t="s">
        <v>60</v>
      </c>
      <c r="H716" s="12">
        <v>22</v>
      </c>
      <c r="I716" s="12">
        <v>28</v>
      </c>
      <c r="J716" s="12">
        <v>22</v>
      </c>
      <c r="K716" s="12">
        <v>15</v>
      </c>
      <c r="L716" s="12">
        <v>18</v>
      </c>
      <c r="M716" s="12">
        <v>13.5</v>
      </c>
      <c r="N716" s="12">
        <v>17</v>
      </c>
      <c r="O716" s="30">
        <v>20</v>
      </c>
      <c r="P716" s="31"/>
      <c r="Q716" s="11">
        <v>155.5</v>
      </c>
    </row>
    <row r="717" spans="5:17">
      <c r="E717" s="32" t="s">
        <v>61</v>
      </c>
      <c r="F717" s="31"/>
      <c r="G717" s="9" t="s">
        <v>40</v>
      </c>
      <c r="H717" s="12">
        <v>51</v>
      </c>
      <c r="I717" s="12">
        <v>65</v>
      </c>
      <c r="J717" s="12">
        <v>52</v>
      </c>
      <c r="K717" s="12">
        <v>47</v>
      </c>
      <c r="L717" s="12">
        <v>59</v>
      </c>
      <c r="M717" s="12">
        <v>42</v>
      </c>
      <c r="N717" s="12">
        <v>41</v>
      </c>
      <c r="O717" s="30">
        <v>49</v>
      </c>
      <c r="P717" s="31"/>
      <c r="Q717" s="11">
        <v>406</v>
      </c>
    </row>
    <row r="718" spans="5:17">
      <c r="E718" s="7" t="s">
        <v>62</v>
      </c>
      <c r="F718" s="7"/>
      <c r="G718" s="9" t="s">
        <v>63</v>
      </c>
      <c r="H718" s="12">
        <v>100</v>
      </c>
      <c r="I718" s="12">
        <v>100</v>
      </c>
      <c r="J718" s="12">
        <v>100</v>
      </c>
      <c r="K718" s="12">
        <v>100</v>
      </c>
      <c r="L718" s="12">
        <v>100</v>
      </c>
      <c r="M718" s="12">
        <v>100</v>
      </c>
      <c r="N718" s="12">
        <v>50</v>
      </c>
      <c r="O718" s="30">
        <v>50</v>
      </c>
      <c r="P718" s="31"/>
      <c r="Q718" s="11">
        <v>700</v>
      </c>
    </row>
    <row r="719" spans="5:17">
      <c r="E719" s="32" t="s">
        <v>273</v>
      </c>
      <c r="F719" s="31"/>
      <c r="G719" s="9" t="s">
        <v>65</v>
      </c>
      <c r="H719" s="10" t="s">
        <v>138</v>
      </c>
      <c r="I719" s="10" t="s">
        <v>66</v>
      </c>
      <c r="J719" s="10" t="s">
        <v>138</v>
      </c>
      <c r="K719" s="10" t="s">
        <v>127</v>
      </c>
      <c r="L719" s="10" t="s">
        <v>103</v>
      </c>
      <c r="M719" s="10" t="s">
        <v>303</v>
      </c>
      <c r="N719" s="10" t="s">
        <v>70</v>
      </c>
      <c r="O719" s="30" t="s">
        <v>88</v>
      </c>
      <c r="P719" s="31"/>
      <c r="Q719" s="9" t="s">
        <v>37</v>
      </c>
    </row>
    <row r="720" spans="5:17">
      <c r="E720" s="15" t="s">
        <v>72</v>
      </c>
      <c r="F720" s="15" t="s">
        <v>522</v>
      </c>
      <c r="G720" s="9" t="s">
        <v>74</v>
      </c>
      <c r="H720" s="10" t="s">
        <v>75</v>
      </c>
      <c r="I720" s="10" t="s">
        <v>75</v>
      </c>
      <c r="J720" s="10" t="s">
        <v>75</v>
      </c>
      <c r="K720" s="10" t="s">
        <v>75</v>
      </c>
      <c r="L720" s="10" t="s">
        <v>75</v>
      </c>
      <c r="M720" s="10" t="s">
        <v>75</v>
      </c>
      <c r="N720" s="10" t="s">
        <v>75</v>
      </c>
      <c r="O720" s="30" t="s">
        <v>75</v>
      </c>
      <c r="P720" s="31"/>
      <c r="Q720" s="9" t="s">
        <v>37</v>
      </c>
    </row>
    <row r="721" spans="5:17">
      <c r="E721" s="16" t="s">
        <v>37</v>
      </c>
      <c r="F721" s="16" t="s">
        <v>37</v>
      </c>
      <c r="G721" s="16" t="s">
        <v>37</v>
      </c>
      <c r="H721" s="17" t="s">
        <v>37</v>
      </c>
      <c r="I721" s="17" t="s">
        <v>37</v>
      </c>
      <c r="J721" s="17" t="s">
        <v>37</v>
      </c>
      <c r="K721" s="17" t="s">
        <v>37</v>
      </c>
      <c r="L721" s="17" t="s">
        <v>37</v>
      </c>
      <c r="M721" s="17" t="s">
        <v>37</v>
      </c>
      <c r="N721" s="17" t="s">
        <v>37</v>
      </c>
      <c r="O721" s="41" t="s">
        <v>37</v>
      </c>
      <c r="P721" s="28"/>
      <c r="Q721" s="17" t="s">
        <v>37</v>
      </c>
    </row>
    <row r="722" spans="5:17" ht="0.6" customHeight="1"/>
    <row r="723" spans="5:17">
      <c r="E723" s="38" t="s">
        <v>35</v>
      </c>
      <c r="F723" s="31"/>
      <c r="G723" s="4" t="s">
        <v>36</v>
      </c>
      <c r="H723" s="6" t="s">
        <v>37</v>
      </c>
      <c r="I723" s="6" t="s">
        <v>37</v>
      </c>
      <c r="J723" s="6" t="s">
        <v>37</v>
      </c>
      <c r="K723" s="6" t="s">
        <v>37</v>
      </c>
      <c r="L723" s="6" t="s">
        <v>37</v>
      </c>
      <c r="M723" s="6" t="s">
        <v>37</v>
      </c>
      <c r="N723" s="6" t="s">
        <v>37</v>
      </c>
      <c r="O723" s="39" t="s">
        <v>37</v>
      </c>
      <c r="P723" s="28"/>
      <c r="Q723" s="6" t="s">
        <v>37</v>
      </c>
    </row>
    <row r="724" spans="5:17" ht="21">
      <c r="E724" s="32" t="s">
        <v>523</v>
      </c>
      <c r="F724" s="31"/>
      <c r="G724" s="8" t="s">
        <v>39</v>
      </c>
      <c r="H724" s="8" t="s">
        <v>19</v>
      </c>
      <c r="I724" s="8" t="s">
        <v>9</v>
      </c>
      <c r="J724" s="8" t="s">
        <v>21</v>
      </c>
      <c r="K724" s="8" t="s">
        <v>11</v>
      </c>
      <c r="L724" s="8" t="s">
        <v>17</v>
      </c>
      <c r="M724" s="8" t="s">
        <v>27</v>
      </c>
      <c r="N724" s="8" t="s">
        <v>7</v>
      </c>
      <c r="O724" s="40" t="s">
        <v>23</v>
      </c>
      <c r="P724" s="31"/>
      <c r="Q724" s="8" t="s">
        <v>40</v>
      </c>
    </row>
    <row r="725" spans="5:17" ht="22.5">
      <c r="E725" s="7" t="s">
        <v>41</v>
      </c>
      <c r="F725" s="7" t="s">
        <v>524</v>
      </c>
      <c r="G725" s="9" t="s">
        <v>43</v>
      </c>
      <c r="H725" s="10" t="s">
        <v>525</v>
      </c>
      <c r="I725" s="10" t="s">
        <v>270</v>
      </c>
      <c r="J725" s="10" t="s">
        <v>267</v>
      </c>
      <c r="K725" s="10" t="s">
        <v>526</v>
      </c>
      <c r="L725" s="10" t="s">
        <v>163</v>
      </c>
      <c r="M725" s="10" t="s">
        <v>331</v>
      </c>
      <c r="N725" s="10" t="s">
        <v>527</v>
      </c>
      <c r="O725" s="30" t="s">
        <v>51</v>
      </c>
      <c r="P725" s="31"/>
      <c r="Q725" s="9" t="s">
        <v>37</v>
      </c>
    </row>
    <row r="726" spans="5:17">
      <c r="E726" s="32" t="s">
        <v>528</v>
      </c>
      <c r="F726" s="33"/>
      <c r="G726" s="9" t="s">
        <v>53</v>
      </c>
      <c r="H726" s="10" t="s">
        <v>51</v>
      </c>
      <c r="I726" s="10" t="s">
        <v>51</v>
      </c>
      <c r="J726" s="10" t="s">
        <v>51</v>
      </c>
      <c r="K726" s="10" t="s">
        <v>51</v>
      </c>
      <c r="L726" s="10" t="s">
        <v>51</v>
      </c>
      <c r="M726" s="10" t="s">
        <v>51</v>
      </c>
      <c r="N726" s="10" t="s">
        <v>51</v>
      </c>
      <c r="O726" s="30" t="s">
        <v>54</v>
      </c>
      <c r="P726" s="31"/>
      <c r="Q726" s="9" t="s">
        <v>37</v>
      </c>
    </row>
    <row r="727" spans="5:17">
      <c r="E727" s="34"/>
      <c r="F727" s="35"/>
      <c r="G727" s="9" t="s">
        <v>55</v>
      </c>
      <c r="H727" s="10" t="s">
        <v>37</v>
      </c>
      <c r="I727" s="10" t="s">
        <v>37</v>
      </c>
      <c r="J727" s="10" t="s">
        <v>37</v>
      </c>
      <c r="K727" s="12">
        <v>3</v>
      </c>
      <c r="L727" s="10" t="s">
        <v>37</v>
      </c>
      <c r="M727" s="10" t="s">
        <v>37</v>
      </c>
      <c r="N727" s="10" t="s">
        <v>37</v>
      </c>
      <c r="O727" s="30" t="s">
        <v>37</v>
      </c>
      <c r="P727" s="31"/>
      <c r="Q727" s="11">
        <v>3</v>
      </c>
    </row>
    <row r="728" spans="5:17">
      <c r="E728" s="36"/>
      <c r="F728" s="37"/>
      <c r="G728" s="9" t="s">
        <v>56</v>
      </c>
      <c r="H728" s="12">
        <v>4</v>
      </c>
      <c r="I728" s="12">
        <v>4</v>
      </c>
      <c r="J728" s="12">
        <v>4</v>
      </c>
      <c r="K728" s="12">
        <v>3</v>
      </c>
      <c r="L728" s="12">
        <v>3</v>
      </c>
      <c r="M728" s="12">
        <v>3</v>
      </c>
      <c r="N728" s="12">
        <v>2</v>
      </c>
      <c r="O728" s="30">
        <v>2</v>
      </c>
      <c r="P728" s="31"/>
      <c r="Q728" s="11">
        <v>25</v>
      </c>
    </row>
    <row r="729" spans="5:17">
      <c r="E729" s="7" t="s">
        <v>57</v>
      </c>
      <c r="F729" s="13">
        <v>6.12</v>
      </c>
      <c r="G729" s="9" t="s">
        <v>58</v>
      </c>
      <c r="H729" s="12">
        <v>6</v>
      </c>
      <c r="I729" s="12">
        <v>6.5</v>
      </c>
      <c r="J729" s="12">
        <v>5</v>
      </c>
      <c r="K729" s="12">
        <v>5</v>
      </c>
      <c r="L729" s="12">
        <v>5.5</v>
      </c>
      <c r="M729" s="12">
        <v>5.5</v>
      </c>
      <c r="N729" s="12">
        <v>8</v>
      </c>
      <c r="O729" s="30">
        <v>9.5</v>
      </c>
      <c r="P729" s="31"/>
      <c r="Q729" s="9" t="s">
        <v>37</v>
      </c>
    </row>
    <row r="730" spans="5:17">
      <c r="E730" s="7" t="s">
        <v>59</v>
      </c>
      <c r="F730" s="14">
        <v>6.12</v>
      </c>
      <c r="G730" s="9" t="s">
        <v>60</v>
      </c>
      <c r="H730" s="12">
        <v>24</v>
      </c>
      <c r="I730" s="12">
        <v>26</v>
      </c>
      <c r="J730" s="12">
        <v>20</v>
      </c>
      <c r="K730" s="12">
        <v>15</v>
      </c>
      <c r="L730" s="12">
        <v>16.5</v>
      </c>
      <c r="M730" s="12">
        <v>16.5</v>
      </c>
      <c r="N730" s="12">
        <v>16</v>
      </c>
      <c r="O730" s="30">
        <v>19</v>
      </c>
      <c r="P730" s="31"/>
      <c r="Q730" s="11">
        <v>153</v>
      </c>
    </row>
    <row r="731" spans="5:17">
      <c r="E731" s="32" t="s">
        <v>61</v>
      </c>
      <c r="F731" s="31"/>
      <c r="G731" s="9" t="s">
        <v>40</v>
      </c>
      <c r="H731" s="12">
        <v>57</v>
      </c>
      <c r="I731" s="12">
        <v>62</v>
      </c>
      <c r="J731" s="12">
        <v>48</v>
      </c>
      <c r="K731" s="12">
        <v>46</v>
      </c>
      <c r="L731" s="12">
        <v>53</v>
      </c>
      <c r="M731" s="12">
        <v>50</v>
      </c>
      <c r="N731" s="12">
        <v>38</v>
      </c>
      <c r="O731" s="30">
        <v>45</v>
      </c>
      <c r="P731" s="31"/>
      <c r="Q731" s="11">
        <v>399</v>
      </c>
    </row>
    <row r="732" spans="5:17">
      <c r="E732" s="7" t="s">
        <v>62</v>
      </c>
      <c r="F732" s="7"/>
      <c r="G732" s="9" t="s">
        <v>63</v>
      </c>
      <c r="H732" s="12">
        <v>100</v>
      </c>
      <c r="I732" s="12">
        <v>100</v>
      </c>
      <c r="J732" s="12">
        <v>100</v>
      </c>
      <c r="K732" s="12">
        <v>100</v>
      </c>
      <c r="L732" s="12">
        <v>100</v>
      </c>
      <c r="M732" s="12">
        <v>100</v>
      </c>
      <c r="N732" s="12">
        <v>50</v>
      </c>
      <c r="O732" s="30">
        <v>50</v>
      </c>
      <c r="P732" s="31"/>
      <c r="Q732" s="11">
        <v>700</v>
      </c>
    </row>
    <row r="733" spans="5:17">
      <c r="E733" s="32" t="s">
        <v>273</v>
      </c>
      <c r="F733" s="31"/>
      <c r="G733" s="9" t="s">
        <v>65</v>
      </c>
      <c r="H733" s="10" t="s">
        <v>103</v>
      </c>
      <c r="I733" s="10" t="s">
        <v>69</v>
      </c>
      <c r="J733" s="10" t="s">
        <v>127</v>
      </c>
      <c r="K733" s="10" t="s">
        <v>127</v>
      </c>
      <c r="L733" s="10" t="s">
        <v>138</v>
      </c>
      <c r="M733" s="10" t="s">
        <v>138</v>
      </c>
      <c r="N733" s="10" t="s">
        <v>102</v>
      </c>
      <c r="O733" s="30" t="s">
        <v>71</v>
      </c>
      <c r="P733" s="31"/>
      <c r="Q733" s="9" t="s">
        <v>37</v>
      </c>
    </row>
    <row r="734" spans="5:17">
      <c r="E734" s="15" t="s">
        <v>72</v>
      </c>
      <c r="F734" s="15" t="s">
        <v>529</v>
      </c>
      <c r="G734" s="9" t="s">
        <v>74</v>
      </c>
      <c r="H734" s="10" t="s">
        <v>75</v>
      </c>
      <c r="I734" s="10" t="s">
        <v>75</v>
      </c>
      <c r="J734" s="10" t="s">
        <v>75</v>
      </c>
      <c r="K734" s="10" t="s">
        <v>75</v>
      </c>
      <c r="L734" s="10" t="s">
        <v>75</v>
      </c>
      <c r="M734" s="10" t="s">
        <v>75</v>
      </c>
      <c r="N734" s="10" t="s">
        <v>75</v>
      </c>
      <c r="O734" s="30" t="s">
        <v>75</v>
      </c>
      <c r="P734" s="31"/>
      <c r="Q734" s="9" t="s">
        <v>37</v>
      </c>
    </row>
    <row r="735" spans="5:17">
      <c r="E735" s="16" t="s">
        <v>37</v>
      </c>
      <c r="F735" s="16" t="s">
        <v>37</v>
      </c>
      <c r="G735" s="16" t="s">
        <v>37</v>
      </c>
      <c r="H735" s="17" t="s">
        <v>37</v>
      </c>
      <c r="I735" s="17" t="s">
        <v>37</v>
      </c>
      <c r="J735" s="17" t="s">
        <v>37</v>
      </c>
      <c r="K735" s="17" t="s">
        <v>37</v>
      </c>
      <c r="L735" s="17" t="s">
        <v>37</v>
      </c>
      <c r="M735" s="17" t="s">
        <v>37</v>
      </c>
      <c r="N735" s="17" t="s">
        <v>37</v>
      </c>
      <c r="O735" s="41" t="s">
        <v>37</v>
      </c>
      <c r="P735" s="28"/>
      <c r="Q735" s="17" t="s">
        <v>37</v>
      </c>
    </row>
    <row r="736" spans="5:17" ht="0" hidden="1" customHeight="1"/>
    <row r="737" spans="5:17" ht="0.6" customHeight="1"/>
    <row r="738" spans="5:17">
      <c r="E738" s="38" t="s">
        <v>35</v>
      </c>
      <c r="F738" s="31"/>
      <c r="G738" s="4" t="s">
        <v>36</v>
      </c>
      <c r="H738" s="6" t="s">
        <v>37</v>
      </c>
      <c r="I738" s="6" t="s">
        <v>37</v>
      </c>
      <c r="J738" s="6" t="s">
        <v>37</v>
      </c>
      <c r="K738" s="6" t="s">
        <v>37</v>
      </c>
      <c r="L738" s="6" t="s">
        <v>37</v>
      </c>
      <c r="M738" s="6" t="s">
        <v>37</v>
      </c>
      <c r="N738" s="6" t="s">
        <v>37</v>
      </c>
      <c r="O738" s="39" t="s">
        <v>37</v>
      </c>
      <c r="P738" s="28"/>
      <c r="Q738" s="6" t="s">
        <v>37</v>
      </c>
    </row>
    <row r="739" spans="5:17" ht="21">
      <c r="E739" s="32" t="s">
        <v>530</v>
      </c>
      <c r="F739" s="31"/>
      <c r="G739" s="8" t="s">
        <v>39</v>
      </c>
      <c r="H739" s="8" t="s">
        <v>19</v>
      </c>
      <c r="I739" s="8" t="s">
        <v>9</v>
      </c>
      <c r="J739" s="8" t="s">
        <v>21</v>
      </c>
      <c r="K739" s="8" t="s">
        <v>11</v>
      </c>
      <c r="L739" s="8" t="s">
        <v>17</v>
      </c>
      <c r="M739" s="8" t="s">
        <v>27</v>
      </c>
      <c r="N739" s="8" t="s">
        <v>7</v>
      </c>
      <c r="O739" s="40" t="s">
        <v>29</v>
      </c>
      <c r="P739" s="31"/>
      <c r="Q739" s="8" t="s">
        <v>40</v>
      </c>
    </row>
    <row r="740" spans="5:17" ht="22.5">
      <c r="E740" s="7" t="s">
        <v>41</v>
      </c>
      <c r="F740" s="7" t="s">
        <v>531</v>
      </c>
      <c r="G740" s="9" t="s">
        <v>43</v>
      </c>
      <c r="H740" s="10" t="s">
        <v>78</v>
      </c>
      <c r="I740" s="10" t="s">
        <v>82</v>
      </c>
      <c r="J740" s="10" t="s">
        <v>280</v>
      </c>
      <c r="K740" s="10" t="s">
        <v>277</v>
      </c>
      <c r="L740" s="10" t="s">
        <v>532</v>
      </c>
      <c r="M740" s="10" t="s">
        <v>82</v>
      </c>
      <c r="N740" s="10" t="s">
        <v>209</v>
      </c>
      <c r="O740" s="30" t="s">
        <v>51</v>
      </c>
      <c r="P740" s="31"/>
      <c r="Q740" s="9" t="s">
        <v>37</v>
      </c>
    </row>
    <row r="741" spans="5:17">
      <c r="E741" s="32" t="s">
        <v>533</v>
      </c>
      <c r="F741" s="33"/>
      <c r="G741" s="9" t="s">
        <v>53</v>
      </c>
      <c r="H741" s="10" t="s">
        <v>51</v>
      </c>
      <c r="I741" s="10" t="s">
        <v>51</v>
      </c>
      <c r="J741" s="10" t="s">
        <v>51</v>
      </c>
      <c r="K741" s="10" t="s">
        <v>51</v>
      </c>
      <c r="L741" s="10" t="s">
        <v>51</v>
      </c>
      <c r="M741" s="10" t="s">
        <v>51</v>
      </c>
      <c r="N741" s="10" t="s">
        <v>51</v>
      </c>
      <c r="O741" s="30" t="s">
        <v>86</v>
      </c>
      <c r="P741" s="31"/>
      <c r="Q741" s="9" t="s">
        <v>37</v>
      </c>
    </row>
    <row r="742" spans="5:17">
      <c r="E742" s="34"/>
      <c r="F742" s="35"/>
      <c r="G742" s="9" t="s">
        <v>55</v>
      </c>
      <c r="H742" s="10" t="s">
        <v>37</v>
      </c>
      <c r="I742" s="10" t="s">
        <v>37</v>
      </c>
      <c r="J742" s="10" t="s">
        <v>37</v>
      </c>
      <c r="K742" s="10" t="s">
        <v>37</v>
      </c>
      <c r="L742" s="10" t="s">
        <v>37</v>
      </c>
      <c r="M742" s="10" t="s">
        <v>37</v>
      </c>
      <c r="N742" s="10" t="s">
        <v>37</v>
      </c>
      <c r="O742" s="30" t="s">
        <v>37</v>
      </c>
      <c r="P742" s="31"/>
      <c r="Q742" s="11">
        <v>0</v>
      </c>
    </row>
    <row r="743" spans="5:17">
      <c r="E743" s="36"/>
      <c r="F743" s="37"/>
      <c r="G743" s="9" t="s">
        <v>56</v>
      </c>
      <c r="H743" s="12">
        <v>4</v>
      </c>
      <c r="I743" s="12">
        <v>4</v>
      </c>
      <c r="J743" s="12">
        <v>4</v>
      </c>
      <c r="K743" s="12">
        <v>3</v>
      </c>
      <c r="L743" s="12">
        <v>3</v>
      </c>
      <c r="M743" s="12">
        <v>3</v>
      </c>
      <c r="N743" s="12">
        <v>2</v>
      </c>
      <c r="O743" s="30">
        <v>2</v>
      </c>
      <c r="P743" s="31"/>
      <c r="Q743" s="11">
        <v>25</v>
      </c>
    </row>
    <row r="744" spans="5:17">
      <c r="E744" s="7" t="s">
        <v>57</v>
      </c>
      <c r="F744" s="13">
        <v>9.32</v>
      </c>
      <c r="G744" s="9" t="s">
        <v>58</v>
      </c>
      <c r="H744" s="12">
        <v>9</v>
      </c>
      <c r="I744" s="12">
        <v>10</v>
      </c>
      <c r="J744" s="12">
        <v>9</v>
      </c>
      <c r="K744" s="12">
        <v>8</v>
      </c>
      <c r="L744" s="12">
        <v>9</v>
      </c>
      <c r="M744" s="12">
        <v>10</v>
      </c>
      <c r="N744" s="12">
        <v>10</v>
      </c>
      <c r="O744" s="30">
        <v>10</v>
      </c>
      <c r="P744" s="31"/>
      <c r="Q744" s="9" t="s">
        <v>37</v>
      </c>
    </row>
    <row r="745" spans="5:17">
      <c r="E745" s="7" t="s">
        <v>59</v>
      </c>
      <c r="F745" s="14">
        <v>9.32</v>
      </c>
      <c r="G745" s="9" t="s">
        <v>60</v>
      </c>
      <c r="H745" s="12">
        <v>36</v>
      </c>
      <c r="I745" s="12">
        <v>40</v>
      </c>
      <c r="J745" s="12">
        <v>36</v>
      </c>
      <c r="K745" s="12">
        <v>24</v>
      </c>
      <c r="L745" s="12">
        <v>27</v>
      </c>
      <c r="M745" s="12">
        <v>30</v>
      </c>
      <c r="N745" s="12">
        <v>20</v>
      </c>
      <c r="O745" s="30">
        <v>20</v>
      </c>
      <c r="P745" s="31"/>
      <c r="Q745" s="11">
        <v>233</v>
      </c>
    </row>
    <row r="746" spans="5:17">
      <c r="E746" s="32" t="s">
        <v>61</v>
      </c>
      <c r="F746" s="31"/>
      <c r="G746" s="9" t="s">
        <v>40</v>
      </c>
      <c r="H746" s="12">
        <v>86</v>
      </c>
      <c r="I746" s="12">
        <v>98</v>
      </c>
      <c r="J746" s="12">
        <v>86</v>
      </c>
      <c r="K746" s="12">
        <v>76</v>
      </c>
      <c r="L746" s="12">
        <v>88</v>
      </c>
      <c r="M746" s="12">
        <v>98</v>
      </c>
      <c r="N746" s="12">
        <v>50</v>
      </c>
      <c r="O746" s="30">
        <v>48</v>
      </c>
      <c r="P746" s="31"/>
      <c r="Q746" s="11">
        <v>630</v>
      </c>
    </row>
    <row r="747" spans="5:17">
      <c r="E747" s="7" t="s">
        <v>62</v>
      </c>
      <c r="F747" s="7"/>
      <c r="G747" s="9" t="s">
        <v>63</v>
      </c>
      <c r="H747" s="12">
        <v>100</v>
      </c>
      <c r="I747" s="12">
        <v>100</v>
      </c>
      <c r="J747" s="12">
        <v>100</v>
      </c>
      <c r="K747" s="12">
        <v>100</v>
      </c>
      <c r="L747" s="12">
        <v>100</v>
      </c>
      <c r="M747" s="12">
        <v>100</v>
      </c>
      <c r="N747" s="12">
        <v>50</v>
      </c>
      <c r="O747" s="30">
        <v>50</v>
      </c>
      <c r="P747" s="31"/>
      <c r="Q747" s="11">
        <v>700</v>
      </c>
    </row>
    <row r="748" spans="5:17">
      <c r="E748" s="32" t="s">
        <v>87</v>
      </c>
      <c r="F748" s="31"/>
      <c r="G748" s="9" t="s">
        <v>65</v>
      </c>
      <c r="H748" s="10" t="s">
        <v>67</v>
      </c>
      <c r="I748" s="10" t="s">
        <v>88</v>
      </c>
      <c r="J748" s="10" t="s">
        <v>67</v>
      </c>
      <c r="K748" s="10" t="s">
        <v>102</v>
      </c>
      <c r="L748" s="10" t="s">
        <v>67</v>
      </c>
      <c r="M748" s="10" t="s">
        <v>88</v>
      </c>
      <c r="N748" s="10" t="s">
        <v>88</v>
      </c>
      <c r="O748" s="30" t="s">
        <v>88</v>
      </c>
      <c r="P748" s="31"/>
      <c r="Q748" s="9" t="s">
        <v>37</v>
      </c>
    </row>
    <row r="749" spans="5:17">
      <c r="E749" s="15" t="s">
        <v>72</v>
      </c>
      <c r="F749" s="15" t="s">
        <v>534</v>
      </c>
      <c r="G749" s="9" t="s">
        <v>74</v>
      </c>
      <c r="H749" s="10" t="s">
        <v>75</v>
      </c>
      <c r="I749" s="10" t="s">
        <v>75</v>
      </c>
      <c r="J749" s="10" t="s">
        <v>75</v>
      </c>
      <c r="K749" s="10" t="s">
        <v>75</v>
      </c>
      <c r="L749" s="10" t="s">
        <v>75</v>
      </c>
      <c r="M749" s="10" t="s">
        <v>75</v>
      </c>
      <c r="N749" s="10" t="s">
        <v>75</v>
      </c>
      <c r="O749" s="30" t="s">
        <v>75</v>
      </c>
      <c r="P749" s="31"/>
      <c r="Q749" s="9" t="s">
        <v>37</v>
      </c>
    </row>
    <row r="750" spans="5:17">
      <c r="E750" s="16" t="s">
        <v>37</v>
      </c>
      <c r="F750" s="16" t="s">
        <v>37</v>
      </c>
      <c r="G750" s="16" t="s">
        <v>37</v>
      </c>
      <c r="H750" s="17" t="s">
        <v>37</v>
      </c>
      <c r="I750" s="17" t="s">
        <v>37</v>
      </c>
      <c r="J750" s="17" t="s">
        <v>37</v>
      </c>
      <c r="K750" s="17" t="s">
        <v>37</v>
      </c>
      <c r="L750" s="17" t="s">
        <v>37</v>
      </c>
      <c r="M750" s="17" t="s">
        <v>37</v>
      </c>
      <c r="N750" s="17" t="s">
        <v>37</v>
      </c>
      <c r="O750" s="41" t="s">
        <v>37</v>
      </c>
      <c r="P750" s="28"/>
      <c r="Q750" s="17" t="s">
        <v>37</v>
      </c>
    </row>
    <row r="751" spans="5:17" ht="0" hidden="1" customHeight="1"/>
    <row r="752" spans="5:17" ht="0.6" customHeight="1"/>
    <row r="753" spans="5:17">
      <c r="E753" s="38" t="s">
        <v>35</v>
      </c>
      <c r="F753" s="31"/>
      <c r="G753" s="4" t="s">
        <v>36</v>
      </c>
      <c r="H753" s="6" t="s">
        <v>37</v>
      </c>
      <c r="I753" s="6" t="s">
        <v>37</v>
      </c>
      <c r="J753" s="6" t="s">
        <v>37</v>
      </c>
      <c r="K753" s="6" t="s">
        <v>37</v>
      </c>
      <c r="L753" s="6" t="s">
        <v>37</v>
      </c>
      <c r="M753" s="6" t="s">
        <v>37</v>
      </c>
      <c r="N753" s="6" t="s">
        <v>37</v>
      </c>
      <c r="O753" s="39" t="s">
        <v>37</v>
      </c>
      <c r="P753" s="28"/>
      <c r="Q753" s="6" t="s">
        <v>37</v>
      </c>
    </row>
    <row r="754" spans="5:17" ht="21">
      <c r="E754" s="32" t="s">
        <v>535</v>
      </c>
      <c r="F754" s="31"/>
      <c r="G754" s="8" t="s">
        <v>39</v>
      </c>
      <c r="H754" s="8" t="s">
        <v>19</v>
      </c>
      <c r="I754" s="8" t="s">
        <v>9</v>
      </c>
      <c r="J754" s="8" t="s">
        <v>21</v>
      </c>
      <c r="K754" s="8" t="s">
        <v>11</v>
      </c>
      <c r="L754" s="8" t="s">
        <v>17</v>
      </c>
      <c r="M754" s="8" t="s">
        <v>27</v>
      </c>
      <c r="N754" s="8" t="s">
        <v>7</v>
      </c>
      <c r="O754" s="40" t="s">
        <v>25</v>
      </c>
      <c r="P754" s="31"/>
      <c r="Q754" s="8" t="s">
        <v>40</v>
      </c>
    </row>
    <row r="755" spans="5:17" ht="22.5">
      <c r="E755" s="7" t="s">
        <v>41</v>
      </c>
      <c r="F755" s="7" t="s">
        <v>536</v>
      </c>
      <c r="G755" s="9" t="s">
        <v>43</v>
      </c>
      <c r="H755" s="10" t="s">
        <v>537</v>
      </c>
      <c r="I755" s="10" t="s">
        <v>538</v>
      </c>
      <c r="J755" s="10" t="s">
        <v>143</v>
      </c>
      <c r="K755" s="10" t="s">
        <v>539</v>
      </c>
      <c r="L755" s="10" t="s">
        <v>540</v>
      </c>
      <c r="M755" s="10" t="s">
        <v>541</v>
      </c>
      <c r="N755" s="10" t="s">
        <v>297</v>
      </c>
      <c r="O755" s="30" t="s">
        <v>51</v>
      </c>
      <c r="P755" s="31"/>
      <c r="Q755" s="9" t="s">
        <v>37</v>
      </c>
    </row>
    <row r="756" spans="5:17">
      <c r="E756" s="32" t="s">
        <v>542</v>
      </c>
      <c r="F756" s="33"/>
      <c r="G756" s="9" t="s">
        <v>53</v>
      </c>
      <c r="H756" s="10" t="s">
        <v>51</v>
      </c>
      <c r="I756" s="10" t="s">
        <v>51</v>
      </c>
      <c r="J756" s="10" t="s">
        <v>51</v>
      </c>
      <c r="K756" s="10" t="s">
        <v>51</v>
      </c>
      <c r="L756" s="10" t="s">
        <v>51</v>
      </c>
      <c r="M756" s="10" t="s">
        <v>51</v>
      </c>
      <c r="N756" s="10" t="s">
        <v>51</v>
      </c>
      <c r="O756" s="30" t="s">
        <v>100</v>
      </c>
      <c r="P756" s="31"/>
      <c r="Q756" s="9" t="s">
        <v>37</v>
      </c>
    </row>
    <row r="757" spans="5:17">
      <c r="E757" s="34"/>
      <c r="F757" s="35"/>
      <c r="G757" s="9" t="s">
        <v>55</v>
      </c>
      <c r="H757" s="10" t="s">
        <v>37</v>
      </c>
      <c r="I757" s="10" t="s">
        <v>37</v>
      </c>
      <c r="J757" s="10" t="s">
        <v>37</v>
      </c>
      <c r="K757" s="10" t="s">
        <v>37</v>
      </c>
      <c r="L757" s="10" t="s">
        <v>37</v>
      </c>
      <c r="M757" s="10" t="s">
        <v>37</v>
      </c>
      <c r="N757" s="10" t="s">
        <v>37</v>
      </c>
      <c r="O757" s="30" t="s">
        <v>37</v>
      </c>
      <c r="P757" s="31"/>
      <c r="Q757" s="11">
        <v>0</v>
      </c>
    </row>
    <row r="758" spans="5:17">
      <c r="E758" s="36"/>
      <c r="F758" s="37"/>
      <c r="G758" s="9" t="s">
        <v>56</v>
      </c>
      <c r="H758" s="12">
        <v>4</v>
      </c>
      <c r="I758" s="12">
        <v>4</v>
      </c>
      <c r="J758" s="12">
        <v>4</v>
      </c>
      <c r="K758" s="12">
        <v>3</v>
      </c>
      <c r="L758" s="12">
        <v>3</v>
      </c>
      <c r="M758" s="12">
        <v>3</v>
      </c>
      <c r="N758" s="12">
        <v>2</v>
      </c>
      <c r="O758" s="30">
        <v>2</v>
      </c>
      <c r="P758" s="31"/>
      <c r="Q758" s="11">
        <v>25</v>
      </c>
    </row>
    <row r="759" spans="5:17">
      <c r="E759" s="7" t="s">
        <v>57</v>
      </c>
      <c r="F759" s="13">
        <v>8.1199999999999992</v>
      </c>
      <c r="G759" s="9" t="s">
        <v>58</v>
      </c>
      <c r="H759" s="12">
        <v>8</v>
      </c>
      <c r="I759" s="12">
        <v>7.5</v>
      </c>
      <c r="J759" s="12">
        <v>7</v>
      </c>
      <c r="K759" s="12">
        <v>7</v>
      </c>
      <c r="L759" s="12">
        <v>9.5</v>
      </c>
      <c r="M759" s="12">
        <v>8.5</v>
      </c>
      <c r="N759" s="12">
        <v>9</v>
      </c>
      <c r="O759" s="30">
        <v>10</v>
      </c>
      <c r="P759" s="31"/>
      <c r="Q759" s="9" t="s">
        <v>37</v>
      </c>
    </row>
    <row r="760" spans="5:17">
      <c r="E760" s="7" t="s">
        <v>59</v>
      </c>
      <c r="F760" s="14">
        <v>8.1199999999999992</v>
      </c>
      <c r="G760" s="9" t="s">
        <v>60</v>
      </c>
      <c r="H760" s="12">
        <v>32</v>
      </c>
      <c r="I760" s="12">
        <v>30</v>
      </c>
      <c r="J760" s="12">
        <v>28</v>
      </c>
      <c r="K760" s="12">
        <v>21</v>
      </c>
      <c r="L760" s="12">
        <v>28.5</v>
      </c>
      <c r="M760" s="12">
        <v>25.5</v>
      </c>
      <c r="N760" s="12">
        <v>18</v>
      </c>
      <c r="O760" s="30">
        <v>20</v>
      </c>
      <c r="P760" s="31"/>
      <c r="Q760" s="11">
        <v>203</v>
      </c>
    </row>
    <row r="761" spans="5:17">
      <c r="E761" s="32" t="s">
        <v>61</v>
      </c>
      <c r="F761" s="31"/>
      <c r="G761" s="9" t="s">
        <v>40</v>
      </c>
      <c r="H761" s="12">
        <v>75</v>
      </c>
      <c r="I761" s="12">
        <v>73</v>
      </c>
      <c r="J761" s="12">
        <v>65</v>
      </c>
      <c r="K761" s="12">
        <v>65</v>
      </c>
      <c r="L761" s="12">
        <v>93</v>
      </c>
      <c r="M761" s="12">
        <v>81</v>
      </c>
      <c r="N761" s="12">
        <v>44</v>
      </c>
      <c r="O761" s="30">
        <v>50</v>
      </c>
      <c r="P761" s="31"/>
      <c r="Q761" s="11">
        <v>546</v>
      </c>
    </row>
    <row r="762" spans="5:17">
      <c r="E762" s="7" t="s">
        <v>62</v>
      </c>
      <c r="F762" s="7"/>
      <c r="G762" s="9" t="s">
        <v>63</v>
      </c>
      <c r="H762" s="12">
        <v>100</v>
      </c>
      <c r="I762" s="12">
        <v>100</v>
      </c>
      <c r="J762" s="12">
        <v>100</v>
      </c>
      <c r="K762" s="12">
        <v>100</v>
      </c>
      <c r="L762" s="12">
        <v>100</v>
      </c>
      <c r="M762" s="12">
        <v>100</v>
      </c>
      <c r="N762" s="12">
        <v>50</v>
      </c>
      <c r="O762" s="30">
        <v>50</v>
      </c>
      <c r="P762" s="31"/>
      <c r="Q762" s="11">
        <v>700</v>
      </c>
    </row>
    <row r="763" spans="5:17">
      <c r="E763" s="32" t="s">
        <v>200</v>
      </c>
      <c r="F763" s="31"/>
      <c r="G763" s="9" t="s">
        <v>65</v>
      </c>
      <c r="H763" s="10" t="s">
        <v>102</v>
      </c>
      <c r="I763" s="10" t="s">
        <v>68</v>
      </c>
      <c r="J763" s="10" t="s">
        <v>66</v>
      </c>
      <c r="K763" s="10" t="s">
        <v>66</v>
      </c>
      <c r="L763" s="10" t="s">
        <v>71</v>
      </c>
      <c r="M763" s="10" t="s">
        <v>70</v>
      </c>
      <c r="N763" s="10" t="s">
        <v>67</v>
      </c>
      <c r="O763" s="30" t="s">
        <v>88</v>
      </c>
      <c r="P763" s="31"/>
      <c r="Q763" s="9" t="s">
        <v>37</v>
      </c>
    </row>
    <row r="764" spans="5:17">
      <c r="E764" s="15" t="s">
        <v>72</v>
      </c>
      <c r="F764" s="15" t="s">
        <v>543</v>
      </c>
      <c r="G764" s="9" t="s">
        <v>74</v>
      </c>
      <c r="H764" s="10" t="s">
        <v>75</v>
      </c>
      <c r="I764" s="10" t="s">
        <v>75</v>
      </c>
      <c r="J764" s="10" t="s">
        <v>75</v>
      </c>
      <c r="K764" s="10" t="s">
        <v>75</v>
      </c>
      <c r="L764" s="10" t="s">
        <v>75</v>
      </c>
      <c r="M764" s="10" t="s">
        <v>75</v>
      </c>
      <c r="N764" s="10" t="s">
        <v>75</v>
      </c>
      <c r="O764" s="30" t="s">
        <v>75</v>
      </c>
      <c r="P764" s="31"/>
      <c r="Q764" s="9" t="s">
        <v>37</v>
      </c>
    </row>
    <row r="765" spans="5:17">
      <c r="E765" s="16" t="s">
        <v>37</v>
      </c>
      <c r="F765" s="16" t="s">
        <v>37</v>
      </c>
      <c r="G765" s="16" t="s">
        <v>37</v>
      </c>
      <c r="H765" s="17" t="s">
        <v>37</v>
      </c>
      <c r="I765" s="17" t="s">
        <v>37</v>
      </c>
      <c r="J765" s="17" t="s">
        <v>37</v>
      </c>
      <c r="K765" s="17" t="s">
        <v>37</v>
      </c>
      <c r="L765" s="17" t="s">
        <v>37</v>
      </c>
      <c r="M765" s="17" t="s">
        <v>37</v>
      </c>
      <c r="N765" s="17" t="s">
        <v>37</v>
      </c>
      <c r="O765" s="41" t="s">
        <v>37</v>
      </c>
      <c r="P765" s="28"/>
      <c r="Q765" s="17" t="s">
        <v>37</v>
      </c>
    </row>
    <row r="766" spans="5:17" ht="0" hidden="1" customHeight="1"/>
    <row r="767" spans="5:17" ht="0.6" customHeight="1"/>
    <row r="768" spans="5:17">
      <c r="E768" s="38" t="s">
        <v>35</v>
      </c>
      <c r="F768" s="31"/>
      <c r="G768" s="4" t="s">
        <v>36</v>
      </c>
      <c r="H768" s="6" t="s">
        <v>37</v>
      </c>
      <c r="I768" s="6" t="s">
        <v>37</v>
      </c>
      <c r="J768" s="6" t="s">
        <v>37</v>
      </c>
      <c r="K768" s="6" t="s">
        <v>37</v>
      </c>
      <c r="L768" s="6" t="s">
        <v>37</v>
      </c>
      <c r="M768" s="6" t="s">
        <v>37</v>
      </c>
      <c r="N768" s="6" t="s">
        <v>37</v>
      </c>
      <c r="O768" s="39" t="s">
        <v>37</v>
      </c>
      <c r="P768" s="28"/>
      <c r="Q768" s="6" t="s">
        <v>37</v>
      </c>
    </row>
    <row r="769" spans="5:17" ht="21">
      <c r="E769" s="32" t="s">
        <v>544</v>
      </c>
      <c r="F769" s="31"/>
      <c r="G769" s="8" t="s">
        <v>39</v>
      </c>
      <c r="H769" s="8" t="s">
        <v>19</v>
      </c>
      <c r="I769" s="8" t="s">
        <v>9</v>
      </c>
      <c r="J769" s="8" t="s">
        <v>21</v>
      </c>
      <c r="K769" s="8" t="s">
        <v>11</v>
      </c>
      <c r="L769" s="8" t="s">
        <v>17</v>
      </c>
      <c r="M769" s="8" t="s">
        <v>27</v>
      </c>
      <c r="N769" s="8" t="s">
        <v>7</v>
      </c>
      <c r="O769" s="40" t="s">
        <v>33</v>
      </c>
      <c r="P769" s="31"/>
      <c r="Q769" s="8" t="s">
        <v>40</v>
      </c>
    </row>
    <row r="770" spans="5:17" ht="22.5">
      <c r="E770" s="7" t="s">
        <v>41</v>
      </c>
      <c r="F770" s="7" t="s">
        <v>545</v>
      </c>
      <c r="G770" s="9" t="s">
        <v>43</v>
      </c>
      <c r="H770" s="10" t="s">
        <v>546</v>
      </c>
      <c r="I770" s="10" t="s">
        <v>547</v>
      </c>
      <c r="J770" s="10" t="s">
        <v>299</v>
      </c>
      <c r="K770" s="10" t="s">
        <v>548</v>
      </c>
      <c r="L770" s="10" t="s">
        <v>480</v>
      </c>
      <c r="M770" s="10" t="s">
        <v>549</v>
      </c>
      <c r="N770" s="10" t="s">
        <v>550</v>
      </c>
      <c r="O770" s="30" t="s">
        <v>51</v>
      </c>
      <c r="P770" s="31"/>
      <c r="Q770" s="9" t="s">
        <v>37</v>
      </c>
    </row>
    <row r="771" spans="5:17">
      <c r="E771" s="32" t="s">
        <v>551</v>
      </c>
      <c r="F771" s="33"/>
      <c r="G771" s="9" t="s">
        <v>53</v>
      </c>
      <c r="H771" s="10" t="s">
        <v>51</v>
      </c>
      <c r="I771" s="10" t="s">
        <v>51</v>
      </c>
      <c r="J771" s="10" t="s">
        <v>51</v>
      </c>
      <c r="K771" s="10" t="s">
        <v>51</v>
      </c>
      <c r="L771" s="10" t="s">
        <v>51</v>
      </c>
      <c r="M771" s="10" t="s">
        <v>51</v>
      </c>
      <c r="N771" s="10" t="s">
        <v>51</v>
      </c>
      <c r="O771" s="30" t="s">
        <v>552</v>
      </c>
      <c r="P771" s="31"/>
      <c r="Q771" s="9" t="s">
        <v>37</v>
      </c>
    </row>
    <row r="772" spans="5:17">
      <c r="E772" s="34"/>
      <c r="F772" s="35"/>
      <c r="G772" s="9" t="s">
        <v>55</v>
      </c>
      <c r="H772" s="10" t="s">
        <v>37</v>
      </c>
      <c r="I772" s="10" t="s">
        <v>37</v>
      </c>
      <c r="J772" s="10" t="s">
        <v>37</v>
      </c>
      <c r="K772" s="10" t="s">
        <v>37</v>
      </c>
      <c r="L772" s="10" t="s">
        <v>37</v>
      </c>
      <c r="M772" s="10" t="s">
        <v>37</v>
      </c>
      <c r="N772" s="10" t="s">
        <v>37</v>
      </c>
      <c r="O772" s="30" t="s">
        <v>37</v>
      </c>
      <c r="P772" s="31"/>
      <c r="Q772" s="11">
        <v>0</v>
      </c>
    </row>
    <row r="773" spans="5:17">
      <c r="E773" s="36"/>
      <c r="F773" s="37"/>
      <c r="G773" s="9" t="s">
        <v>56</v>
      </c>
      <c r="H773" s="12">
        <v>4</v>
      </c>
      <c r="I773" s="12">
        <v>4</v>
      </c>
      <c r="J773" s="12">
        <v>4</v>
      </c>
      <c r="K773" s="12">
        <v>3</v>
      </c>
      <c r="L773" s="12">
        <v>3</v>
      </c>
      <c r="M773" s="12">
        <v>3</v>
      </c>
      <c r="N773" s="12">
        <v>2</v>
      </c>
      <c r="O773" s="30">
        <v>2</v>
      </c>
      <c r="P773" s="31"/>
      <c r="Q773" s="11">
        <v>25</v>
      </c>
    </row>
    <row r="774" spans="5:17">
      <c r="E774" s="7" t="s">
        <v>57</v>
      </c>
      <c r="F774" s="13">
        <v>8.06</v>
      </c>
      <c r="G774" s="9" t="s">
        <v>58</v>
      </c>
      <c r="H774" s="12">
        <v>8.5</v>
      </c>
      <c r="I774" s="12">
        <v>8.5</v>
      </c>
      <c r="J774" s="12">
        <v>7.5</v>
      </c>
      <c r="K774" s="12">
        <v>6</v>
      </c>
      <c r="L774" s="12">
        <v>8.5</v>
      </c>
      <c r="M774" s="12">
        <v>9</v>
      </c>
      <c r="N774" s="12">
        <v>8</v>
      </c>
      <c r="O774" s="30">
        <v>8.5</v>
      </c>
      <c r="P774" s="31"/>
      <c r="Q774" s="9" t="s">
        <v>37</v>
      </c>
    </row>
    <row r="775" spans="5:17">
      <c r="E775" s="7" t="s">
        <v>59</v>
      </c>
      <c r="F775" s="14">
        <v>8.06</v>
      </c>
      <c r="G775" s="9" t="s">
        <v>60</v>
      </c>
      <c r="H775" s="12">
        <v>34</v>
      </c>
      <c r="I775" s="12">
        <v>34</v>
      </c>
      <c r="J775" s="12">
        <v>30</v>
      </c>
      <c r="K775" s="12">
        <v>18</v>
      </c>
      <c r="L775" s="12">
        <v>25.5</v>
      </c>
      <c r="M775" s="12">
        <v>27</v>
      </c>
      <c r="N775" s="12">
        <v>16</v>
      </c>
      <c r="O775" s="30">
        <v>17</v>
      </c>
      <c r="P775" s="31"/>
      <c r="Q775" s="11">
        <v>201.5</v>
      </c>
    </row>
    <row r="776" spans="5:17">
      <c r="E776" s="32" t="s">
        <v>61</v>
      </c>
      <c r="F776" s="31"/>
      <c r="G776" s="9" t="s">
        <v>40</v>
      </c>
      <c r="H776" s="12">
        <v>80</v>
      </c>
      <c r="I776" s="12">
        <v>80</v>
      </c>
      <c r="J776" s="12">
        <v>73</v>
      </c>
      <c r="K776" s="12">
        <v>57</v>
      </c>
      <c r="L776" s="12">
        <v>82</v>
      </c>
      <c r="M776" s="12">
        <v>88</v>
      </c>
      <c r="N776" s="12">
        <v>38</v>
      </c>
      <c r="O776" s="30">
        <v>40</v>
      </c>
      <c r="P776" s="31"/>
      <c r="Q776" s="11">
        <v>538</v>
      </c>
    </row>
    <row r="777" spans="5:17">
      <c r="E777" s="7" t="s">
        <v>62</v>
      </c>
      <c r="F777" s="7"/>
      <c r="G777" s="9" t="s">
        <v>63</v>
      </c>
      <c r="H777" s="12">
        <v>100</v>
      </c>
      <c r="I777" s="12">
        <v>100</v>
      </c>
      <c r="J777" s="12">
        <v>100</v>
      </c>
      <c r="K777" s="12">
        <v>100</v>
      </c>
      <c r="L777" s="12">
        <v>100</v>
      </c>
      <c r="M777" s="12">
        <v>100</v>
      </c>
      <c r="N777" s="12">
        <v>50</v>
      </c>
      <c r="O777" s="30">
        <v>50</v>
      </c>
      <c r="P777" s="31"/>
      <c r="Q777" s="11">
        <v>700</v>
      </c>
    </row>
    <row r="778" spans="5:17">
      <c r="E778" s="32" t="s">
        <v>200</v>
      </c>
      <c r="F778" s="31"/>
      <c r="G778" s="9" t="s">
        <v>65</v>
      </c>
      <c r="H778" s="10" t="s">
        <v>70</v>
      </c>
      <c r="I778" s="10" t="s">
        <v>70</v>
      </c>
      <c r="J778" s="10" t="s">
        <v>68</v>
      </c>
      <c r="K778" s="10" t="s">
        <v>103</v>
      </c>
      <c r="L778" s="10" t="s">
        <v>70</v>
      </c>
      <c r="M778" s="10" t="s">
        <v>67</v>
      </c>
      <c r="N778" s="10" t="s">
        <v>102</v>
      </c>
      <c r="O778" s="30" t="s">
        <v>70</v>
      </c>
      <c r="P778" s="31"/>
      <c r="Q778" s="9" t="s">
        <v>37</v>
      </c>
    </row>
    <row r="779" spans="5:17">
      <c r="E779" s="15" t="s">
        <v>72</v>
      </c>
      <c r="F779" s="15" t="s">
        <v>553</v>
      </c>
      <c r="G779" s="9" t="s">
        <v>74</v>
      </c>
      <c r="H779" s="10" t="s">
        <v>75</v>
      </c>
      <c r="I779" s="10" t="s">
        <v>75</v>
      </c>
      <c r="J779" s="10" t="s">
        <v>75</v>
      </c>
      <c r="K779" s="10" t="s">
        <v>75</v>
      </c>
      <c r="L779" s="10" t="s">
        <v>75</v>
      </c>
      <c r="M779" s="10" t="s">
        <v>75</v>
      </c>
      <c r="N779" s="10" t="s">
        <v>75</v>
      </c>
      <c r="O779" s="30" t="s">
        <v>75</v>
      </c>
      <c r="P779" s="31"/>
      <c r="Q779" s="9" t="s">
        <v>37</v>
      </c>
    </row>
    <row r="780" spans="5:17">
      <c r="E780" s="16" t="s">
        <v>37</v>
      </c>
      <c r="F780" s="16" t="s">
        <v>37</v>
      </c>
      <c r="G780" s="16" t="s">
        <v>37</v>
      </c>
      <c r="H780" s="17" t="s">
        <v>37</v>
      </c>
      <c r="I780" s="17" t="s">
        <v>37</v>
      </c>
      <c r="J780" s="17" t="s">
        <v>37</v>
      </c>
      <c r="K780" s="17" t="s">
        <v>37</v>
      </c>
      <c r="L780" s="17" t="s">
        <v>37</v>
      </c>
      <c r="M780" s="17" t="s">
        <v>37</v>
      </c>
      <c r="N780" s="17" t="s">
        <v>37</v>
      </c>
      <c r="O780" s="41" t="s">
        <v>37</v>
      </c>
      <c r="P780" s="28"/>
      <c r="Q780" s="17" t="s">
        <v>37</v>
      </c>
    </row>
    <row r="781" spans="5:17" ht="0" hidden="1" customHeight="1"/>
    <row r="782" spans="5:17" ht="0.6" customHeight="1"/>
    <row r="783" spans="5:17">
      <c r="E783" s="38" t="s">
        <v>35</v>
      </c>
      <c r="F783" s="31"/>
      <c r="G783" s="4" t="s">
        <v>36</v>
      </c>
      <c r="H783" s="6" t="s">
        <v>37</v>
      </c>
      <c r="I783" s="6" t="s">
        <v>37</v>
      </c>
      <c r="J783" s="6" t="s">
        <v>37</v>
      </c>
      <c r="K783" s="6" t="s">
        <v>37</v>
      </c>
      <c r="L783" s="6" t="s">
        <v>37</v>
      </c>
      <c r="M783" s="6" t="s">
        <v>37</v>
      </c>
      <c r="N783" s="6" t="s">
        <v>37</v>
      </c>
      <c r="O783" s="39" t="s">
        <v>37</v>
      </c>
      <c r="P783" s="28"/>
      <c r="Q783" s="6" t="s">
        <v>37</v>
      </c>
    </row>
    <row r="784" spans="5:17" ht="21">
      <c r="E784" s="32" t="s">
        <v>554</v>
      </c>
      <c r="F784" s="31"/>
      <c r="G784" s="8" t="s">
        <v>39</v>
      </c>
      <c r="H784" s="8" t="s">
        <v>19</v>
      </c>
      <c r="I784" s="8" t="s">
        <v>9</v>
      </c>
      <c r="J784" s="8" t="s">
        <v>21</v>
      </c>
      <c r="K784" s="8" t="s">
        <v>11</v>
      </c>
      <c r="L784" s="8" t="s">
        <v>17</v>
      </c>
      <c r="M784" s="8" t="s">
        <v>27</v>
      </c>
      <c r="N784" s="8" t="s">
        <v>7</v>
      </c>
      <c r="O784" s="40" t="s">
        <v>29</v>
      </c>
      <c r="P784" s="31"/>
      <c r="Q784" s="8" t="s">
        <v>40</v>
      </c>
    </row>
    <row r="785" spans="5:17" ht="22.5">
      <c r="E785" s="7" t="s">
        <v>41</v>
      </c>
      <c r="F785" s="7" t="s">
        <v>555</v>
      </c>
      <c r="G785" s="9" t="s">
        <v>43</v>
      </c>
      <c r="H785" s="10" t="s">
        <v>206</v>
      </c>
      <c r="I785" s="10" t="s">
        <v>556</v>
      </c>
      <c r="J785" s="10" t="s">
        <v>511</v>
      </c>
      <c r="K785" s="10" t="s">
        <v>121</v>
      </c>
      <c r="L785" s="10" t="s">
        <v>557</v>
      </c>
      <c r="M785" s="10" t="s">
        <v>558</v>
      </c>
      <c r="N785" s="10" t="s">
        <v>559</v>
      </c>
      <c r="O785" s="30" t="s">
        <v>51</v>
      </c>
      <c r="P785" s="31"/>
      <c r="Q785" s="9" t="s">
        <v>37</v>
      </c>
    </row>
    <row r="786" spans="5:17">
      <c r="E786" s="32" t="s">
        <v>560</v>
      </c>
      <c r="F786" s="33"/>
      <c r="G786" s="9" t="s">
        <v>53</v>
      </c>
      <c r="H786" s="10" t="s">
        <v>51</v>
      </c>
      <c r="I786" s="10" t="s">
        <v>51</v>
      </c>
      <c r="J786" s="10" t="s">
        <v>51</v>
      </c>
      <c r="K786" s="10" t="s">
        <v>51</v>
      </c>
      <c r="L786" s="10" t="s">
        <v>51</v>
      </c>
      <c r="M786" s="10" t="s">
        <v>51</v>
      </c>
      <c r="N786" s="10" t="s">
        <v>51</v>
      </c>
      <c r="O786" s="30" t="s">
        <v>178</v>
      </c>
      <c r="P786" s="31"/>
      <c r="Q786" s="9" t="s">
        <v>37</v>
      </c>
    </row>
    <row r="787" spans="5:17">
      <c r="E787" s="34"/>
      <c r="F787" s="35"/>
      <c r="G787" s="9" t="s">
        <v>55</v>
      </c>
      <c r="H787" s="10" t="s">
        <v>37</v>
      </c>
      <c r="I787" s="10" t="s">
        <v>37</v>
      </c>
      <c r="J787" s="10" t="s">
        <v>37</v>
      </c>
      <c r="K787" s="10" t="s">
        <v>37</v>
      </c>
      <c r="L787" s="10" t="s">
        <v>37</v>
      </c>
      <c r="M787" s="10" t="s">
        <v>37</v>
      </c>
      <c r="N787" s="10" t="s">
        <v>37</v>
      </c>
      <c r="O787" s="30" t="s">
        <v>37</v>
      </c>
      <c r="P787" s="31"/>
      <c r="Q787" s="11">
        <v>0</v>
      </c>
    </row>
    <row r="788" spans="5:17">
      <c r="E788" s="36"/>
      <c r="F788" s="37"/>
      <c r="G788" s="9" t="s">
        <v>56</v>
      </c>
      <c r="H788" s="12">
        <v>4</v>
      </c>
      <c r="I788" s="12">
        <v>4</v>
      </c>
      <c r="J788" s="12">
        <v>4</v>
      </c>
      <c r="K788" s="12">
        <v>3</v>
      </c>
      <c r="L788" s="12">
        <v>3</v>
      </c>
      <c r="M788" s="12">
        <v>3</v>
      </c>
      <c r="N788" s="12">
        <v>2</v>
      </c>
      <c r="O788" s="30">
        <v>2</v>
      </c>
      <c r="P788" s="31"/>
      <c r="Q788" s="11">
        <v>25</v>
      </c>
    </row>
    <row r="789" spans="5:17">
      <c r="E789" s="7" t="s">
        <v>57</v>
      </c>
      <c r="F789" s="13">
        <v>8.44</v>
      </c>
      <c r="G789" s="9" t="s">
        <v>58</v>
      </c>
      <c r="H789" s="12">
        <v>8</v>
      </c>
      <c r="I789" s="12">
        <v>8.5</v>
      </c>
      <c r="J789" s="12">
        <v>8.5</v>
      </c>
      <c r="K789" s="12">
        <v>7</v>
      </c>
      <c r="L789" s="12">
        <v>8.5</v>
      </c>
      <c r="M789" s="12">
        <v>9.5</v>
      </c>
      <c r="N789" s="12">
        <v>8.5</v>
      </c>
      <c r="O789" s="30">
        <v>9.5</v>
      </c>
      <c r="P789" s="31"/>
      <c r="Q789" s="9" t="s">
        <v>37</v>
      </c>
    </row>
    <row r="790" spans="5:17">
      <c r="E790" s="7" t="s">
        <v>59</v>
      </c>
      <c r="F790" s="14">
        <v>8.44</v>
      </c>
      <c r="G790" s="9" t="s">
        <v>60</v>
      </c>
      <c r="H790" s="12">
        <v>32</v>
      </c>
      <c r="I790" s="12">
        <v>34</v>
      </c>
      <c r="J790" s="12">
        <v>34</v>
      </c>
      <c r="K790" s="12">
        <v>21</v>
      </c>
      <c r="L790" s="12">
        <v>25.5</v>
      </c>
      <c r="M790" s="12">
        <v>28.5</v>
      </c>
      <c r="N790" s="12">
        <v>17</v>
      </c>
      <c r="O790" s="30">
        <v>19</v>
      </c>
      <c r="P790" s="31"/>
      <c r="Q790" s="11">
        <v>211</v>
      </c>
    </row>
    <row r="791" spans="5:17">
      <c r="E791" s="32" t="s">
        <v>61</v>
      </c>
      <c r="F791" s="31"/>
      <c r="G791" s="9" t="s">
        <v>40</v>
      </c>
      <c r="H791" s="12">
        <v>76</v>
      </c>
      <c r="I791" s="12">
        <v>81</v>
      </c>
      <c r="J791" s="12">
        <v>80</v>
      </c>
      <c r="K791" s="12">
        <v>65</v>
      </c>
      <c r="L791" s="12">
        <v>83</v>
      </c>
      <c r="M791" s="12">
        <v>93</v>
      </c>
      <c r="N791" s="12">
        <v>41</v>
      </c>
      <c r="O791" s="30">
        <v>47</v>
      </c>
      <c r="P791" s="31"/>
      <c r="Q791" s="11">
        <v>566</v>
      </c>
    </row>
    <row r="792" spans="5:17">
      <c r="E792" s="7" t="s">
        <v>62</v>
      </c>
      <c r="F792" s="7"/>
      <c r="G792" s="9" t="s">
        <v>63</v>
      </c>
      <c r="H792" s="12">
        <v>100</v>
      </c>
      <c r="I792" s="12">
        <v>100</v>
      </c>
      <c r="J792" s="12">
        <v>100</v>
      </c>
      <c r="K792" s="12">
        <v>100</v>
      </c>
      <c r="L792" s="12">
        <v>100</v>
      </c>
      <c r="M792" s="12">
        <v>100</v>
      </c>
      <c r="N792" s="12">
        <v>50</v>
      </c>
      <c r="O792" s="30">
        <v>50</v>
      </c>
      <c r="P792" s="31"/>
      <c r="Q792" s="11">
        <v>700</v>
      </c>
    </row>
    <row r="793" spans="5:17">
      <c r="E793" s="32" t="s">
        <v>200</v>
      </c>
      <c r="F793" s="31"/>
      <c r="G793" s="9" t="s">
        <v>65</v>
      </c>
      <c r="H793" s="10" t="s">
        <v>102</v>
      </c>
      <c r="I793" s="10" t="s">
        <v>70</v>
      </c>
      <c r="J793" s="10" t="s">
        <v>70</v>
      </c>
      <c r="K793" s="10" t="s">
        <v>66</v>
      </c>
      <c r="L793" s="10" t="s">
        <v>70</v>
      </c>
      <c r="M793" s="10" t="s">
        <v>71</v>
      </c>
      <c r="N793" s="10" t="s">
        <v>70</v>
      </c>
      <c r="O793" s="30" t="s">
        <v>71</v>
      </c>
      <c r="P793" s="31"/>
      <c r="Q793" s="9" t="s">
        <v>37</v>
      </c>
    </row>
    <row r="794" spans="5:17">
      <c r="E794" s="15" t="s">
        <v>72</v>
      </c>
      <c r="F794" s="15" t="s">
        <v>561</v>
      </c>
      <c r="G794" s="9" t="s">
        <v>74</v>
      </c>
      <c r="H794" s="10" t="s">
        <v>75</v>
      </c>
      <c r="I794" s="10" t="s">
        <v>75</v>
      </c>
      <c r="J794" s="10" t="s">
        <v>75</v>
      </c>
      <c r="K794" s="10" t="s">
        <v>75</v>
      </c>
      <c r="L794" s="10" t="s">
        <v>75</v>
      </c>
      <c r="M794" s="10" t="s">
        <v>75</v>
      </c>
      <c r="N794" s="10" t="s">
        <v>75</v>
      </c>
      <c r="O794" s="30" t="s">
        <v>75</v>
      </c>
      <c r="P794" s="31"/>
      <c r="Q794" s="9" t="s">
        <v>37</v>
      </c>
    </row>
    <row r="795" spans="5:17">
      <c r="E795" s="16" t="s">
        <v>37</v>
      </c>
      <c r="F795" s="16" t="s">
        <v>37</v>
      </c>
      <c r="G795" s="16" t="s">
        <v>37</v>
      </c>
      <c r="H795" s="17" t="s">
        <v>37</v>
      </c>
      <c r="I795" s="17" t="s">
        <v>37</v>
      </c>
      <c r="J795" s="17" t="s">
        <v>37</v>
      </c>
      <c r="K795" s="17" t="s">
        <v>37</v>
      </c>
      <c r="L795" s="17" t="s">
        <v>37</v>
      </c>
      <c r="M795" s="17" t="s">
        <v>37</v>
      </c>
      <c r="N795" s="17" t="s">
        <v>37</v>
      </c>
      <c r="O795" s="41" t="s">
        <v>37</v>
      </c>
      <c r="P795" s="28"/>
      <c r="Q795" s="17" t="s">
        <v>37</v>
      </c>
    </row>
    <row r="796" spans="5:17" ht="0" hidden="1" customHeight="1"/>
    <row r="797" spans="5:17" ht="0.6" customHeight="1"/>
    <row r="798" spans="5:17">
      <c r="E798" s="38" t="s">
        <v>35</v>
      </c>
      <c r="F798" s="31"/>
      <c r="G798" s="4" t="s">
        <v>36</v>
      </c>
      <c r="H798" s="6" t="s">
        <v>37</v>
      </c>
      <c r="I798" s="6" t="s">
        <v>37</v>
      </c>
      <c r="J798" s="6" t="s">
        <v>37</v>
      </c>
      <c r="K798" s="6" t="s">
        <v>37</v>
      </c>
      <c r="L798" s="6" t="s">
        <v>37</v>
      </c>
      <c r="M798" s="6" t="s">
        <v>37</v>
      </c>
      <c r="N798" s="6" t="s">
        <v>37</v>
      </c>
      <c r="O798" s="39" t="s">
        <v>37</v>
      </c>
      <c r="P798" s="28"/>
      <c r="Q798" s="6" t="s">
        <v>37</v>
      </c>
    </row>
    <row r="799" spans="5:17" ht="21">
      <c r="E799" s="32" t="s">
        <v>562</v>
      </c>
      <c r="F799" s="31"/>
      <c r="G799" s="8" t="s">
        <v>39</v>
      </c>
      <c r="H799" s="8" t="s">
        <v>19</v>
      </c>
      <c r="I799" s="8" t="s">
        <v>9</v>
      </c>
      <c r="J799" s="8" t="s">
        <v>21</v>
      </c>
      <c r="K799" s="8" t="s">
        <v>11</v>
      </c>
      <c r="L799" s="8" t="s">
        <v>15</v>
      </c>
      <c r="M799" s="8" t="s">
        <v>27</v>
      </c>
      <c r="N799" s="8" t="s">
        <v>7</v>
      </c>
      <c r="O799" s="40" t="s">
        <v>25</v>
      </c>
      <c r="P799" s="31"/>
      <c r="Q799" s="8" t="s">
        <v>40</v>
      </c>
    </row>
    <row r="800" spans="5:17" ht="22.5">
      <c r="E800" s="7" t="s">
        <v>41</v>
      </c>
      <c r="F800" s="7" t="s">
        <v>563</v>
      </c>
      <c r="G800" s="9" t="s">
        <v>43</v>
      </c>
      <c r="H800" s="10" t="s">
        <v>94</v>
      </c>
      <c r="I800" s="10" t="s">
        <v>424</v>
      </c>
      <c r="J800" s="10" t="s">
        <v>564</v>
      </c>
      <c r="K800" s="10" t="s">
        <v>153</v>
      </c>
      <c r="L800" s="10" t="s">
        <v>403</v>
      </c>
      <c r="M800" s="10" t="s">
        <v>565</v>
      </c>
      <c r="N800" s="10" t="s">
        <v>566</v>
      </c>
      <c r="O800" s="30" t="s">
        <v>51</v>
      </c>
      <c r="P800" s="31"/>
      <c r="Q800" s="9" t="s">
        <v>37</v>
      </c>
    </row>
    <row r="801" spans="5:17">
      <c r="E801" s="32" t="s">
        <v>567</v>
      </c>
      <c r="F801" s="33"/>
      <c r="G801" s="9" t="s">
        <v>53</v>
      </c>
      <c r="H801" s="10" t="s">
        <v>51</v>
      </c>
      <c r="I801" s="10" t="s">
        <v>51</v>
      </c>
      <c r="J801" s="10" t="s">
        <v>51</v>
      </c>
      <c r="K801" s="10" t="s">
        <v>51</v>
      </c>
      <c r="L801" s="10" t="s">
        <v>51</v>
      </c>
      <c r="M801" s="10" t="s">
        <v>51</v>
      </c>
      <c r="N801" s="10" t="s">
        <v>51</v>
      </c>
      <c r="O801" s="30" t="s">
        <v>100</v>
      </c>
      <c r="P801" s="31"/>
      <c r="Q801" s="9" t="s">
        <v>37</v>
      </c>
    </row>
    <row r="802" spans="5:17">
      <c r="E802" s="34"/>
      <c r="F802" s="35"/>
      <c r="G802" s="9" t="s">
        <v>55</v>
      </c>
      <c r="H802" s="10" t="s">
        <v>37</v>
      </c>
      <c r="I802" s="10" t="s">
        <v>37</v>
      </c>
      <c r="J802" s="10" t="s">
        <v>37</v>
      </c>
      <c r="K802" s="10" t="s">
        <v>37</v>
      </c>
      <c r="L802" s="10" t="s">
        <v>37</v>
      </c>
      <c r="M802" s="10" t="s">
        <v>37</v>
      </c>
      <c r="N802" s="10" t="s">
        <v>37</v>
      </c>
      <c r="O802" s="30" t="s">
        <v>37</v>
      </c>
      <c r="P802" s="31"/>
      <c r="Q802" s="11">
        <v>0</v>
      </c>
    </row>
    <row r="803" spans="5:17">
      <c r="E803" s="36"/>
      <c r="F803" s="37"/>
      <c r="G803" s="9" t="s">
        <v>56</v>
      </c>
      <c r="H803" s="12">
        <v>4</v>
      </c>
      <c r="I803" s="12">
        <v>4</v>
      </c>
      <c r="J803" s="12">
        <v>4</v>
      </c>
      <c r="K803" s="12">
        <v>3</v>
      </c>
      <c r="L803" s="12">
        <v>3</v>
      </c>
      <c r="M803" s="12">
        <v>3</v>
      </c>
      <c r="N803" s="12">
        <v>2</v>
      </c>
      <c r="O803" s="30">
        <v>2</v>
      </c>
      <c r="P803" s="31"/>
      <c r="Q803" s="11">
        <v>25</v>
      </c>
    </row>
    <row r="804" spans="5:17">
      <c r="E804" s="7" t="s">
        <v>57</v>
      </c>
      <c r="F804" s="13">
        <v>7.24</v>
      </c>
      <c r="G804" s="9" t="s">
        <v>58</v>
      </c>
      <c r="H804" s="12">
        <v>7</v>
      </c>
      <c r="I804" s="12">
        <v>8.5</v>
      </c>
      <c r="J804" s="12">
        <v>5</v>
      </c>
      <c r="K804" s="12">
        <v>6.5</v>
      </c>
      <c r="L804" s="12">
        <v>8</v>
      </c>
      <c r="M804" s="12">
        <v>6.5</v>
      </c>
      <c r="N804" s="12">
        <v>8</v>
      </c>
      <c r="O804" s="30">
        <v>10</v>
      </c>
      <c r="P804" s="31"/>
      <c r="Q804" s="9" t="s">
        <v>37</v>
      </c>
    </row>
    <row r="805" spans="5:17">
      <c r="E805" s="7" t="s">
        <v>59</v>
      </c>
      <c r="F805" s="14">
        <v>7.24</v>
      </c>
      <c r="G805" s="9" t="s">
        <v>60</v>
      </c>
      <c r="H805" s="12">
        <v>28</v>
      </c>
      <c r="I805" s="12">
        <v>34</v>
      </c>
      <c r="J805" s="12">
        <v>20</v>
      </c>
      <c r="K805" s="12">
        <v>19.5</v>
      </c>
      <c r="L805" s="12">
        <v>24</v>
      </c>
      <c r="M805" s="12">
        <v>19.5</v>
      </c>
      <c r="N805" s="12">
        <v>16</v>
      </c>
      <c r="O805" s="30">
        <v>20</v>
      </c>
      <c r="P805" s="31"/>
      <c r="Q805" s="11">
        <v>181</v>
      </c>
    </row>
    <row r="806" spans="5:17">
      <c r="E806" s="32" t="s">
        <v>61</v>
      </c>
      <c r="F806" s="31"/>
      <c r="G806" s="9" t="s">
        <v>40</v>
      </c>
      <c r="H806" s="12">
        <v>66</v>
      </c>
      <c r="I806" s="12">
        <v>82</v>
      </c>
      <c r="J806" s="12">
        <v>49</v>
      </c>
      <c r="K806" s="12">
        <v>64</v>
      </c>
      <c r="L806" s="12">
        <v>75</v>
      </c>
      <c r="M806" s="12">
        <v>62</v>
      </c>
      <c r="N806" s="12">
        <v>38</v>
      </c>
      <c r="O806" s="30">
        <v>50</v>
      </c>
      <c r="P806" s="31"/>
      <c r="Q806" s="11">
        <v>486</v>
      </c>
    </row>
    <row r="807" spans="5:17">
      <c r="E807" s="7" t="s">
        <v>62</v>
      </c>
      <c r="F807" s="7"/>
      <c r="G807" s="9" t="s">
        <v>63</v>
      </c>
      <c r="H807" s="12">
        <v>100</v>
      </c>
      <c r="I807" s="12">
        <v>100</v>
      </c>
      <c r="J807" s="12">
        <v>100</v>
      </c>
      <c r="K807" s="12">
        <v>100</v>
      </c>
      <c r="L807" s="12">
        <v>100</v>
      </c>
      <c r="M807" s="12">
        <v>100</v>
      </c>
      <c r="N807" s="12">
        <v>50</v>
      </c>
      <c r="O807" s="30">
        <v>50</v>
      </c>
      <c r="P807" s="31"/>
      <c r="Q807" s="11">
        <v>700</v>
      </c>
    </row>
    <row r="808" spans="5:17">
      <c r="E808" s="32" t="s">
        <v>101</v>
      </c>
      <c r="F808" s="31"/>
      <c r="G808" s="9" t="s">
        <v>65</v>
      </c>
      <c r="H808" s="10" t="s">
        <v>66</v>
      </c>
      <c r="I808" s="10" t="s">
        <v>70</v>
      </c>
      <c r="J808" s="10" t="s">
        <v>127</v>
      </c>
      <c r="K808" s="10" t="s">
        <v>69</v>
      </c>
      <c r="L808" s="10" t="s">
        <v>102</v>
      </c>
      <c r="M808" s="10" t="s">
        <v>69</v>
      </c>
      <c r="N808" s="10" t="s">
        <v>102</v>
      </c>
      <c r="O808" s="30" t="s">
        <v>88</v>
      </c>
      <c r="P808" s="31"/>
      <c r="Q808" s="9" t="s">
        <v>37</v>
      </c>
    </row>
    <row r="809" spans="5:17">
      <c r="E809" s="15" t="s">
        <v>72</v>
      </c>
      <c r="F809" s="15" t="s">
        <v>568</v>
      </c>
      <c r="G809" s="9" t="s">
        <v>74</v>
      </c>
      <c r="H809" s="10" t="s">
        <v>75</v>
      </c>
      <c r="I809" s="10" t="s">
        <v>75</v>
      </c>
      <c r="J809" s="10" t="s">
        <v>75</v>
      </c>
      <c r="K809" s="10" t="s">
        <v>75</v>
      </c>
      <c r="L809" s="10" t="s">
        <v>75</v>
      </c>
      <c r="M809" s="10" t="s">
        <v>75</v>
      </c>
      <c r="N809" s="10" t="s">
        <v>75</v>
      </c>
      <c r="O809" s="30" t="s">
        <v>75</v>
      </c>
      <c r="P809" s="31"/>
      <c r="Q809" s="9" t="s">
        <v>37</v>
      </c>
    </row>
    <row r="810" spans="5:17">
      <c r="E810" s="16" t="s">
        <v>37</v>
      </c>
      <c r="F810" s="16" t="s">
        <v>37</v>
      </c>
      <c r="G810" s="16" t="s">
        <v>37</v>
      </c>
      <c r="H810" s="17" t="s">
        <v>37</v>
      </c>
      <c r="I810" s="17" t="s">
        <v>37</v>
      </c>
      <c r="J810" s="17" t="s">
        <v>37</v>
      </c>
      <c r="K810" s="17" t="s">
        <v>37</v>
      </c>
      <c r="L810" s="17" t="s">
        <v>37</v>
      </c>
      <c r="M810" s="17" t="s">
        <v>37</v>
      </c>
      <c r="N810" s="17" t="s">
        <v>37</v>
      </c>
      <c r="O810" s="41" t="s">
        <v>37</v>
      </c>
      <c r="P810" s="28"/>
      <c r="Q810" s="17" t="s">
        <v>37</v>
      </c>
    </row>
    <row r="811" spans="5:17" ht="0" hidden="1" customHeight="1"/>
    <row r="812" spans="5:17" ht="0.6" customHeight="1"/>
    <row r="813" spans="5:17">
      <c r="E813" s="38" t="s">
        <v>35</v>
      </c>
      <c r="F813" s="31"/>
      <c r="G813" s="4" t="s">
        <v>36</v>
      </c>
      <c r="H813" s="6" t="s">
        <v>37</v>
      </c>
      <c r="I813" s="6" t="s">
        <v>37</v>
      </c>
      <c r="J813" s="6" t="s">
        <v>37</v>
      </c>
      <c r="K813" s="6" t="s">
        <v>37</v>
      </c>
      <c r="L813" s="6" t="s">
        <v>37</v>
      </c>
      <c r="M813" s="6" t="s">
        <v>37</v>
      </c>
      <c r="N813" s="6" t="s">
        <v>37</v>
      </c>
      <c r="O813" s="39" t="s">
        <v>37</v>
      </c>
      <c r="P813" s="28"/>
      <c r="Q813" s="6" t="s">
        <v>37</v>
      </c>
    </row>
    <row r="814" spans="5:17" ht="21">
      <c r="E814" s="32" t="s">
        <v>569</v>
      </c>
      <c r="F814" s="31"/>
      <c r="G814" s="8" t="s">
        <v>39</v>
      </c>
      <c r="H814" s="8" t="s">
        <v>19</v>
      </c>
      <c r="I814" s="8" t="s">
        <v>9</v>
      </c>
      <c r="J814" s="8" t="s">
        <v>21</v>
      </c>
      <c r="K814" s="8" t="s">
        <v>11</v>
      </c>
      <c r="L814" s="8" t="s">
        <v>17</v>
      </c>
      <c r="M814" s="8" t="s">
        <v>27</v>
      </c>
      <c r="N814" s="8" t="s">
        <v>7</v>
      </c>
      <c r="O814" s="40" t="s">
        <v>25</v>
      </c>
      <c r="P814" s="31"/>
      <c r="Q814" s="8" t="s">
        <v>40</v>
      </c>
    </row>
    <row r="815" spans="5:17" ht="22.5">
      <c r="E815" s="7" t="s">
        <v>41</v>
      </c>
      <c r="F815" s="7" t="s">
        <v>570</v>
      </c>
      <c r="G815" s="9" t="s">
        <v>43</v>
      </c>
      <c r="H815" s="10" t="s">
        <v>132</v>
      </c>
      <c r="I815" s="10" t="s">
        <v>108</v>
      </c>
      <c r="J815" s="10" t="s">
        <v>571</v>
      </c>
      <c r="K815" s="10" t="s">
        <v>572</v>
      </c>
      <c r="L815" s="10" t="s">
        <v>573</v>
      </c>
      <c r="M815" s="10" t="s">
        <v>574</v>
      </c>
      <c r="N815" s="10" t="s">
        <v>434</v>
      </c>
      <c r="O815" s="30" t="s">
        <v>51</v>
      </c>
      <c r="P815" s="31"/>
      <c r="Q815" s="9" t="s">
        <v>37</v>
      </c>
    </row>
    <row r="816" spans="5:17">
      <c r="E816" s="32" t="s">
        <v>137</v>
      </c>
      <c r="F816" s="33"/>
      <c r="G816" s="9" t="s">
        <v>53</v>
      </c>
      <c r="H816" s="10" t="s">
        <v>51</v>
      </c>
      <c r="I816" s="10" t="s">
        <v>51</v>
      </c>
      <c r="J816" s="10" t="s">
        <v>51</v>
      </c>
      <c r="K816" s="10" t="s">
        <v>51</v>
      </c>
      <c r="L816" s="10" t="s">
        <v>51</v>
      </c>
      <c r="M816" s="10" t="s">
        <v>51</v>
      </c>
      <c r="N816" s="10" t="s">
        <v>51</v>
      </c>
      <c r="O816" s="30" t="s">
        <v>54</v>
      </c>
      <c r="P816" s="31"/>
      <c r="Q816" s="9" t="s">
        <v>37</v>
      </c>
    </row>
    <row r="817" spans="5:17">
      <c r="E817" s="34"/>
      <c r="F817" s="35"/>
      <c r="G817" s="9" t="s">
        <v>55</v>
      </c>
      <c r="H817" s="10" t="s">
        <v>37</v>
      </c>
      <c r="I817" s="10" t="s">
        <v>37</v>
      </c>
      <c r="J817" s="10" t="s">
        <v>37</v>
      </c>
      <c r="K817" s="10" t="s">
        <v>37</v>
      </c>
      <c r="L817" s="10" t="s">
        <v>37</v>
      </c>
      <c r="M817" s="10" t="s">
        <v>37</v>
      </c>
      <c r="N817" s="10" t="s">
        <v>37</v>
      </c>
      <c r="O817" s="30" t="s">
        <v>37</v>
      </c>
      <c r="P817" s="31"/>
      <c r="Q817" s="11">
        <v>0</v>
      </c>
    </row>
    <row r="818" spans="5:17">
      <c r="E818" s="36"/>
      <c r="F818" s="37"/>
      <c r="G818" s="9" t="s">
        <v>56</v>
      </c>
      <c r="H818" s="12">
        <v>4</v>
      </c>
      <c r="I818" s="12">
        <v>4</v>
      </c>
      <c r="J818" s="12">
        <v>4</v>
      </c>
      <c r="K818" s="12">
        <v>3</v>
      </c>
      <c r="L818" s="12">
        <v>3</v>
      </c>
      <c r="M818" s="12">
        <v>3</v>
      </c>
      <c r="N818" s="12">
        <v>2</v>
      </c>
      <c r="O818" s="30">
        <v>2</v>
      </c>
      <c r="P818" s="31"/>
      <c r="Q818" s="11">
        <v>25</v>
      </c>
    </row>
    <row r="819" spans="5:17">
      <c r="E819" s="7" t="s">
        <v>57</v>
      </c>
      <c r="F819" s="13">
        <v>7.28</v>
      </c>
      <c r="G819" s="9" t="s">
        <v>58</v>
      </c>
      <c r="H819" s="12">
        <v>7.5</v>
      </c>
      <c r="I819" s="12">
        <v>7</v>
      </c>
      <c r="J819" s="12">
        <v>6.5</v>
      </c>
      <c r="K819" s="12">
        <v>5.5</v>
      </c>
      <c r="L819" s="12">
        <v>7.5</v>
      </c>
      <c r="M819" s="12">
        <v>7</v>
      </c>
      <c r="N819" s="12">
        <v>9.5</v>
      </c>
      <c r="O819" s="30">
        <v>9.5</v>
      </c>
      <c r="P819" s="31"/>
      <c r="Q819" s="9" t="s">
        <v>37</v>
      </c>
    </row>
    <row r="820" spans="5:17">
      <c r="E820" s="7" t="s">
        <v>59</v>
      </c>
      <c r="F820" s="14">
        <v>7.28</v>
      </c>
      <c r="G820" s="9" t="s">
        <v>60</v>
      </c>
      <c r="H820" s="12">
        <v>30</v>
      </c>
      <c r="I820" s="12">
        <v>28</v>
      </c>
      <c r="J820" s="12">
        <v>26</v>
      </c>
      <c r="K820" s="12">
        <v>16.5</v>
      </c>
      <c r="L820" s="12">
        <v>22.5</v>
      </c>
      <c r="M820" s="12">
        <v>21</v>
      </c>
      <c r="N820" s="12">
        <v>19</v>
      </c>
      <c r="O820" s="30">
        <v>19</v>
      </c>
      <c r="P820" s="31"/>
      <c r="Q820" s="11">
        <v>182</v>
      </c>
    </row>
    <row r="821" spans="5:17">
      <c r="E821" s="32" t="s">
        <v>61</v>
      </c>
      <c r="F821" s="31"/>
      <c r="G821" s="9" t="s">
        <v>40</v>
      </c>
      <c r="H821" s="12">
        <v>73</v>
      </c>
      <c r="I821" s="12">
        <v>67</v>
      </c>
      <c r="J821" s="12">
        <v>63</v>
      </c>
      <c r="K821" s="12">
        <v>54</v>
      </c>
      <c r="L821" s="12">
        <v>71</v>
      </c>
      <c r="M821" s="12">
        <v>66</v>
      </c>
      <c r="N821" s="12">
        <v>45</v>
      </c>
      <c r="O821" s="30">
        <v>45</v>
      </c>
      <c r="P821" s="31"/>
      <c r="Q821" s="11">
        <v>484</v>
      </c>
    </row>
    <row r="822" spans="5:17">
      <c r="E822" s="7" t="s">
        <v>62</v>
      </c>
      <c r="F822" s="7"/>
      <c r="G822" s="9" t="s">
        <v>63</v>
      </c>
      <c r="H822" s="12">
        <v>100</v>
      </c>
      <c r="I822" s="12">
        <v>100</v>
      </c>
      <c r="J822" s="12">
        <v>100</v>
      </c>
      <c r="K822" s="12">
        <v>100</v>
      </c>
      <c r="L822" s="12">
        <v>100</v>
      </c>
      <c r="M822" s="12">
        <v>100</v>
      </c>
      <c r="N822" s="12">
        <v>50</v>
      </c>
      <c r="O822" s="30">
        <v>50</v>
      </c>
      <c r="P822" s="31"/>
      <c r="Q822" s="11">
        <v>700</v>
      </c>
    </row>
    <row r="823" spans="5:17">
      <c r="E823" s="32" t="s">
        <v>101</v>
      </c>
      <c r="F823" s="31"/>
      <c r="G823" s="9" t="s">
        <v>65</v>
      </c>
      <c r="H823" s="10" t="s">
        <v>68</v>
      </c>
      <c r="I823" s="10" t="s">
        <v>66</v>
      </c>
      <c r="J823" s="10" t="s">
        <v>69</v>
      </c>
      <c r="K823" s="10" t="s">
        <v>138</v>
      </c>
      <c r="L823" s="10" t="s">
        <v>68</v>
      </c>
      <c r="M823" s="10" t="s">
        <v>66</v>
      </c>
      <c r="N823" s="10" t="s">
        <v>71</v>
      </c>
      <c r="O823" s="30" t="s">
        <v>71</v>
      </c>
      <c r="P823" s="31"/>
      <c r="Q823" s="9" t="s">
        <v>37</v>
      </c>
    </row>
    <row r="824" spans="5:17">
      <c r="E824" s="15" t="s">
        <v>72</v>
      </c>
      <c r="F824" s="15" t="s">
        <v>575</v>
      </c>
      <c r="G824" s="9" t="s">
        <v>74</v>
      </c>
      <c r="H824" s="10" t="s">
        <v>75</v>
      </c>
      <c r="I824" s="10" t="s">
        <v>75</v>
      </c>
      <c r="J824" s="10" t="s">
        <v>75</v>
      </c>
      <c r="K824" s="10" t="s">
        <v>75</v>
      </c>
      <c r="L824" s="10" t="s">
        <v>75</v>
      </c>
      <c r="M824" s="10" t="s">
        <v>75</v>
      </c>
      <c r="N824" s="10" t="s">
        <v>75</v>
      </c>
      <c r="O824" s="30" t="s">
        <v>75</v>
      </c>
      <c r="P824" s="31"/>
      <c r="Q824" s="9" t="s">
        <v>37</v>
      </c>
    </row>
    <row r="825" spans="5:17">
      <c r="E825" s="16" t="s">
        <v>37</v>
      </c>
      <c r="F825" s="16" t="s">
        <v>37</v>
      </c>
      <c r="G825" s="16" t="s">
        <v>37</v>
      </c>
      <c r="H825" s="17" t="s">
        <v>37</v>
      </c>
      <c r="I825" s="17" t="s">
        <v>37</v>
      </c>
      <c r="J825" s="17" t="s">
        <v>37</v>
      </c>
      <c r="K825" s="17" t="s">
        <v>37</v>
      </c>
      <c r="L825" s="17" t="s">
        <v>37</v>
      </c>
      <c r="M825" s="17" t="s">
        <v>37</v>
      </c>
      <c r="N825" s="17" t="s">
        <v>37</v>
      </c>
      <c r="O825" s="41" t="s">
        <v>37</v>
      </c>
      <c r="P825" s="28"/>
      <c r="Q825" s="17" t="s">
        <v>37</v>
      </c>
    </row>
    <row r="826" spans="5:17" ht="0" hidden="1" customHeight="1"/>
    <row r="827" spans="5:17" ht="0.6" customHeight="1"/>
    <row r="828" spans="5:17">
      <c r="E828" s="38" t="s">
        <v>35</v>
      </c>
      <c r="F828" s="31"/>
      <c r="G828" s="4" t="s">
        <v>36</v>
      </c>
      <c r="H828" s="6" t="s">
        <v>37</v>
      </c>
      <c r="I828" s="6" t="s">
        <v>37</v>
      </c>
      <c r="J828" s="6" t="s">
        <v>37</v>
      </c>
      <c r="K828" s="6" t="s">
        <v>37</v>
      </c>
      <c r="L828" s="6" t="s">
        <v>37</v>
      </c>
      <c r="M828" s="6" t="s">
        <v>37</v>
      </c>
      <c r="N828" s="6" t="s">
        <v>37</v>
      </c>
      <c r="O828" s="39" t="s">
        <v>37</v>
      </c>
      <c r="P828" s="28"/>
      <c r="Q828" s="6" t="s">
        <v>37</v>
      </c>
    </row>
    <row r="829" spans="5:17" ht="21">
      <c r="E829" s="32" t="s">
        <v>576</v>
      </c>
      <c r="F829" s="31"/>
      <c r="G829" s="8" t="s">
        <v>39</v>
      </c>
      <c r="H829" s="8" t="s">
        <v>19</v>
      </c>
      <c r="I829" s="8" t="s">
        <v>9</v>
      </c>
      <c r="J829" s="8" t="s">
        <v>21</v>
      </c>
      <c r="K829" s="8" t="s">
        <v>11</v>
      </c>
      <c r="L829" s="8" t="s">
        <v>17</v>
      </c>
      <c r="M829" s="8" t="s">
        <v>27</v>
      </c>
      <c r="N829" s="8" t="s">
        <v>7</v>
      </c>
      <c r="O829" s="40" t="s">
        <v>33</v>
      </c>
      <c r="P829" s="31"/>
      <c r="Q829" s="8" t="s">
        <v>40</v>
      </c>
    </row>
    <row r="830" spans="5:17" ht="22.5">
      <c r="E830" s="7" t="s">
        <v>41</v>
      </c>
      <c r="F830" s="7" t="s">
        <v>577</v>
      </c>
      <c r="G830" s="9" t="s">
        <v>43</v>
      </c>
      <c r="H830" s="10" t="s">
        <v>152</v>
      </c>
      <c r="I830" s="10" t="s">
        <v>296</v>
      </c>
      <c r="J830" s="10" t="s">
        <v>578</v>
      </c>
      <c r="K830" s="10" t="s">
        <v>442</v>
      </c>
      <c r="L830" s="10" t="s">
        <v>579</v>
      </c>
      <c r="M830" s="10" t="s">
        <v>580</v>
      </c>
      <c r="N830" s="10" t="s">
        <v>581</v>
      </c>
      <c r="O830" s="30" t="s">
        <v>51</v>
      </c>
      <c r="P830" s="31"/>
      <c r="Q830" s="9" t="s">
        <v>37</v>
      </c>
    </row>
    <row r="831" spans="5:17">
      <c r="E831" s="32" t="s">
        <v>419</v>
      </c>
      <c r="F831" s="33"/>
      <c r="G831" s="9" t="s">
        <v>53</v>
      </c>
      <c r="H831" s="10" t="s">
        <v>51</v>
      </c>
      <c r="I831" s="10" t="s">
        <v>51</v>
      </c>
      <c r="J831" s="10" t="s">
        <v>51</v>
      </c>
      <c r="K831" s="10" t="s">
        <v>51</v>
      </c>
      <c r="L831" s="10" t="s">
        <v>51</v>
      </c>
      <c r="M831" s="10" t="s">
        <v>51</v>
      </c>
      <c r="N831" s="10" t="s">
        <v>51</v>
      </c>
      <c r="O831" s="30" t="s">
        <v>582</v>
      </c>
      <c r="P831" s="31"/>
      <c r="Q831" s="9" t="s">
        <v>37</v>
      </c>
    </row>
    <row r="832" spans="5:17">
      <c r="E832" s="34"/>
      <c r="F832" s="35"/>
      <c r="G832" s="9" t="s">
        <v>55</v>
      </c>
      <c r="H832" s="10" t="s">
        <v>37</v>
      </c>
      <c r="I832" s="10" t="s">
        <v>37</v>
      </c>
      <c r="J832" s="10" t="s">
        <v>37</v>
      </c>
      <c r="K832" s="10" t="s">
        <v>37</v>
      </c>
      <c r="L832" s="10" t="s">
        <v>37</v>
      </c>
      <c r="M832" s="10" t="s">
        <v>37</v>
      </c>
      <c r="N832" s="10" t="s">
        <v>37</v>
      </c>
      <c r="O832" s="30" t="s">
        <v>37</v>
      </c>
      <c r="P832" s="31"/>
      <c r="Q832" s="11">
        <v>0</v>
      </c>
    </row>
    <row r="833" spans="5:17">
      <c r="E833" s="36"/>
      <c r="F833" s="37"/>
      <c r="G833" s="9" t="s">
        <v>56</v>
      </c>
      <c r="H833" s="12">
        <v>4</v>
      </c>
      <c r="I833" s="12">
        <v>4</v>
      </c>
      <c r="J833" s="12">
        <v>4</v>
      </c>
      <c r="K833" s="12">
        <v>3</v>
      </c>
      <c r="L833" s="12">
        <v>3</v>
      </c>
      <c r="M833" s="12">
        <v>3</v>
      </c>
      <c r="N833" s="12">
        <v>2</v>
      </c>
      <c r="O833" s="30">
        <v>2</v>
      </c>
      <c r="P833" s="31"/>
      <c r="Q833" s="11">
        <v>25</v>
      </c>
    </row>
    <row r="834" spans="5:17">
      <c r="E834" s="7" t="s">
        <v>57</v>
      </c>
      <c r="F834" s="13">
        <v>6.08</v>
      </c>
      <c r="G834" s="9" t="s">
        <v>58</v>
      </c>
      <c r="H834" s="12">
        <v>7</v>
      </c>
      <c r="I834" s="12">
        <v>6.5</v>
      </c>
      <c r="J834" s="12">
        <v>4.5</v>
      </c>
      <c r="K834" s="12">
        <v>4.5</v>
      </c>
      <c r="L834" s="12">
        <v>6.5</v>
      </c>
      <c r="M834" s="12">
        <v>6</v>
      </c>
      <c r="N834" s="12">
        <v>6.5</v>
      </c>
      <c r="O834" s="30">
        <v>8</v>
      </c>
      <c r="P834" s="31"/>
      <c r="Q834" s="9" t="s">
        <v>37</v>
      </c>
    </row>
    <row r="835" spans="5:17">
      <c r="E835" s="7" t="s">
        <v>59</v>
      </c>
      <c r="F835" s="14">
        <v>6.08</v>
      </c>
      <c r="G835" s="9" t="s">
        <v>60</v>
      </c>
      <c r="H835" s="12">
        <v>28</v>
      </c>
      <c r="I835" s="12">
        <v>26</v>
      </c>
      <c r="J835" s="12">
        <v>18</v>
      </c>
      <c r="K835" s="12">
        <v>13.5</v>
      </c>
      <c r="L835" s="12">
        <v>19.5</v>
      </c>
      <c r="M835" s="12">
        <v>18</v>
      </c>
      <c r="N835" s="12">
        <v>13</v>
      </c>
      <c r="O835" s="30">
        <v>16</v>
      </c>
      <c r="P835" s="31"/>
      <c r="Q835" s="11">
        <v>152</v>
      </c>
    </row>
    <row r="836" spans="5:17">
      <c r="E836" s="32" t="s">
        <v>61</v>
      </c>
      <c r="F836" s="31"/>
      <c r="G836" s="9" t="s">
        <v>40</v>
      </c>
      <c r="H836" s="12">
        <v>68</v>
      </c>
      <c r="I836" s="12">
        <v>61</v>
      </c>
      <c r="J836" s="12">
        <v>42</v>
      </c>
      <c r="K836" s="12">
        <v>43</v>
      </c>
      <c r="L836" s="12">
        <v>63</v>
      </c>
      <c r="M836" s="12">
        <v>55</v>
      </c>
      <c r="N836" s="12">
        <v>32</v>
      </c>
      <c r="O836" s="30">
        <v>38</v>
      </c>
      <c r="P836" s="31"/>
      <c r="Q836" s="11">
        <v>402</v>
      </c>
    </row>
    <row r="837" spans="5:17">
      <c r="E837" s="7" t="s">
        <v>62</v>
      </c>
      <c r="F837" s="7"/>
      <c r="G837" s="9" t="s">
        <v>63</v>
      </c>
      <c r="H837" s="12">
        <v>100</v>
      </c>
      <c r="I837" s="12">
        <v>100</v>
      </c>
      <c r="J837" s="12">
        <v>100</v>
      </c>
      <c r="K837" s="12">
        <v>100</v>
      </c>
      <c r="L837" s="12">
        <v>100</v>
      </c>
      <c r="M837" s="12">
        <v>100</v>
      </c>
      <c r="N837" s="12">
        <v>50</v>
      </c>
      <c r="O837" s="30">
        <v>50</v>
      </c>
      <c r="P837" s="31"/>
      <c r="Q837" s="11">
        <v>700</v>
      </c>
    </row>
    <row r="838" spans="5:17">
      <c r="E838" s="32" t="s">
        <v>273</v>
      </c>
      <c r="F838" s="31"/>
      <c r="G838" s="9" t="s">
        <v>65</v>
      </c>
      <c r="H838" s="10" t="s">
        <v>66</v>
      </c>
      <c r="I838" s="10" t="s">
        <v>69</v>
      </c>
      <c r="J838" s="10" t="s">
        <v>303</v>
      </c>
      <c r="K838" s="10" t="s">
        <v>303</v>
      </c>
      <c r="L838" s="10" t="s">
        <v>69</v>
      </c>
      <c r="M838" s="10" t="s">
        <v>103</v>
      </c>
      <c r="N838" s="10" t="s">
        <v>69</v>
      </c>
      <c r="O838" s="30" t="s">
        <v>102</v>
      </c>
      <c r="P838" s="31"/>
      <c r="Q838" s="9" t="s">
        <v>37</v>
      </c>
    </row>
    <row r="839" spans="5:17">
      <c r="E839" s="15" t="s">
        <v>72</v>
      </c>
      <c r="F839" s="15" t="s">
        <v>583</v>
      </c>
      <c r="G839" s="9" t="s">
        <v>74</v>
      </c>
      <c r="H839" s="10" t="s">
        <v>75</v>
      </c>
      <c r="I839" s="10" t="s">
        <v>75</v>
      </c>
      <c r="J839" s="10" t="s">
        <v>75</v>
      </c>
      <c r="K839" s="10" t="s">
        <v>75</v>
      </c>
      <c r="L839" s="10" t="s">
        <v>75</v>
      </c>
      <c r="M839" s="10" t="s">
        <v>75</v>
      </c>
      <c r="N839" s="10" t="s">
        <v>75</v>
      </c>
      <c r="O839" s="30" t="s">
        <v>75</v>
      </c>
      <c r="P839" s="31"/>
      <c r="Q839" s="9" t="s">
        <v>37</v>
      </c>
    </row>
    <row r="840" spans="5:17">
      <c r="E840" s="16" t="s">
        <v>37</v>
      </c>
      <c r="F840" s="16" t="s">
        <v>37</v>
      </c>
      <c r="G840" s="16" t="s">
        <v>37</v>
      </c>
      <c r="H840" s="17" t="s">
        <v>37</v>
      </c>
      <c r="I840" s="17" t="s">
        <v>37</v>
      </c>
      <c r="J840" s="17" t="s">
        <v>37</v>
      </c>
      <c r="K840" s="17" t="s">
        <v>37</v>
      </c>
      <c r="L840" s="17" t="s">
        <v>37</v>
      </c>
      <c r="M840" s="17" t="s">
        <v>37</v>
      </c>
      <c r="N840" s="17" t="s">
        <v>37</v>
      </c>
      <c r="O840" s="41" t="s">
        <v>37</v>
      </c>
      <c r="P840" s="28"/>
      <c r="Q840" s="17" t="s">
        <v>37</v>
      </c>
    </row>
    <row r="841" spans="5:17" ht="0" hidden="1" customHeight="1"/>
    <row r="842" spans="5:17" ht="0.6" customHeight="1"/>
    <row r="843" spans="5:17">
      <c r="E843" s="38" t="s">
        <v>35</v>
      </c>
      <c r="F843" s="31"/>
      <c r="G843" s="4" t="s">
        <v>36</v>
      </c>
      <c r="H843" s="6" t="s">
        <v>37</v>
      </c>
      <c r="I843" s="6" t="s">
        <v>37</v>
      </c>
      <c r="J843" s="6" t="s">
        <v>37</v>
      </c>
      <c r="K843" s="6" t="s">
        <v>37</v>
      </c>
      <c r="L843" s="6" t="s">
        <v>37</v>
      </c>
      <c r="M843" s="6" t="s">
        <v>37</v>
      </c>
      <c r="N843" s="6" t="s">
        <v>37</v>
      </c>
      <c r="O843" s="39" t="s">
        <v>37</v>
      </c>
      <c r="P843" s="28"/>
      <c r="Q843" s="6" t="s">
        <v>37</v>
      </c>
    </row>
    <row r="844" spans="5:17" ht="21">
      <c r="E844" s="32" t="s">
        <v>584</v>
      </c>
      <c r="F844" s="31"/>
      <c r="G844" s="8" t="s">
        <v>39</v>
      </c>
      <c r="H844" s="8" t="s">
        <v>19</v>
      </c>
      <c r="I844" s="8" t="s">
        <v>9</v>
      </c>
      <c r="J844" s="8" t="s">
        <v>21</v>
      </c>
      <c r="K844" s="8" t="s">
        <v>11</v>
      </c>
      <c r="L844" s="8" t="s">
        <v>17</v>
      </c>
      <c r="M844" s="8" t="s">
        <v>27</v>
      </c>
      <c r="N844" s="8" t="s">
        <v>7</v>
      </c>
      <c r="O844" s="40" t="s">
        <v>25</v>
      </c>
      <c r="P844" s="31"/>
      <c r="Q844" s="8" t="s">
        <v>40</v>
      </c>
    </row>
    <row r="845" spans="5:17" ht="22.5">
      <c r="E845" s="7" t="s">
        <v>41</v>
      </c>
      <c r="F845" s="7" t="s">
        <v>585</v>
      </c>
      <c r="G845" s="9" t="s">
        <v>43</v>
      </c>
      <c r="H845" s="10" t="s">
        <v>586</v>
      </c>
      <c r="I845" s="10" t="s">
        <v>587</v>
      </c>
      <c r="J845" s="10" t="s">
        <v>334</v>
      </c>
      <c r="K845" s="10" t="s">
        <v>588</v>
      </c>
      <c r="L845" s="10" t="s">
        <v>589</v>
      </c>
      <c r="M845" s="10" t="s">
        <v>590</v>
      </c>
      <c r="N845" s="10" t="s">
        <v>591</v>
      </c>
      <c r="O845" s="30" t="s">
        <v>51</v>
      </c>
      <c r="P845" s="31"/>
      <c r="Q845" s="9" t="s">
        <v>37</v>
      </c>
    </row>
    <row r="846" spans="5:17">
      <c r="E846" s="32" t="s">
        <v>592</v>
      </c>
      <c r="F846" s="33"/>
      <c r="G846" s="9" t="s">
        <v>53</v>
      </c>
      <c r="H846" s="10" t="s">
        <v>51</v>
      </c>
      <c r="I846" s="10" t="s">
        <v>51</v>
      </c>
      <c r="J846" s="10" t="s">
        <v>51</v>
      </c>
      <c r="K846" s="10" t="s">
        <v>51</v>
      </c>
      <c r="L846" s="10" t="s">
        <v>51</v>
      </c>
      <c r="M846" s="10" t="s">
        <v>51</v>
      </c>
      <c r="N846" s="10" t="s">
        <v>51</v>
      </c>
      <c r="O846" s="30" t="s">
        <v>54</v>
      </c>
      <c r="P846" s="31"/>
      <c r="Q846" s="9" t="s">
        <v>37</v>
      </c>
    </row>
    <row r="847" spans="5:17">
      <c r="E847" s="34"/>
      <c r="F847" s="35"/>
      <c r="G847" s="9" t="s">
        <v>55</v>
      </c>
      <c r="H847" s="10" t="s">
        <v>37</v>
      </c>
      <c r="I847" s="10" t="s">
        <v>37</v>
      </c>
      <c r="J847" s="10" t="s">
        <v>37</v>
      </c>
      <c r="K847" s="10" t="s">
        <v>37</v>
      </c>
      <c r="L847" s="10" t="s">
        <v>37</v>
      </c>
      <c r="M847" s="10" t="s">
        <v>37</v>
      </c>
      <c r="N847" s="10" t="s">
        <v>37</v>
      </c>
      <c r="O847" s="30" t="s">
        <v>37</v>
      </c>
      <c r="P847" s="31"/>
      <c r="Q847" s="11">
        <v>0</v>
      </c>
    </row>
    <row r="848" spans="5:17">
      <c r="E848" s="36"/>
      <c r="F848" s="37"/>
      <c r="G848" s="9" t="s">
        <v>56</v>
      </c>
      <c r="H848" s="12">
        <v>4</v>
      </c>
      <c r="I848" s="12">
        <v>4</v>
      </c>
      <c r="J848" s="12">
        <v>4</v>
      </c>
      <c r="K848" s="12">
        <v>3</v>
      </c>
      <c r="L848" s="12">
        <v>3</v>
      </c>
      <c r="M848" s="12">
        <v>3</v>
      </c>
      <c r="N848" s="12">
        <v>2</v>
      </c>
      <c r="O848" s="30">
        <v>2</v>
      </c>
      <c r="P848" s="31"/>
      <c r="Q848" s="11">
        <v>25</v>
      </c>
    </row>
    <row r="849" spans="5:17">
      <c r="E849" s="7" t="s">
        <v>57</v>
      </c>
      <c r="F849" s="13">
        <v>5.82</v>
      </c>
      <c r="G849" s="9" t="s">
        <v>58</v>
      </c>
      <c r="H849" s="12">
        <v>5.5</v>
      </c>
      <c r="I849" s="12">
        <v>6.5</v>
      </c>
      <c r="J849" s="12">
        <v>4.5</v>
      </c>
      <c r="K849" s="12">
        <v>4.5</v>
      </c>
      <c r="L849" s="12">
        <v>7.5</v>
      </c>
      <c r="M849" s="12">
        <v>4.5</v>
      </c>
      <c r="N849" s="12">
        <v>5.5</v>
      </c>
      <c r="O849" s="30">
        <v>9.5</v>
      </c>
      <c r="P849" s="31"/>
      <c r="Q849" s="9" t="s">
        <v>37</v>
      </c>
    </row>
    <row r="850" spans="5:17">
      <c r="E850" s="7" t="s">
        <v>59</v>
      </c>
      <c r="F850" s="14">
        <v>5.82</v>
      </c>
      <c r="G850" s="9" t="s">
        <v>60</v>
      </c>
      <c r="H850" s="12">
        <v>22</v>
      </c>
      <c r="I850" s="12">
        <v>26</v>
      </c>
      <c r="J850" s="12">
        <v>18</v>
      </c>
      <c r="K850" s="12">
        <v>13.5</v>
      </c>
      <c r="L850" s="12">
        <v>22.5</v>
      </c>
      <c r="M850" s="12">
        <v>13.5</v>
      </c>
      <c r="N850" s="12">
        <v>11</v>
      </c>
      <c r="O850" s="30">
        <v>19</v>
      </c>
      <c r="P850" s="31"/>
      <c r="Q850" s="11">
        <v>145.5</v>
      </c>
    </row>
    <row r="851" spans="5:17">
      <c r="E851" s="32" t="s">
        <v>61</v>
      </c>
      <c r="F851" s="31"/>
      <c r="G851" s="9" t="s">
        <v>40</v>
      </c>
      <c r="H851" s="12">
        <v>51</v>
      </c>
      <c r="I851" s="12">
        <v>62</v>
      </c>
      <c r="J851" s="12">
        <v>40</v>
      </c>
      <c r="K851" s="12">
        <v>40</v>
      </c>
      <c r="L851" s="12">
        <v>72</v>
      </c>
      <c r="M851" s="12">
        <v>43</v>
      </c>
      <c r="N851" s="12">
        <v>27</v>
      </c>
      <c r="O851" s="30">
        <v>45</v>
      </c>
      <c r="P851" s="31"/>
      <c r="Q851" s="11">
        <v>380</v>
      </c>
    </row>
    <row r="852" spans="5:17">
      <c r="E852" s="7" t="s">
        <v>62</v>
      </c>
      <c r="F852" s="7"/>
      <c r="G852" s="9" t="s">
        <v>63</v>
      </c>
      <c r="H852" s="12">
        <v>100</v>
      </c>
      <c r="I852" s="12">
        <v>100</v>
      </c>
      <c r="J852" s="12">
        <v>100</v>
      </c>
      <c r="K852" s="12">
        <v>100</v>
      </c>
      <c r="L852" s="12">
        <v>100</v>
      </c>
      <c r="M852" s="12">
        <v>100</v>
      </c>
      <c r="N852" s="12">
        <v>50</v>
      </c>
      <c r="O852" s="30">
        <v>50</v>
      </c>
      <c r="P852" s="31"/>
      <c r="Q852" s="11">
        <v>700</v>
      </c>
    </row>
    <row r="853" spans="5:17">
      <c r="E853" s="32" t="s">
        <v>375</v>
      </c>
      <c r="F853" s="31"/>
      <c r="G853" s="9" t="s">
        <v>65</v>
      </c>
      <c r="H853" s="10" t="s">
        <v>138</v>
      </c>
      <c r="I853" s="10" t="s">
        <v>69</v>
      </c>
      <c r="J853" s="10" t="s">
        <v>303</v>
      </c>
      <c r="K853" s="10" t="s">
        <v>303</v>
      </c>
      <c r="L853" s="10" t="s">
        <v>68</v>
      </c>
      <c r="M853" s="10" t="s">
        <v>303</v>
      </c>
      <c r="N853" s="10" t="s">
        <v>138</v>
      </c>
      <c r="O853" s="30" t="s">
        <v>71</v>
      </c>
      <c r="P853" s="31"/>
      <c r="Q853" s="9" t="s">
        <v>37</v>
      </c>
    </row>
    <row r="854" spans="5:17">
      <c r="E854" s="15" t="s">
        <v>72</v>
      </c>
      <c r="F854" s="15" t="s">
        <v>593</v>
      </c>
      <c r="G854" s="9" t="s">
        <v>74</v>
      </c>
      <c r="H854" s="10" t="s">
        <v>75</v>
      </c>
      <c r="I854" s="10" t="s">
        <v>75</v>
      </c>
      <c r="J854" s="10" t="s">
        <v>75</v>
      </c>
      <c r="K854" s="10" t="s">
        <v>75</v>
      </c>
      <c r="L854" s="10" t="s">
        <v>75</v>
      </c>
      <c r="M854" s="10" t="s">
        <v>75</v>
      </c>
      <c r="N854" s="10" t="s">
        <v>75</v>
      </c>
      <c r="O854" s="30" t="s">
        <v>75</v>
      </c>
      <c r="P854" s="31"/>
      <c r="Q854" s="9" t="s">
        <v>37</v>
      </c>
    </row>
    <row r="855" spans="5:17">
      <c r="E855" s="16" t="s">
        <v>37</v>
      </c>
      <c r="F855" s="16" t="s">
        <v>37</v>
      </c>
      <c r="G855" s="16" t="s">
        <v>37</v>
      </c>
      <c r="H855" s="17" t="s">
        <v>37</v>
      </c>
      <c r="I855" s="17" t="s">
        <v>37</v>
      </c>
      <c r="J855" s="17" t="s">
        <v>37</v>
      </c>
      <c r="K855" s="17" t="s">
        <v>37</v>
      </c>
      <c r="L855" s="17" t="s">
        <v>37</v>
      </c>
      <c r="M855" s="17" t="s">
        <v>37</v>
      </c>
      <c r="N855" s="17" t="s">
        <v>37</v>
      </c>
      <c r="O855" s="41" t="s">
        <v>37</v>
      </c>
      <c r="P855" s="28"/>
      <c r="Q855" s="17" t="s">
        <v>37</v>
      </c>
    </row>
    <row r="856" spans="5:17" ht="0.6" customHeight="1"/>
    <row r="857" spans="5:17">
      <c r="E857" s="38" t="s">
        <v>35</v>
      </c>
      <c r="F857" s="31"/>
      <c r="G857" s="4" t="s">
        <v>36</v>
      </c>
      <c r="H857" s="6" t="s">
        <v>37</v>
      </c>
      <c r="I857" s="6" t="s">
        <v>37</v>
      </c>
      <c r="J857" s="6" t="s">
        <v>37</v>
      </c>
      <c r="K857" s="6" t="s">
        <v>37</v>
      </c>
      <c r="L857" s="6" t="s">
        <v>37</v>
      </c>
      <c r="M857" s="6" t="s">
        <v>37</v>
      </c>
      <c r="N857" s="6" t="s">
        <v>37</v>
      </c>
      <c r="O857" s="39" t="s">
        <v>37</v>
      </c>
      <c r="P857" s="28"/>
      <c r="Q857" s="6" t="s">
        <v>37</v>
      </c>
    </row>
    <row r="858" spans="5:17" ht="21">
      <c r="E858" s="32" t="s">
        <v>594</v>
      </c>
      <c r="F858" s="31"/>
      <c r="G858" s="8" t="s">
        <v>39</v>
      </c>
      <c r="H858" s="8" t="s">
        <v>19</v>
      </c>
      <c r="I858" s="8" t="s">
        <v>9</v>
      </c>
      <c r="J858" s="8" t="s">
        <v>21</v>
      </c>
      <c r="K858" s="8" t="s">
        <v>11</v>
      </c>
      <c r="L858" s="8" t="s">
        <v>17</v>
      </c>
      <c r="M858" s="8" t="s">
        <v>27</v>
      </c>
      <c r="N858" s="8" t="s">
        <v>7</v>
      </c>
      <c r="O858" s="40" t="s">
        <v>23</v>
      </c>
      <c r="P858" s="31"/>
      <c r="Q858" s="8" t="s">
        <v>40</v>
      </c>
    </row>
    <row r="859" spans="5:17" ht="22.5">
      <c r="E859" s="7" t="s">
        <v>41</v>
      </c>
      <c r="F859" s="7" t="s">
        <v>595</v>
      </c>
      <c r="G859" s="9" t="s">
        <v>43</v>
      </c>
      <c r="H859" s="10" t="s">
        <v>460</v>
      </c>
      <c r="I859" s="10" t="s">
        <v>323</v>
      </c>
      <c r="J859" s="10" t="s">
        <v>78</v>
      </c>
      <c r="K859" s="10" t="s">
        <v>206</v>
      </c>
      <c r="L859" s="10" t="s">
        <v>488</v>
      </c>
      <c r="M859" s="10" t="s">
        <v>596</v>
      </c>
      <c r="N859" s="10" t="s">
        <v>318</v>
      </c>
      <c r="O859" s="30" t="s">
        <v>51</v>
      </c>
      <c r="P859" s="31"/>
      <c r="Q859" s="9" t="s">
        <v>37</v>
      </c>
    </row>
    <row r="860" spans="5:17">
      <c r="E860" s="32" t="s">
        <v>198</v>
      </c>
      <c r="F860" s="33"/>
      <c r="G860" s="9" t="s">
        <v>53</v>
      </c>
      <c r="H860" s="10" t="s">
        <v>51</v>
      </c>
      <c r="I860" s="10" t="s">
        <v>51</v>
      </c>
      <c r="J860" s="10" t="s">
        <v>51</v>
      </c>
      <c r="K860" s="10" t="s">
        <v>51</v>
      </c>
      <c r="L860" s="10" t="s">
        <v>51</v>
      </c>
      <c r="M860" s="10" t="s">
        <v>51</v>
      </c>
      <c r="N860" s="10" t="s">
        <v>51</v>
      </c>
      <c r="O860" s="30" t="s">
        <v>199</v>
      </c>
      <c r="P860" s="31"/>
      <c r="Q860" s="9" t="s">
        <v>37</v>
      </c>
    </row>
    <row r="861" spans="5:17">
      <c r="E861" s="34"/>
      <c r="F861" s="35"/>
      <c r="G861" s="9" t="s">
        <v>55</v>
      </c>
      <c r="H861" s="10" t="s">
        <v>37</v>
      </c>
      <c r="I861" s="10" t="s">
        <v>37</v>
      </c>
      <c r="J861" s="10" t="s">
        <v>37</v>
      </c>
      <c r="K861" s="10" t="s">
        <v>37</v>
      </c>
      <c r="L861" s="10" t="s">
        <v>37</v>
      </c>
      <c r="M861" s="10" t="s">
        <v>37</v>
      </c>
      <c r="N861" s="10" t="s">
        <v>37</v>
      </c>
      <c r="O861" s="30" t="s">
        <v>37</v>
      </c>
      <c r="P861" s="31"/>
      <c r="Q861" s="11">
        <v>0</v>
      </c>
    </row>
    <row r="862" spans="5:17">
      <c r="E862" s="36"/>
      <c r="F862" s="37"/>
      <c r="G862" s="9" t="s">
        <v>56</v>
      </c>
      <c r="H862" s="12">
        <v>4</v>
      </c>
      <c r="I862" s="12">
        <v>4</v>
      </c>
      <c r="J862" s="12">
        <v>4</v>
      </c>
      <c r="K862" s="12">
        <v>3</v>
      </c>
      <c r="L862" s="12">
        <v>3</v>
      </c>
      <c r="M862" s="12">
        <v>3</v>
      </c>
      <c r="N862" s="12">
        <v>2</v>
      </c>
      <c r="O862" s="30">
        <v>2</v>
      </c>
      <c r="P862" s="31"/>
      <c r="Q862" s="11">
        <v>25</v>
      </c>
    </row>
    <row r="863" spans="5:17">
      <c r="E863" s="7" t="s">
        <v>57</v>
      </c>
      <c r="F863" s="13">
        <v>9.02</v>
      </c>
      <c r="G863" s="9" t="s">
        <v>58</v>
      </c>
      <c r="H863" s="12">
        <v>8.5</v>
      </c>
      <c r="I863" s="12">
        <v>9</v>
      </c>
      <c r="J863" s="12">
        <v>9</v>
      </c>
      <c r="K863" s="12">
        <v>8</v>
      </c>
      <c r="L863" s="12">
        <v>9.5</v>
      </c>
      <c r="M863" s="12">
        <v>9</v>
      </c>
      <c r="N863" s="12">
        <v>10</v>
      </c>
      <c r="O863" s="30">
        <v>10</v>
      </c>
      <c r="P863" s="31"/>
      <c r="Q863" s="9" t="s">
        <v>37</v>
      </c>
    </row>
    <row r="864" spans="5:17">
      <c r="E864" s="7" t="s">
        <v>59</v>
      </c>
      <c r="F864" s="14">
        <v>9.02</v>
      </c>
      <c r="G864" s="9" t="s">
        <v>60</v>
      </c>
      <c r="H864" s="12">
        <v>34</v>
      </c>
      <c r="I864" s="12">
        <v>36</v>
      </c>
      <c r="J864" s="12">
        <v>36</v>
      </c>
      <c r="K864" s="12">
        <v>24</v>
      </c>
      <c r="L864" s="12">
        <v>28.5</v>
      </c>
      <c r="M864" s="12">
        <v>27</v>
      </c>
      <c r="N864" s="12">
        <v>20</v>
      </c>
      <c r="O864" s="30">
        <v>20</v>
      </c>
      <c r="P864" s="31"/>
      <c r="Q864" s="11">
        <v>225.5</v>
      </c>
    </row>
    <row r="865" spans="5:17">
      <c r="E865" s="32" t="s">
        <v>61</v>
      </c>
      <c r="F865" s="31"/>
      <c r="G865" s="9" t="s">
        <v>40</v>
      </c>
      <c r="H865" s="12">
        <v>83</v>
      </c>
      <c r="I865" s="12">
        <v>85</v>
      </c>
      <c r="J865" s="12">
        <v>86</v>
      </c>
      <c r="K865" s="12">
        <v>76</v>
      </c>
      <c r="L865" s="12">
        <v>90</v>
      </c>
      <c r="M865" s="12">
        <v>86</v>
      </c>
      <c r="N865" s="12">
        <v>49</v>
      </c>
      <c r="O865" s="30">
        <v>49</v>
      </c>
      <c r="P865" s="31"/>
      <c r="Q865" s="11">
        <v>604</v>
      </c>
    </row>
    <row r="866" spans="5:17">
      <c r="E866" s="7" t="s">
        <v>62</v>
      </c>
      <c r="F866" s="7"/>
      <c r="G866" s="9" t="s">
        <v>63</v>
      </c>
      <c r="H866" s="12">
        <v>100</v>
      </c>
      <c r="I866" s="12">
        <v>100</v>
      </c>
      <c r="J866" s="12">
        <v>100</v>
      </c>
      <c r="K866" s="12">
        <v>100</v>
      </c>
      <c r="L866" s="12">
        <v>100</v>
      </c>
      <c r="M866" s="12">
        <v>100</v>
      </c>
      <c r="N866" s="12">
        <v>50</v>
      </c>
      <c r="O866" s="30">
        <v>50</v>
      </c>
      <c r="P866" s="31"/>
      <c r="Q866" s="11">
        <v>700</v>
      </c>
    </row>
    <row r="867" spans="5:17">
      <c r="E867" s="32" t="s">
        <v>87</v>
      </c>
      <c r="F867" s="31"/>
      <c r="G867" s="9" t="s">
        <v>65</v>
      </c>
      <c r="H867" s="10" t="s">
        <v>70</v>
      </c>
      <c r="I867" s="10" t="s">
        <v>67</v>
      </c>
      <c r="J867" s="10" t="s">
        <v>67</v>
      </c>
      <c r="K867" s="10" t="s">
        <v>102</v>
      </c>
      <c r="L867" s="10" t="s">
        <v>71</v>
      </c>
      <c r="M867" s="10" t="s">
        <v>67</v>
      </c>
      <c r="N867" s="10" t="s">
        <v>88</v>
      </c>
      <c r="O867" s="30" t="s">
        <v>88</v>
      </c>
      <c r="P867" s="31"/>
      <c r="Q867" s="9" t="s">
        <v>37</v>
      </c>
    </row>
    <row r="868" spans="5:17">
      <c r="E868" s="15" t="s">
        <v>72</v>
      </c>
      <c r="F868" s="15" t="s">
        <v>597</v>
      </c>
      <c r="G868" s="9" t="s">
        <v>74</v>
      </c>
      <c r="H868" s="10" t="s">
        <v>75</v>
      </c>
      <c r="I868" s="10" t="s">
        <v>75</v>
      </c>
      <c r="J868" s="10" t="s">
        <v>75</v>
      </c>
      <c r="K868" s="10" t="s">
        <v>75</v>
      </c>
      <c r="L868" s="10" t="s">
        <v>75</v>
      </c>
      <c r="M868" s="10" t="s">
        <v>75</v>
      </c>
      <c r="N868" s="10" t="s">
        <v>75</v>
      </c>
      <c r="O868" s="30" t="s">
        <v>75</v>
      </c>
      <c r="P868" s="31"/>
      <c r="Q868" s="9" t="s">
        <v>37</v>
      </c>
    </row>
    <row r="869" spans="5:17">
      <c r="E869" s="16" t="s">
        <v>37</v>
      </c>
      <c r="F869" s="16" t="s">
        <v>37</v>
      </c>
      <c r="G869" s="16" t="s">
        <v>37</v>
      </c>
      <c r="H869" s="17" t="s">
        <v>37</v>
      </c>
      <c r="I869" s="17" t="s">
        <v>37</v>
      </c>
      <c r="J869" s="17" t="s">
        <v>37</v>
      </c>
      <c r="K869" s="17" t="s">
        <v>37</v>
      </c>
      <c r="L869" s="17" t="s">
        <v>37</v>
      </c>
      <c r="M869" s="17" t="s">
        <v>37</v>
      </c>
      <c r="N869" s="17" t="s">
        <v>37</v>
      </c>
      <c r="O869" s="41" t="s">
        <v>37</v>
      </c>
      <c r="P869" s="28"/>
      <c r="Q869" s="17" t="s">
        <v>37</v>
      </c>
    </row>
    <row r="870" spans="5:17" ht="0" hidden="1" customHeight="1"/>
    <row r="871" spans="5:17" ht="0.6" customHeight="1"/>
    <row r="872" spans="5:17">
      <c r="E872" s="38" t="s">
        <v>35</v>
      </c>
      <c r="F872" s="31"/>
      <c r="G872" s="4" t="s">
        <v>36</v>
      </c>
      <c r="H872" s="6" t="s">
        <v>37</v>
      </c>
      <c r="I872" s="6" t="s">
        <v>37</v>
      </c>
      <c r="J872" s="6" t="s">
        <v>37</v>
      </c>
      <c r="K872" s="6" t="s">
        <v>37</v>
      </c>
      <c r="L872" s="6" t="s">
        <v>37</v>
      </c>
      <c r="M872" s="6" t="s">
        <v>37</v>
      </c>
      <c r="N872" s="6" t="s">
        <v>37</v>
      </c>
      <c r="O872" s="39" t="s">
        <v>37</v>
      </c>
      <c r="P872" s="28"/>
      <c r="Q872" s="6" t="s">
        <v>37</v>
      </c>
    </row>
    <row r="873" spans="5:17" ht="21">
      <c r="E873" s="32" t="s">
        <v>598</v>
      </c>
      <c r="F873" s="31"/>
      <c r="G873" s="8" t="s">
        <v>39</v>
      </c>
      <c r="H873" s="8" t="s">
        <v>19</v>
      </c>
      <c r="I873" s="8" t="s">
        <v>9</v>
      </c>
      <c r="J873" s="8" t="s">
        <v>21</v>
      </c>
      <c r="K873" s="8" t="s">
        <v>11</v>
      </c>
      <c r="L873" s="8" t="s">
        <v>17</v>
      </c>
      <c r="M873" s="8" t="s">
        <v>27</v>
      </c>
      <c r="N873" s="8" t="s">
        <v>7</v>
      </c>
      <c r="O873" s="40" t="s">
        <v>29</v>
      </c>
      <c r="P873" s="31"/>
      <c r="Q873" s="8" t="s">
        <v>40</v>
      </c>
    </row>
    <row r="874" spans="5:17" ht="22.5">
      <c r="E874" s="7" t="s">
        <v>41</v>
      </c>
      <c r="F874" s="7" t="s">
        <v>599</v>
      </c>
      <c r="G874" s="9" t="s">
        <v>43</v>
      </c>
      <c r="H874" s="10" t="s">
        <v>195</v>
      </c>
      <c r="I874" s="10" t="s">
        <v>79</v>
      </c>
      <c r="J874" s="10" t="s">
        <v>600</v>
      </c>
      <c r="K874" s="10" t="s">
        <v>601</v>
      </c>
      <c r="L874" s="10" t="s">
        <v>289</v>
      </c>
      <c r="M874" s="10" t="s">
        <v>602</v>
      </c>
      <c r="N874" s="10" t="s">
        <v>209</v>
      </c>
      <c r="O874" s="30" t="s">
        <v>51</v>
      </c>
      <c r="P874" s="31"/>
      <c r="Q874" s="9" t="s">
        <v>37</v>
      </c>
    </row>
    <row r="875" spans="5:17">
      <c r="E875" s="32" t="s">
        <v>603</v>
      </c>
      <c r="F875" s="33"/>
      <c r="G875" s="9" t="s">
        <v>53</v>
      </c>
      <c r="H875" s="10" t="s">
        <v>51</v>
      </c>
      <c r="I875" s="10" t="s">
        <v>51</v>
      </c>
      <c r="J875" s="10" t="s">
        <v>51</v>
      </c>
      <c r="K875" s="10" t="s">
        <v>51</v>
      </c>
      <c r="L875" s="10" t="s">
        <v>51</v>
      </c>
      <c r="M875" s="10" t="s">
        <v>51</v>
      </c>
      <c r="N875" s="10" t="s">
        <v>51</v>
      </c>
      <c r="O875" s="30" t="s">
        <v>86</v>
      </c>
      <c r="P875" s="31"/>
      <c r="Q875" s="9" t="s">
        <v>37</v>
      </c>
    </row>
    <row r="876" spans="5:17">
      <c r="E876" s="34"/>
      <c r="F876" s="35"/>
      <c r="G876" s="9" t="s">
        <v>55</v>
      </c>
      <c r="H876" s="10" t="s">
        <v>37</v>
      </c>
      <c r="I876" s="10" t="s">
        <v>37</v>
      </c>
      <c r="J876" s="10" t="s">
        <v>37</v>
      </c>
      <c r="K876" s="10" t="s">
        <v>37</v>
      </c>
      <c r="L876" s="10" t="s">
        <v>37</v>
      </c>
      <c r="M876" s="10" t="s">
        <v>37</v>
      </c>
      <c r="N876" s="10" t="s">
        <v>37</v>
      </c>
      <c r="O876" s="30" t="s">
        <v>37</v>
      </c>
      <c r="P876" s="31"/>
      <c r="Q876" s="11">
        <v>0</v>
      </c>
    </row>
    <row r="877" spans="5:17">
      <c r="E877" s="36"/>
      <c r="F877" s="37"/>
      <c r="G877" s="9" t="s">
        <v>56</v>
      </c>
      <c r="H877" s="12">
        <v>4</v>
      </c>
      <c r="I877" s="12">
        <v>4</v>
      </c>
      <c r="J877" s="12">
        <v>4</v>
      </c>
      <c r="K877" s="12">
        <v>3</v>
      </c>
      <c r="L877" s="12">
        <v>3</v>
      </c>
      <c r="M877" s="12">
        <v>3</v>
      </c>
      <c r="N877" s="12">
        <v>2</v>
      </c>
      <c r="O877" s="30">
        <v>2</v>
      </c>
      <c r="P877" s="31"/>
      <c r="Q877" s="11">
        <v>25</v>
      </c>
    </row>
    <row r="878" spans="5:17">
      <c r="E878" s="7" t="s">
        <v>57</v>
      </c>
      <c r="F878" s="13">
        <v>9.48</v>
      </c>
      <c r="G878" s="9" t="s">
        <v>58</v>
      </c>
      <c r="H878" s="12">
        <v>9.5</v>
      </c>
      <c r="I878" s="12">
        <v>10</v>
      </c>
      <c r="J878" s="12">
        <v>9.5</v>
      </c>
      <c r="K878" s="12">
        <v>8</v>
      </c>
      <c r="L878" s="12">
        <v>9</v>
      </c>
      <c r="M878" s="12">
        <v>10</v>
      </c>
      <c r="N878" s="12">
        <v>10</v>
      </c>
      <c r="O878" s="30">
        <v>10</v>
      </c>
      <c r="P878" s="31"/>
      <c r="Q878" s="9" t="s">
        <v>37</v>
      </c>
    </row>
    <row r="879" spans="5:17">
      <c r="E879" s="7" t="s">
        <v>59</v>
      </c>
      <c r="F879" s="14">
        <v>9.48</v>
      </c>
      <c r="G879" s="9" t="s">
        <v>60</v>
      </c>
      <c r="H879" s="12">
        <v>38</v>
      </c>
      <c r="I879" s="12">
        <v>40</v>
      </c>
      <c r="J879" s="12">
        <v>38</v>
      </c>
      <c r="K879" s="12">
        <v>24</v>
      </c>
      <c r="L879" s="12">
        <v>27</v>
      </c>
      <c r="M879" s="12">
        <v>30</v>
      </c>
      <c r="N879" s="12">
        <v>20</v>
      </c>
      <c r="O879" s="30">
        <v>20</v>
      </c>
      <c r="P879" s="31"/>
      <c r="Q879" s="11">
        <v>237</v>
      </c>
    </row>
    <row r="880" spans="5:17">
      <c r="E880" s="32" t="s">
        <v>61</v>
      </c>
      <c r="F880" s="31"/>
      <c r="G880" s="9" t="s">
        <v>40</v>
      </c>
      <c r="H880" s="12">
        <v>91</v>
      </c>
      <c r="I880" s="12">
        <v>95</v>
      </c>
      <c r="J880" s="12">
        <v>92</v>
      </c>
      <c r="K880" s="12">
        <v>75</v>
      </c>
      <c r="L880" s="12">
        <v>89</v>
      </c>
      <c r="M880" s="12">
        <v>99</v>
      </c>
      <c r="N880" s="12">
        <v>50</v>
      </c>
      <c r="O880" s="30">
        <v>48</v>
      </c>
      <c r="P880" s="31"/>
      <c r="Q880" s="11">
        <v>639</v>
      </c>
    </row>
    <row r="881" spans="5:17">
      <c r="E881" s="7" t="s">
        <v>62</v>
      </c>
      <c r="F881" s="7"/>
      <c r="G881" s="9" t="s">
        <v>63</v>
      </c>
      <c r="H881" s="12">
        <v>100</v>
      </c>
      <c r="I881" s="12">
        <v>100</v>
      </c>
      <c r="J881" s="12">
        <v>100</v>
      </c>
      <c r="K881" s="12">
        <v>100</v>
      </c>
      <c r="L881" s="12">
        <v>100</v>
      </c>
      <c r="M881" s="12">
        <v>100</v>
      </c>
      <c r="N881" s="12">
        <v>50</v>
      </c>
      <c r="O881" s="30">
        <v>50</v>
      </c>
      <c r="P881" s="31"/>
      <c r="Q881" s="11">
        <v>700</v>
      </c>
    </row>
    <row r="882" spans="5:17">
      <c r="E882" s="32" t="s">
        <v>87</v>
      </c>
      <c r="F882" s="31"/>
      <c r="G882" s="9" t="s">
        <v>65</v>
      </c>
      <c r="H882" s="10" t="s">
        <v>71</v>
      </c>
      <c r="I882" s="10" t="s">
        <v>88</v>
      </c>
      <c r="J882" s="10" t="s">
        <v>71</v>
      </c>
      <c r="K882" s="10" t="s">
        <v>102</v>
      </c>
      <c r="L882" s="10" t="s">
        <v>67</v>
      </c>
      <c r="M882" s="10" t="s">
        <v>88</v>
      </c>
      <c r="N882" s="10" t="s">
        <v>88</v>
      </c>
      <c r="O882" s="30" t="s">
        <v>88</v>
      </c>
      <c r="P882" s="31"/>
      <c r="Q882" s="9" t="s">
        <v>37</v>
      </c>
    </row>
    <row r="883" spans="5:17">
      <c r="E883" s="15" t="s">
        <v>72</v>
      </c>
      <c r="F883" s="15" t="s">
        <v>604</v>
      </c>
      <c r="G883" s="9" t="s">
        <v>74</v>
      </c>
      <c r="H883" s="10" t="s">
        <v>75</v>
      </c>
      <c r="I883" s="10" t="s">
        <v>75</v>
      </c>
      <c r="J883" s="10" t="s">
        <v>75</v>
      </c>
      <c r="K883" s="10" t="s">
        <v>75</v>
      </c>
      <c r="L883" s="10" t="s">
        <v>75</v>
      </c>
      <c r="M883" s="10" t="s">
        <v>75</v>
      </c>
      <c r="N883" s="10" t="s">
        <v>75</v>
      </c>
      <c r="O883" s="30" t="s">
        <v>75</v>
      </c>
      <c r="P883" s="31"/>
      <c r="Q883" s="9" t="s">
        <v>37</v>
      </c>
    </row>
    <row r="884" spans="5:17">
      <c r="E884" s="16" t="s">
        <v>37</v>
      </c>
      <c r="F884" s="16" t="s">
        <v>37</v>
      </c>
      <c r="G884" s="16" t="s">
        <v>37</v>
      </c>
      <c r="H884" s="17" t="s">
        <v>37</v>
      </c>
      <c r="I884" s="17" t="s">
        <v>37</v>
      </c>
      <c r="J884" s="17" t="s">
        <v>37</v>
      </c>
      <c r="K884" s="17" t="s">
        <v>37</v>
      </c>
      <c r="L884" s="17" t="s">
        <v>37</v>
      </c>
      <c r="M884" s="17" t="s">
        <v>37</v>
      </c>
      <c r="N884" s="17" t="s">
        <v>37</v>
      </c>
      <c r="O884" s="41" t="s">
        <v>37</v>
      </c>
      <c r="P884" s="28"/>
      <c r="Q884" s="17" t="s">
        <v>37</v>
      </c>
    </row>
    <row r="885" spans="5:17" ht="0" hidden="1" customHeight="1"/>
    <row r="886" spans="5:17" ht="0.6" customHeight="1"/>
    <row r="887" spans="5:17">
      <c r="E887" s="38" t="s">
        <v>35</v>
      </c>
      <c r="F887" s="31"/>
      <c r="G887" s="4" t="s">
        <v>36</v>
      </c>
      <c r="H887" s="6" t="s">
        <v>37</v>
      </c>
      <c r="I887" s="6" t="s">
        <v>37</v>
      </c>
      <c r="J887" s="6" t="s">
        <v>37</v>
      </c>
      <c r="K887" s="6" t="s">
        <v>37</v>
      </c>
      <c r="L887" s="6" t="s">
        <v>37</v>
      </c>
      <c r="M887" s="6" t="s">
        <v>37</v>
      </c>
      <c r="N887" s="6" t="s">
        <v>37</v>
      </c>
      <c r="O887" s="39" t="s">
        <v>37</v>
      </c>
      <c r="P887" s="28"/>
      <c r="Q887" s="6" t="s">
        <v>37</v>
      </c>
    </row>
    <row r="888" spans="5:17" ht="21">
      <c r="E888" s="32" t="s">
        <v>605</v>
      </c>
      <c r="F888" s="31"/>
      <c r="G888" s="8" t="s">
        <v>39</v>
      </c>
      <c r="H888" s="8" t="s">
        <v>19</v>
      </c>
      <c r="I888" s="8" t="s">
        <v>9</v>
      </c>
      <c r="J888" s="8" t="s">
        <v>21</v>
      </c>
      <c r="K888" s="8" t="s">
        <v>11</v>
      </c>
      <c r="L888" s="8" t="s">
        <v>17</v>
      </c>
      <c r="M888" s="8" t="s">
        <v>27</v>
      </c>
      <c r="N888" s="8" t="s">
        <v>7</v>
      </c>
      <c r="O888" s="40" t="s">
        <v>13</v>
      </c>
      <c r="P888" s="31"/>
      <c r="Q888" s="8" t="s">
        <v>40</v>
      </c>
    </row>
    <row r="889" spans="5:17" ht="22.5">
      <c r="E889" s="7" t="s">
        <v>41</v>
      </c>
      <c r="F889" s="7" t="s">
        <v>606</v>
      </c>
      <c r="G889" s="9" t="s">
        <v>43</v>
      </c>
      <c r="H889" s="10" t="s">
        <v>223</v>
      </c>
      <c r="I889" s="10" t="s">
        <v>83</v>
      </c>
      <c r="J889" s="10" t="s">
        <v>223</v>
      </c>
      <c r="K889" s="10" t="s">
        <v>607</v>
      </c>
      <c r="L889" s="10" t="s">
        <v>223</v>
      </c>
      <c r="M889" s="10" t="s">
        <v>83</v>
      </c>
      <c r="N889" s="10" t="s">
        <v>209</v>
      </c>
      <c r="O889" s="30" t="s">
        <v>51</v>
      </c>
      <c r="P889" s="31"/>
      <c r="Q889" s="9" t="s">
        <v>37</v>
      </c>
    </row>
    <row r="890" spans="5:17">
      <c r="E890" s="32" t="s">
        <v>608</v>
      </c>
      <c r="F890" s="33"/>
      <c r="G890" s="9" t="s">
        <v>53</v>
      </c>
      <c r="H890" s="10" t="s">
        <v>51</v>
      </c>
      <c r="I890" s="10" t="s">
        <v>51</v>
      </c>
      <c r="J890" s="10" t="s">
        <v>51</v>
      </c>
      <c r="K890" s="10" t="s">
        <v>51</v>
      </c>
      <c r="L890" s="10" t="s">
        <v>51</v>
      </c>
      <c r="M890" s="10" t="s">
        <v>51</v>
      </c>
      <c r="N890" s="10" t="s">
        <v>51</v>
      </c>
      <c r="O890" s="30" t="s">
        <v>100</v>
      </c>
      <c r="P890" s="31"/>
      <c r="Q890" s="9" t="s">
        <v>37</v>
      </c>
    </row>
    <row r="891" spans="5:17">
      <c r="E891" s="34"/>
      <c r="F891" s="35"/>
      <c r="G891" s="9" t="s">
        <v>55</v>
      </c>
      <c r="H891" s="10" t="s">
        <v>37</v>
      </c>
      <c r="I891" s="10" t="s">
        <v>37</v>
      </c>
      <c r="J891" s="10" t="s">
        <v>37</v>
      </c>
      <c r="K891" s="10" t="s">
        <v>37</v>
      </c>
      <c r="L891" s="10" t="s">
        <v>37</v>
      </c>
      <c r="M891" s="10" t="s">
        <v>37</v>
      </c>
      <c r="N891" s="10" t="s">
        <v>37</v>
      </c>
      <c r="O891" s="30" t="s">
        <v>37</v>
      </c>
      <c r="P891" s="31"/>
      <c r="Q891" s="11">
        <v>0</v>
      </c>
    </row>
    <row r="892" spans="5:17">
      <c r="E892" s="36"/>
      <c r="F892" s="37"/>
      <c r="G892" s="9" t="s">
        <v>56</v>
      </c>
      <c r="H892" s="12">
        <v>4</v>
      </c>
      <c r="I892" s="12">
        <v>4</v>
      </c>
      <c r="J892" s="12">
        <v>4</v>
      </c>
      <c r="K892" s="12">
        <v>3</v>
      </c>
      <c r="L892" s="12">
        <v>3</v>
      </c>
      <c r="M892" s="12">
        <v>3</v>
      </c>
      <c r="N892" s="12">
        <v>2</v>
      </c>
      <c r="O892" s="30">
        <v>2</v>
      </c>
      <c r="P892" s="31"/>
      <c r="Q892" s="11">
        <v>25</v>
      </c>
    </row>
    <row r="893" spans="5:17">
      <c r="E893" s="7" t="s">
        <v>57</v>
      </c>
      <c r="F893" s="13">
        <v>9.48</v>
      </c>
      <c r="G893" s="9" t="s">
        <v>58</v>
      </c>
      <c r="H893" s="12">
        <v>9.5</v>
      </c>
      <c r="I893" s="12">
        <v>10</v>
      </c>
      <c r="J893" s="12">
        <v>9.5</v>
      </c>
      <c r="K893" s="12">
        <v>7.5</v>
      </c>
      <c r="L893" s="12">
        <v>9.5</v>
      </c>
      <c r="M893" s="12">
        <v>10</v>
      </c>
      <c r="N893" s="12">
        <v>10</v>
      </c>
      <c r="O893" s="30">
        <v>10</v>
      </c>
      <c r="P893" s="31"/>
      <c r="Q893" s="9" t="s">
        <v>37</v>
      </c>
    </row>
    <row r="894" spans="5:17">
      <c r="E894" s="7" t="s">
        <v>59</v>
      </c>
      <c r="F894" s="14">
        <v>9.48</v>
      </c>
      <c r="G894" s="9" t="s">
        <v>60</v>
      </c>
      <c r="H894" s="12">
        <v>38</v>
      </c>
      <c r="I894" s="12">
        <v>40</v>
      </c>
      <c r="J894" s="12">
        <v>38</v>
      </c>
      <c r="K894" s="12">
        <v>22.5</v>
      </c>
      <c r="L894" s="12">
        <v>28.5</v>
      </c>
      <c r="M894" s="12">
        <v>30</v>
      </c>
      <c r="N894" s="12">
        <v>20</v>
      </c>
      <c r="O894" s="30">
        <v>20</v>
      </c>
      <c r="P894" s="31"/>
      <c r="Q894" s="11">
        <v>237</v>
      </c>
    </row>
    <row r="895" spans="5:17">
      <c r="E895" s="32" t="s">
        <v>61</v>
      </c>
      <c r="F895" s="31"/>
      <c r="G895" s="9" t="s">
        <v>40</v>
      </c>
      <c r="H895" s="12">
        <v>93</v>
      </c>
      <c r="I895" s="12">
        <v>100</v>
      </c>
      <c r="J895" s="12">
        <v>93</v>
      </c>
      <c r="K895" s="12">
        <v>73</v>
      </c>
      <c r="L895" s="12">
        <v>93</v>
      </c>
      <c r="M895" s="12">
        <v>100</v>
      </c>
      <c r="N895" s="12">
        <v>50</v>
      </c>
      <c r="O895" s="30">
        <v>50</v>
      </c>
      <c r="P895" s="31"/>
      <c r="Q895" s="11">
        <v>652</v>
      </c>
    </row>
    <row r="896" spans="5:17">
      <c r="E896" s="7" t="s">
        <v>62</v>
      </c>
      <c r="F896" s="7"/>
      <c r="G896" s="9" t="s">
        <v>63</v>
      </c>
      <c r="H896" s="12">
        <v>100</v>
      </c>
      <c r="I896" s="12">
        <v>100</v>
      </c>
      <c r="J896" s="12">
        <v>100</v>
      </c>
      <c r="K896" s="12">
        <v>100</v>
      </c>
      <c r="L896" s="12">
        <v>100</v>
      </c>
      <c r="M896" s="12">
        <v>100</v>
      </c>
      <c r="N896" s="12">
        <v>50</v>
      </c>
      <c r="O896" s="30">
        <v>50</v>
      </c>
      <c r="P896" s="31"/>
      <c r="Q896" s="11">
        <v>700</v>
      </c>
    </row>
    <row r="897" spans="5:17">
      <c r="E897" s="32" t="s">
        <v>87</v>
      </c>
      <c r="F897" s="31"/>
      <c r="G897" s="9" t="s">
        <v>65</v>
      </c>
      <c r="H897" s="10" t="s">
        <v>71</v>
      </c>
      <c r="I897" s="10" t="s">
        <v>88</v>
      </c>
      <c r="J897" s="10" t="s">
        <v>71</v>
      </c>
      <c r="K897" s="10" t="s">
        <v>68</v>
      </c>
      <c r="L897" s="10" t="s">
        <v>71</v>
      </c>
      <c r="M897" s="10" t="s">
        <v>88</v>
      </c>
      <c r="N897" s="10" t="s">
        <v>88</v>
      </c>
      <c r="O897" s="30" t="s">
        <v>88</v>
      </c>
      <c r="P897" s="31"/>
      <c r="Q897" s="9" t="s">
        <v>37</v>
      </c>
    </row>
    <row r="898" spans="5:17">
      <c r="E898" s="15" t="s">
        <v>72</v>
      </c>
      <c r="F898" s="15" t="s">
        <v>609</v>
      </c>
      <c r="G898" s="9" t="s">
        <v>74</v>
      </c>
      <c r="H898" s="10" t="s">
        <v>75</v>
      </c>
      <c r="I898" s="10" t="s">
        <v>75</v>
      </c>
      <c r="J898" s="10" t="s">
        <v>75</v>
      </c>
      <c r="K898" s="10" t="s">
        <v>75</v>
      </c>
      <c r="L898" s="10" t="s">
        <v>75</v>
      </c>
      <c r="M898" s="10" t="s">
        <v>75</v>
      </c>
      <c r="N898" s="10" t="s">
        <v>75</v>
      </c>
      <c r="O898" s="30" t="s">
        <v>75</v>
      </c>
      <c r="P898" s="31"/>
      <c r="Q898" s="9" t="s">
        <v>37</v>
      </c>
    </row>
    <row r="899" spans="5:17">
      <c r="E899" s="16" t="s">
        <v>37</v>
      </c>
      <c r="F899" s="16" t="s">
        <v>37</v>
      </c>
      <c r="G899" s="16" t="s">
        <v>37</v>
      </c>
      <c r="H899" s="17" t="s">
        <v>37</v>
      </c>
      <c r="I899" s="17" t="s">
        <v>37</v>
      </c>
      <c r="J899" s="17" t="s">
        <v>37</v>
      </c>
      <c r="K899" s="17" t="s">
        <v>37</v>
      </c>
      <c r="L899" s="17" t="s">
        <v>37</v>
      </c>
      <c r="M899" s="17" t="s">
        <v>37</v>
      </c>
      <c r="N899" s="17" t="s">
        <v>37</v>
      </c>
      <c r="O899" s="41" t="s">
        <v>37</v>
      </c>
      <c r="P899" s="28"/>
      <c r="Q899" s="17" t="s">
        <v>37</v>
      </c>
    </row>
    <row r="900" spans="5:17" ht="0" hidden="1" customHeight="1"/>
    <row r="901" spans="5:17" ht="0.6" customHeight="1"/>
    <row r="902" spans="5:17">
      <c r="E902" s="38" t="s">
        <v>35</v>
      </c>
      <c r="F902" s="31"/>
      <c r="G902" s="4" t="s">
        <v>36</v>
      </c>
      <c r="H902" s="6" t="s">
        <v>37</v>
      </c>
      <c r="I902" s="6" t="s">
        <v>37</v>
      </c>
      <c r="J902" s="6" t="s">
        <v>37</v>
      </c>
      <c r="K902" s="6" t="s">
        <v>37</v>
      </c>
      <c r="L902" s="6" t="s">
        <v>37</v>
      </c>
      <c r="M902" s="6" t="s">
        <v>37</v>
      </c>
      <c r="N902" s="6" t="s">
        <v>37</v>
      </c>
      <c r="O902" s="39" t="s">
        <v>37</v>
      </c>
      <c r="P902" s="28"/>
      <c r="Q902" s="6" t="s">
        <v>37</v>
      </c>
    </row>
    <row r="903" spans="5:17" ht="21">
      <c r="E903" s="32" t="s">
        <v>610</v>
      </c>
      <c r="F903" s="31"/>
      <c r="G903" s="8" t="s">
        <v>39</v>
      </c>
      <c r="H903" s="8" t="s">
        <v>19</v>
      </c>
      <c r="I903" s="8" t="s">
        <v>9</v>
      </c>
      <c r="J903" s="8" t="s">
        <v>21</v>
      </c>
      <c r="K903" s="8" t="s">
        <v>11</v>
      </c>
      <c r="L903" s="8" t="s">
        <v>15</v>
      </c>
      <c r="M903" s="8" t="s">
        <v>27</v>
      </c>
      <c r="N903" s="8" t="s">
        <v>7</v>
      </c>
      <c r="O903" s="40" t="s">
        <v>31</v>
      </c>
      <c r="P903" s="31"/>
      <c r="Q903" s="8" t="s">
        <v>40</v>
      </c>
    </row>
    <row r="904" spans="5:17" ht="22.5">
      <c r="E904" s="7" t="s">
        <v>41</v>
      </c>
      <c r="F904" s="7" t="s">
        <v>611</v>
      </c>
      <c r="G904" s="9" t="s">
        <v>43</v>
      </c>
      <c r="H904" s="10" t="s">
        <v>612</v>
      </c>
      <c r="I904" s="10" t="s">
        <v>613</v>
      </c>
      <c r="J904" s="10" t="s">
        <v>176</v>
      </c>
      <c r="K904" s="10" t="s">
        <v>614</v>
      </c>
      <c r="L904" s="10" t="s">
        <v>615</v>
      </c>
      <c r="M904" s="10" t="s">
        <v>616</v>
      </c>
      <c r="N904" s="10" t="s">
        <v>550</v>
      </c>
      <c r="O904" s="30" t="s">
        <v>51</v>
      </c>
      <c r="P904" s="31"/>
      <c r="Q904" s="9" t="s">
        <v>37</v>
      </c>
    </row>
    <row r="905" spans="5:17">
      <c r="E905" s="32" t="s">
        <v>617</v>
      </c>
      <c r="F905" s="33"/>
      <c r="G905" s="9" t="s">
        <v>53</v>
      </c>
      <c r="H905" s="10" t="s">
        <v>51</v>
      </c>
      <c r="I905" s="10" t="s">
        <v>51</v>
      </c>
      <c r="J905" s="10" t="s">
        <v>51</v>
      </c>
      <c r="K905" s="10" t="s">
        <v>51</v>
      </c>
      <c r="L905" s="10" t="s">
        <v>51</v>
      </c>
      <c r="M905" s="10" t="s">
        <v>51</v>
      </c>
      <c r="N905" s="10" t="s">
        <v>51</v>
      </c>
      <c r="O905" s="30" t="s">
        <v>86</v>
      </c>
      <c r="P905" s="31"/>
      <c r="Q905" s="9" t="s">
        <v>37</v>
      </c>
    </row>
    <row r="906" spans="5:17">
      <c r="E906" s="34"/>
      <c r="F906" s="35"/>
      <c r="G906" s="9" t="s">
        <v>55</v>
      </c>
      <c r="H906" s="10" t="s">
        <v>37</v>
      </c>
      <c r="I906" s="10" t="s">
        <v>37</v>
      </c>
      <c r="J906" s="10" t="s">
        <v>37</v>
      </c>
      <c r="K906" s="12">
        <v>1</v>
      </c>
      <c r="L906" s="10" t="s">
        <v>37</v>
      </c>
      <c r="M906" s="10" t="s">
        <v>37</v>
      </c>
      <c r="N906" s="10" t="s">
        <v>37</v>
      </c>
      <c r="O906" s="30" t="s">
        <v>37</v>
      </c>
      <c r="P906" s="31"/>
      <c r="Q906" s="11">
        <v>1</v>
      </c>
    </row>
    <row r="907" spans="5:17">
      <c r="E907" s="36"/>
      <c r="F907" s="37"/>
      <c r="G907" s="9" t="s">
        <v>56</v>
      </c>
      <c r="H907" s="12">
        <v>4</v>
      </c>
      <c r="I907" s="12">
        <v>4</v>
      </c>
      <c r="J907" s="12">
        <v>4</v>
      </c>
      <c r="K907" s="12">
        <v>3</v>
      </c>
      <c r="L907" s="12">
        <v>3</v>
      </c>
      <c r="M907" s="12">
        <v>3</v>
      </c>
      <c r="N907" s="12">
        <v>2</v>
      </c>
      <c r="O907" s="30">
        <v>2</v>
      </c>
      <c r="P907" s="31"/>
      <c r="Q907" s="11">
        <v>25</v>
      </c>
    </row>
    <row r="908" spans="5:17">
      <c r="E908" s="7" t="s">
        <v>57</v>
      </c>
      <c r="F908" s="13">
        <v>6.42</v>
      </c>
      <c r="G908" s="9" t="s">
        <v>58</v>
      </c>
      <c r="H908" s="12">
        <v>6.5</v>
      </c>
      <c r="I908" s="12">
        <v>8</v>
      </c>
      <c r="J908" s="12">
        <v>5</v>
      </c>
      <c r="K908" s="12">
        <v>4.5</v>
      </c>
      <c r="L908" s="12">
        <v>6</v>
      </c>
      <c r="M908" s="12">
        <v>5</v>
      </c>
      <c r="N908" s="12">
        <v>8</v>
      </c>
      <c r="O908" s="30">
        <v>10</v>
      </c>
      <c r="P908" s="31"/>
      <c r="Q908" s="9" t="s">
        <v>37</v>
      </c>
    </row>
    <row r="909" spans="5:17">
      <c r="E909" s="7" t="s">
        <v>59</v>
      </c>
      <c r="F909" s="14">
        <v>6.42</v>
      </c>
      <c r="G909" s="9" t="s">
        <v>60</v>
      </c>
      <c r="H909" s="12">
        <v>26</v>
      </c>
      <c r="I909" s="12">
        <v>32</v>
      </c>
      <c r="J909" s="12">
        <v>20</v>
      </c>
      <c r="K909" s="12">
        <v>13.5</v>
      </c>
      <c r="L909" s="12">
        <v>18</v>
      </c>
      <c r="M909" s="12">
        <v>15</v>
      </c>
      <c r="N909" s="12">
        <v>16</v>
      </c>
      <c r="O909" s="30">
        <v>20</v>
      </c>
      <c r="P909" s="31"/>
      <c r="Q909" s="11">
        <v>160.5</v>
      </c>
    </row>
    <row r="910" spans="5:17">
      <c r="E910" s="32" t="s">
        <v>61</v>
      </c>
      <c r="F910" s="31"/>
      <c r="G910" s="9" t="s">
        <v>40</v>
      </c>
      <c r="H910" s="12">
        <v>61</v>
      </c>
      <c r="I910" s="12">
        <v>78</v>
      </c>
      <c r="J910" s="12">
        <v>48</v>
      </c>
      <c r="K910" s="12">
        <v>42</v>
      </c>
      <c r="L910" s="12">
        <v>55</v>
      </c>
      <c r="M910" s="12">
        <v>48</v>
      </c>
      <c r="N910" s="12">
        <v>38</v>
      </c>
      <c r="O910" s="30">
        <v>48</v>
      </c>
      <c r="P910" s="31"/>
      <c r="Q910" s="11">
        <v>418</v>
      </c>
    </row>
    <row r="911" spans="5:17">
      <c r="E911" s="7" t="s">
        <v>62</v>
      </c>
      <c r="F911" s="7"/>
      <c r="G911" s="9" t="s">
        <v>63</v>
      </c>
      <c r="H911" s="12">
        <v>100</v>
      </c>
      <c r="I911" s="12">
        <v>100</v>
      </c>
      <c r="J911" s="12">
        <v>100</v>
      </c>
      <c r="K911" s="12">
        <v>100</v>
      </c>
      <c r="L911" s="12">
        <v>100</v>
      </c>
      <c r="M911" s="12">
        <v>100</v>
      </c>
      <c r="N911" s="12">
        <v>50</v>
      </c>
      <c r="O911" s="30">
        <v>50</v>
      </c>
      <c r="P911" s="31"/>
      <c r="Q911" s="11">
        <v>700</v>
      </c>
    </row>
    <row r="912" spans="5:17">
      <c r="E912" s="32" t="s">
        <v>273</v>
      </c>
      <c r="F912" s="31"/>
      <c r="G912" s="9" t="s">
        <v>65</v>
      </c>
      <c r="H912" s="10" t="s">
        <v>69</v>
      </c>
      <c r="I912" s="10" t="s">
        <v>102</v>
      </c>
      <c r="J912" s="10" t="s">
        <v>127</v>
      </c>
      <c r="K912" s="10" t="s">
        <v>303</v>
      </c>
      <c r="L912" s="10" t="s">
        <v>103</v>
      </c>
      <c r="M912" s="10" t="s">
        <v>127</v>
      </c>
      <c r="N912" s="10" t="s">
        <v>102</v>
      </c>
      <c r="O912" s="30" t="s">
        <v>88</v>
      </c>
      <c r="P912" s="31"/>
      <c r="Q912" s="9" t="s">
        <v>37</v>
      </c>
    </row>
    <row r="913" spans="5:17">
      <c r="E913" s="15" t="s">
        <v>72</v>
      </c>
      <c r="F913" s="15" t="s">
        <v>618</v>
      </c>
      <c r="G913" s="9" t="s">
        <v>74</v>
      </c>
      <c r="H913" s="10" t="s">
        <v>75</v>
      </c>
      <c r="I913" s="10" t="s">
        <v>75</v>
      </c>
      <c r="J913" s="10" t="s">
        <v>75</v>
      </c>
      <c r="K913" s="10" t="s">
        <v>75</v>
      </c>
      <c r="L913" s="10" t="s">
        <v>75</v>
      </c>
      <c r="M913" s="10" t="s">
        <v>75</v>
      </c>
      <c r="N913" s="10" t="s">
        <v>75</v>
      </c>
      <c r="O913" s="30" t="s">
        <v>75</v>
      </c>
      <c r="P913" s="31"/>
      <c r="Q913" s="9" t="s">
        <v>37</v>
      </c>
    </row>
    <row r="914" spans="5:17">
      <c r="E914" s="16" t="s">
        <v>37</v>
      </c>
      <c r="F914" s="16" t="s">
        <v>37</v>
      </c>
      <c r="G914" s="16" t="s">
        <v>37</v>
      </c>
      <c r="H914" s="17" t="s">
        <v>37</v>
      </c>
      <c r="I914" s="17" t="s">
        <v>37</v>
      </c>
      <c r="J914" s="17" t="s">
        <v>37</v>
      </c>
      <c r="K914" s="17" t="s">
        <v>37</v>
      </c>
      <c r="L914" s="17" t="s">
        <v>37</v>
      </c>
      <c r="M914" s="17" t="s">
        <v>37</v>
      </c>
      <c r="N914" s="17" t="s">
        <v>37</v>
      </c>
      <c r="O914" s="41" t="s">
        <v>37</v>
      </c>
      <c r="P914" s="28"/>
      <c r="Q914" s="17" t="s">
        <v>37</v>
      </c>
    </row>
    <row r="915" spans="5:17" ht="0" hidden="1" customHeight="1"/>
    <row r="916" spans="5:17" ht="0.6" customHeight="1"/>
    <row r="917" spans="5:17">
      <c r="E917" s="38" t="s">
        <v>35</v>
      </c>
      <c r="F917" s="31"/>
      <c r="G917" s="4" t="s">
        <v>36</v>
      </c>
      <c r="H917" s="6" t="s">
        <v>37</v>
      </c>
      <c r="I917" s="6" t="s">
        <v>37</v>
      </c>
      <c r="J917" s="6" t="s">
        <v>37</v>
      </c>
      <c r="K917" s="6" t="s">
        <v>37</v>
      </c>
      <c r="L917" s="6" t="s">
        <v>37</v>
      </c>
      <c r="M917" s="6" t="s">
        <v>37</v>
      </c>
      <c r="N917" s="6" t="s">
        <v>37</v>
      </c>
      <c r="O917" s="39" t="s">
        <v>37</v>
      </c>
      <c r="P917" s="28"/>
      <c r="Q917" s="6" t="s">
        <v>37</v>
      </c>
    </row>
    <row r="918" spans="5:17" ht="21">
      <c r="E918" s="32" t="s">
        <v>619</v>
      </c>
      <c r="F918" s="31"/>
      <c r="G918" s="8" t="s">
        <v>39</v>
      </c>
      <c r="H918" s="8" t="s">
        <v>19</v>
      </c>
      <c r="I918" s="8" t="s">
        <v>9</v>
      </c>
      <c r="J918" s="8" t="s">
        <v>21</v>
      </c>
      <c r="K918" s="8" t="s">
        <v>11</v>
      </c>
      <c r="L918" s="8" t="s">
        <v>17</v>
      </c>
      <c r="M918" s="8" t="s">
        <v>27</v>
      </c>
      <c r="N918" s="8" t="s">
        <v>7</v>
      </c>
      <c r="O918" s="40" t="s">
        <v>23</v>
      </c>
      <c r="P918" s="31"/>
      <c r="Q918" s="8" t="s">
        <v>40</v>
      </c>
    </row>
    <row r="919" spans="5:17" ht="22.5">
      <c r="E919" s="7" t="s">
        <v>41</v>
      </c>
      <c r="F919" s="7" t="s">
        <v>620</v>
      </c>
      <c r="G919" s="9" t="s">
        <v>43</v>
      </c>
      <c r="H919" s="10" t="s">
        <v>234</v>
      </c>
      <c r="I919" s="10" t="s">
        <v>448</v>
      </c>
      <c r="J919" s="10" t="s">
        <v>241</v>
      </c>
      <c r="K919" s="10" t="s">
        <v>621</v>
      </c>
      <c r="L919" s="10" t="s">
        <v>622</v>
      </c>
      <c r="M919" s="10" t="s">
        <v>193</v>
      </c>
      <c r="N919" s="10" t="s">
        <v>176</v>
      </c>
      <c r="O919" s="30" t="s">
        <v>51</v>
      </c>
      <c r="P919" s="31"/>
      <c r="Q919" s="9" t="s">
        <v>37</v>
      </c>
    </row>
    <row r="920" spans="5:17">
      <c r="E920" s="32" t="s">
        <v>623</v>
      </c>
      <c r="F920" s="33"/>
      <c r="G920" s="9" t="s">
        <v>53</v>
      </c>
      <c r="H920" s="10" t="s">
        <v>51</v>
      </c>
      <c r="I920" s="10" t="s">
        <v>51</v>
      </c>
      <c r="J920" s="10" t="s">
        <v>51</v>
      </c>
      <c r="K920" s="10" t="s">
        <v>51</v>
      </c>
      <c r="L920" s="10" t="s">
        <v>51</v>
      </c>
      <c r="M920" s="10" t="s">
        <v>51</v>
      </c>
      <c r="N920" s="10" t="s">
        <v>51</v>
      </c>
      <c r="O920" s="30" t="s">
        <v>259</v>
      </c>
      <c r="P920" s="31"/>
      <c r="Q920" s="9" t="s">
        <v>37</v>
      </c>
    </row>
    <row r="921" spans="5:17">
      <c r="E921" s="34"/>
      <c r="F921" s="35"/>
      <c r="G921" s="9" t="s">
        <v>55</v>
      </c>
      <c r="H921" s="10" t="s">
        <v>37</v>
      </c>
      <c r="I921" s="10" t="s">
        <v>37</v>
      </c>
      <c r="J921" s="10" t="s">
        <v>37</v>
      </c>
      <c r="K921" s="10" t="s">
        <v>37</v>
      </c>
      <c r="L921" s="10" t="s">
        <v>37</v>
      </c>
      <c r="M921" s="10" t="s">
        <v>37</v>
      </c>
      <c r="N921" s="10" t="s">
        <v>37</v>
      </c>
      <c r="O921" s="30" t="s">
        <v>37</v>
      </c>
      <c r="P921" s="31"/>
      <c r="Q921" s="11">
        <v>0</v>
      </c>
    </row>
    <row r="922" spans="5:17">
      <c r="E922" s="36"/>
      <c r="F922" s="37"/>
      <c r="G922" s="9" t="s">
        <v>56</v>
      </c>
      <c r="H922" s="12">
        <v>4</v>
      </c>
      <c r="I922" s="12">
        <v>4</v>
      </c>
      <c r="J922" s="12">
        <v>4</v>
      </c>
      <c r="K922" s="12">
        <v>3</v>
      </c>
      <c r="L922" s="12">
        <v>3</v>
      </c>
      <c r="M922" s="12">
        <v>3</v>
      </c>
      <c r="N922" s="12">
        <v>2</v>
      </c>
      <c r="O922" s="30">
        <v>2</v>
      </c>
      <c r="P922" s="31"/>
      <c r="Q922" s="11">
        <v>25</v>
      </c>
    </row>
    <row r="923" spans="5:17">
      <c r="E923" s="7" t="s">
        <v>57</v>
      </c>
      <c r="F923" s="13">
        <v>7.68</v>
      </c>
      <c r="G923" s="9" t="s">
        <v>58</v>
      </c>
      <c r="H923" s="12">
        <v>7.5</v>
      </c>
      <c r="I923" s="12">
        <v>8</v>
      </c>
      <c r="J923" s="12">
        <v>7.5</v>
      </c>
      <c r="K923" s="12">
        <v>6</v>
      </c>
      <c r="L923" s="12">
        <v>8</v>
      </c>
      <c r="M923" s="12">
        <v>7</v>
      </c>
      <c r="N923" s="12">
        <v>10</v>
      </c>
      <c r="O923" s="30">
        <v>8.5</v>
      </c>
      <c r="P923" s="31"/>
      <c r="Q923" s="9" t="s">
        <v>37</v>
      </c>
    </row>
    <row r="924" spans="5:17">
      <c r="E924" s="7" t="s">
        <v>59</v>
      </c>
      <c r="F924" s="14">
        <v>7.68</v>
      </c>
      <c r="G924" s="9" t="s">
        <v>60</v>
      </c>
      <c r="H924" s="12">
        <v>30</v>
      </c>
      <c r="I924" s="12">
        <v>32</v>
      </c>
      <c r="J924" s="12">
        <v>30</v>
      </c>
      <c r="K924" s="12">
        <v>18</v>
      </c>
      <c r="L924" s="12">
        <v>24</v>
      </c>
      <c r="M924" s="12">
        <v>21</v>
      </c>
      <c r="N924" s="12">
        <v>20</v>
      </c>
      <c r="O924" s="30">
        <v>17</v>
      </c>
      <c r="P924" s="31"/>
      <c r="Q924" s="11">
        <v>192</v>
      </c>
    </row>
    <row r="925" spans="5:17">
      <c r="E925" s="32" t="s">
        <v>61</v>
      </c>
      <c r="F925" s="31"/>
      <c r="G925" s="9" t="s">
        <v>40</v>
      </c>
      <c r="H925" s="12">
        <v>72</v>
      </c>
      <c r="I925" s="12">
        <v>77</v>
      </c>
      <c r="J925" s="12">
        <v>74</v>
      </c>
      <c r="K925" s="12">
        <v>55</v>
      </c>
      <c r="L925" s="12">
        <v>79</v>
      </c>
      <c r="M925" s="12">
        <v>68</v>
      </c>
      <c r="N925" s="12">
        <v>48</v>
      </c>
      <c r="O925" s="30">
        <v>42</v>
      </c>
      <c r="P925" s="31"/>
      <c r="Q925" s="11">
        <v>515</v>
      </c>
    </row>
    <row r="926" spans="5:17">
      <c r="E926" s="7" t="s">
        <v>62</v>
      </c>
      <c r="F926" s="7"/>
      <c r="G926" s="9" t="s">
        <v>63</v>
      </c>
      <c r="H926" s="12">
        <v>100</v>
      </c>
      <c r="I926" s="12">
        <v>100</v>
      </c>
      <c r="J926" s="12">
        <v>100</v>
      </c>
      <c r="K926" s="12">
        <v>100</v>
      </c>
      <c r="L926" s="12">
        <v>100</v>
      </c>
      <c r="M926" s="12">
        <v>100</v>
      </c>
      <c r="N926" s="12">
        <v>50</v>
      </c>
      <c r="O926" s="30">
        <v>50</v>
      </c>
      <c r="P926" s="31"/>
      <c r="Q926" s="11">
        <v>700</v>
      </c>
    </row>
    <row r="927" spans="5:17">
      <c r="E927" s="32" t="s">
        <v>64</v>
      </c>
      <c r="F927" s="31"/>
      <c r="G927" s="9" t="s">
        <v>65</v>
      </c>
      <c r="H927" s="10" t="s">
        <v>68</v>
      </c>
      <c r="I927" s="10" t="s">
        <v>102</v>
      </c>
      <c r="J927" s="10" t="s">
        <v>68</v>
      </c>
      <c r="K927" s="10" t="s">
        <v>103</v>
      </c>
      <c r="L927" s="10" t="s">
        <v>102</v>
      </c>
      <c r="M927" s="10" t="s">
        <v>66</v>
      </c>
      <c r="N927" s="10" t="s">
        <v>88</v>
      </c>
      <c r="O927" s="30" t="s">
        <v>70</v>
      </c>
      <c r="P927" s="31"/>
      <c r="Q927" s="9" t="s">
        <v>37</v>
      </c>
    </row>
    <row r="928" spans="5:17">
      <c r="E928" s="15" t="s">
        <v>72</v>
      </c>
      <c r="F928" s="15" t="s">
        <v>624</v>
      </c>
      <c r="G928" s="9" t="s">
        <v>74</v>
      </c>
      <c r="H928" s="10" t="s">
        <v>75</v>
      </c>
      <c r="I928" s="10" t="s">
        <v>75</v>
      </c>
      <c r="J928" s="10" t="s">
        <v>75</v>
      </c>
      <c r="K928" s="10" t="s">
        <v>75</v>
      </c>
      <c r="L928" s="10" t="s">
        <v>75</v>
      </c>
      <c r="M928" s="10" t="s">
        <v>75</v>
      </c>
      <c r="N928" s="10" t="s">
        <v>75</v>
      </c>
      <c r="O928" s="30" t="s">
        <v>75</v>
      </c>
      <c r="P928" s="31"/>
      <c r="Q928" s="9" t="s">
        <v>37</v>
      </c>
    </row>
    <row r="929" spans="5:17">
      <c r="E929" s="16" t="s">
        <v>37</v>
      </c>
      <c r="F929" s="16" t="s">
        <v>37</v>
      </c>
      <c r="G929" s="16" t="s">
        <v>37</v>
      </c>
      <c r="H929" s="17" t="s">
        <v>37</v>
      </c>
      <c r="I929" s="17" t="s">
        <v>37</v>
      </c>
      <c r="J929" s="17" t="s">
        <v>37</v>
      </c>
      <c r="K929" s="17" t="s">
        <v>37</v>
      </c>
      <c r="L929" s="17" t="s">
        <v>37</v>
      </c>
      <c r="M929" s="17" t="s">
        <v>37</v>
      </c>
      <c r="N929" s="17" t="s">
        <v>37</v>
      </c>
      <c r="O929" s="41" t="s">
        <v>37</v>
      </c>
      <c r="P929" s="28"/>
      <c r="Q929" s="17" t="s">
        <v>37</v>
      </c>
    </row>
    <row r="930" spans="5:17" ht="0" hidden="1" customHeight="1"/>
    <row r="931" spans="5:17" ht="0.6" customHeight="1"/>
    <row r="932" spans="5:17">
      <c r="E932" s="38" t="s">
        <v>35</v>
      </c>
      <c r="F932" s="31"/>
      <c r="G932" s="4" t="s">
        <v>36</v>
      </c>
      <c r="H932" s="6" t="s">
        <v>37</v>
      </c>
      <c r="I932" s="6" t="s">
        <v>37</v>
      </c>
      <c r="J932" s="6" t="s">
        <v>37</v>
      </c>
      <c r="K932" s="6" t="s">
        <v>37</v>
      </c>
      <c r="L932" s="6" t="s">
        <v>37</v>
      </c>
      <c r="M932" s="6" t="s">
        <v>37</v>
      </c>
      <c r="N932" s="6" t="s">
        <v>37</v>
      </c>
      <c r="O932" s="39" t="s">
        <v>37</v>
      </c>
      <c r="P932" s="28"/>
      <c r="Q932" s="6" t="s">
        <v>37</v>
      </c>
    </row>
    <row r="933" spans="5:17" ht="21">
      <c r="E933" s="32" t="s">
        <v>625</v>
      </c>
      <c r="F933" s="31"/>
      <c r="G933" s="8" t="s">
        <v>39</v>
      </c>
      <c r="H933" s="8" t="s">
        <v>19</v>
      </c>
      <c r="I933" s="8" t="s">
        <v>9</v>
      </c>
      <c r="J933" s="8" t="s">
        <v>21</v>
      </c>
      <c r="K933" s="8" t="s">
        <v>11</v>
      </c>
      <c r="L933" s="8" t="s">
        <v>17</v>
      </c>
      <c r="M933" s="8" t="s">
        <v>27</v>
      </c>
      <c r="N933" s="8" t="s">
        <v>7</v>
      </c>
      <c r="O933" s="40" t="s">
        <v>23</v>
      </c>
      <c r="P933" s="31"/>
      <c r="Q933" s="8" t="s">
        <v>40</v>
      </c>
    </row>
    <row r="934" spans="5:17" ht="22.5">
      <c r="E934" s="7" t="s">
        <v>41</v>
      </c>
      <c r="F934" s="7" t="s">
        <v>626</v>
      </c>
      <c r="G934" s="9" t="s">
        <v>43</v>
      </c>
      <c r="H934" s="10" t="s">
        <v>121</v>
      </c>
      <c r="I934" s="10" t="s">
        <v>193</v>
      </c>
      <c r="J934" s="10" t="s">
        <v>564</v>
      </c>
      <c r="K934" s="10" t="s">
        <v>627</v>
      </c>
      <c r="L934" s="10" t="s">
        <v>628</v>
      </c>
      <c r="M934" s="10" t="s">
        <v>629</v>
      </c>
      <c r="N934" s="10" t="s">
        <v>578</v>
      </c>
      <c r="O934" s="30" t="s">
        <v>51</v>
      </c>
      <c r="P934" s="31"/>
      <c r="Q934" s="9" t="s">
        <v>37</v>
      </c>
    </row>
    <row r="935" spans="5:17">
      <c r="E935" s="32" t="s">
        <v>630</v>
      </c>
      <c r="F935" s="33"/>
      <c r="G935" s="9" t="s">
        <v>53</v>
      </c>
      <c r="H935" s="10" t="s">
        <v>51</v>
      </c>
      <c r="I935" s="10" t="s">
        <v>51</v>
      </c>
      <c r="J935" s="10" t="s">
        <v>51</v>
      </c>
      <c r="K935" s="10" t="s">
        <v>51</v>
      </c>
      <c r="L935" s="10" t="s">
        <v>51</v>
      </c>
      <c r="M935" s="10" t="s">
        <v>51</v>
      </c>
      <c r="N935" s="10" t="s">
        <v>51</v>
      </c>
      <c r="O935" s="30" t="s">
        <v>631</v>
      </c>
      <c r="P935" s="31"/>
      <c r="Q935" s="9" t="s">
        <v>37</v>
      </c>
    </row>
    <row r="936" spans="5:17">
      <c r="E936" s="34"/>
      <c r="F936" s="35"/>
      <c r="G936" s="9" t="s">
        <v>55</v>
      </c>
      <c r="H936" s="10" t="s">
        <v>37</v>
      </c>
      <c r="I936" s="10" t="s">
        <v>37</v>
      </c>
      <c r="J936" s="10" t="s">
        <v>37</v>
      </c>
      <c r="K936" s="10" t="s">
        <v>37</v>
      </c>
      <c r="L936" s="10" t="s">
        <v>37</v>
      </c>
      <c r="M936" s="10" t="s">
        <v>37</v>
      </c>
      <c r="N936" s="10" t="s">
        <v>37</v>
      </c>
      <c r="O936" s="30" t="s">
        <v>37</v>
      </c>
      <c r="P936" s="31"/>
      <c r="Q936" s="11">
        <v>0</v>
      </c>
    </row>
    <row r="937" spans="5:17">
      <c r="E937" s="36"/>
      <c r="F937" s="37"/>
      <c r="G937" s="9" t="s">
        <v>56</v>
      </c>
      <c r="H937" s="12">
        <v>4</v>
      </c>
      <c r="I937" s="12">
        <v>4</v>
      </c>
      <c r="J937" s="12">
        <v>4</v>
      </c>
      <c r="K937" s="12">
        <v>3</v>
      </c>
      <c r="L937" s="12">
        <v>3</v>
      </c>
      <c r="M937" s="12">
        <v>3</v>
      </c>
      <c r="N937" s="12">
        <v>2</v>
      </c>
      <c r="O937" s="30">
        <v>2</v>
      </c>
      <c r="P937" s="31"/>
      <c r="Q937" s="11">
        <v>25</v>
      </c>
    </row>
    <row r="938" spans="5:17">
      <c r="E938" s="7" t="s">
        <v>57</v>
      </c>
      <c r="F938" s="13">
        <v>6.12</v>
      </c>
      <c r="G938" s="9" t="s">
        <v>58</v>
      </c>
      <c r="H938" s="12">
        <v>7</v>
      </c>
      <c r="I938" s="12">
        <v>7</v>
      </c>
      <c r="J938" s="12">
        <v>5</v>
      </c>
      <c r="K938" s="12">
        <v>5</v>
      </c>
      <c r="L938" s="12">
        <v>5.5</v>
      </c>
      <c r="M938" s="12">
        <v>4.5</v>
      </c>
      <c r="N938" s="12">
        <v>8.5</v>
      </c>
      <c r="O938" s="30">
        <v>7.5</v>
      </c>
      <c r="P938" s="31"/>
      <c r="Q938" s="9" t="s">
        <v>37</v>
      </c>
    </row>
    <row r="939" spans="5:17">
      <c r="E939" s="7" t="s">
        <v>59</v>
      </c>
      <c r="F939" s="14">
        <v>6.12</v>
      </c>
      <c r="G939" s="9" t="s">
        <v>60</v>
      </c>
      <c r="H939" s="12">
        <v>28</v>
      </c>
      <c r="I939" s="12">
        <v>28</v>
      </c>
      <c r="J939" s="12">
        <v>20</v>
      </c>
      <c r="K939" s="12">
        <v>15</v>
      </c>
      <c r="L939" s="12">
        <v>16.5</v>
      </c>
      <c r="M939" s="12">
        <v>13.5</v>
      </c>
      <c r="N939" s="12">
        <v>17</v>
      </c>
      <c r="O939" s="30">
        <v>15</v>
      </c>
      <c r="P939" s="31"/>
      <c r="Q939" s="11">
        <v>153</v>
      </c>
    </row>
    <row r="940" spans="5:17">
      <c r="E940" s="32" t="s">
        <v>61</v>
      </c>
      <c r="F940" s="31"/>
      <c r="G940" s="9" t="s">
        <v>40</v>
      </c>
      <c r="H940" s="12">
        <v>65</v>
      </c>
      <c r="I940" s="12">
        <v>68</v>
      </c>
      <c r="J940" s="12">
        <v>49</v>
      </c>
      <c r="K940" s="12">
        <v>45</v>
      </c>
      <c r="L940" s="12">
        <v>50</v>
      </c>
      <c r="M940" s="12">
        <v>41</v>
      </c>
      <c r="N940" s="12">
        <v>42</v>
      </c>
      <c r="O940" s="30">
        <v>36</v>
      </c>
      <c r="P940" s="31"/>
      <c r="Q940" s="11">
        <v>396</v>
      </c>
    </row>
    <row r="941" spans="5:17">
      <c r="E941" s="7" t="s">
        <v>62</v>
      </c>
      <c r="F941" s="7"/>
      <c r="G941" s="9" t="s">
        <v>63</v>
      </c>
      <c r="H941" s="12">
        <v>100</v>
      </c>
      <c r="I941" s="12">
        <v>100</v>
      </c>
      <c r="J941" s="12">
        <v>100</v>
      </c>
      <c r="K941" s="12">
        <v>100</v>
      </c>
      <c r="L941" s="12">
        <v>100</v>
      </c>
      <c r="M941" s="12">
        <v>100</v>
      </c>
      <c r="N941" s="12">
        <v>50</v>
      </c>
      <c r="O941" s="30">
        <v>50</v>
      </c>
      <c r="P941" s="31"/>
      <c r="Q941" s="11">
        <v>700</v>
      </c>
    </row>
    <row r="942" spans="5:17">
      <c r="E942" s="32" t="s">
        <v>273</v>
      </c>
      <c r="F942" s="31"/>
      <c r="G942" s="9" t="s">
        <v>65</v>
      </c>
      <c r="H942" s="10" t="s">
        <v>66</v>
      </c>
      <c r="I942" s="10" t="s">
        <v>66</v>
      </c>
      <c r="J942" s="10" t="s">
        <v>127</v>
      </c>
      <c r="K942" s="10" t="s">
        <v>127</v>
      </c>
      <c r="L942" s="10" t="s">
        <v>138</v>
      </c>
      <c r="M942" s="10" t="s">
        <v>303</v>
      </c>
      <c r="N942" s="10" t="s">
        <v>70</v>
      </c>
      <c r="O942" s="30" t="s">
        <v>68</v>
      </c>
      <c r="P942" s="31"/>
      <c r="Q942" s="9" t="s">
        <v>37</v>
      </c>
    </row>
    <row r="943" spans="5:17">
      <c r="E943" s="15" t="s">
        <v>72</v>
      </c>
      <c r="F943" s="15" t="s">
        <v>632</v>
      </c>
      <c r="G943" s="9" t="s">
        <v>74</v>
      </c>
      <c r="H943" s="10" t="s">
        <v>75</v>
      </c>
      <c r="I943" s="10" t="s">
        <v>75</v>
      </c>
      <c r="J943" s="10" t="s">
        <v>75</v>
      </c>
      <c r="K943" s="10" t="s">
        <v>75</v>
      </c>
      <c r="L943" s="10" t="s">
        <v>75</v>
      </c>
      <c r="M943" s="10" t="s">
        <v>75</v>
      </c>
      <c r="N943" s="10" t="s">
        <v>75</v>
      </c>
      <c r="O943" s="30" t="s">
        <v>75</v>
      </c>
      <c r="P943" s="31"/>
      <c r="Q943" s="9" t="s">
        <v>37</v>
      </c>
    </row>
    <row r="944" spans="5:17">
      <c r="E944" s="16" t="s">
        <v>37</v>
      </c>
      <c r="F944" s="16" t="s">
        <v>37</v>
      </c>
      <c r="G944" s="16" t="s">
        <v>37</v>
      </c>
      <c r="H944" s="17" t="s">
        <v>37</v>
      </c>
      <c r="I944" s="17" t="s">
        <v>37</v>
      </c>
      <c r="J944" s="17" t="s">
        <v>37</v>
      </c>
      <c r="K944" s="17" t="s">
        <v>37</v>
      </c>
      <c r="L944" s="17" t="s">
        <v>37</v>
      </c>
      <c r="M944" s="17" t="s">
        <v>37</v>
      </c>
      <c r="N944" s="17" t="s">
        <v>37</v>
      </c>
      <c r="O944" s="41" t="s">
        <v>37</v>
      </c>
      <c r="P944" s="28"/>
      <c r="Q944" s="17" t="s">
        <v>37</v>
      </c>
    </row>
    <row r="945" spans="5:17" ht="0" hidden="1" customHeight="1"/>
    <row r="946" spans="5:17" ht="0.6" customHeight="1"/>
    <row r="947" spans="5:17">
      <c r="E947" s="38" t="s">
        <v>35</v>
      </c>
      <c r="F947" s="31"/>
      <c r="G947" s="4" t="s">
        <v>36</v>
      </c>
      <c r="H947" s="6" t="s">
        <v>37</v>
      </c>
      <c r="I947" s="6" t="s">
        <v>37</v>
      </c>
      <c r="J947" s="6" t="s">
        <v>37</v>
      </c>
      <c r="K947" s="6" t="s">
        <v>37</v>
      </c>
      <c r="L947" s="6" t="s">
        <v>37</v>
      </c>
      <c r="M947" s="6" t="s">
        <v>37</v>
      </c>
      <c r="N947" s="6" t="s">
        <v>37</v>
      </c>
      <c r="O947" s="39" t="s">
        <v>37</v>
      </c>
      <c r="P947" s="28"/>
      <c r="Q947" s="6" t="s">
        <v>37</v>
      </c>
    </row>
    <row r="948" spans="5:17" ht="21">
      <c r="E948" s="32" t="s">
        <v>633</v>
      </c>
      <c r="F948" s="31"/>
      <c r="G948" s="8" t="s">
        <v>39</v>
      </c>
      <c r="H948" s="8" t="s">
        <v>19</v>
      </c>
      <c r="I948" s="8" t="s">
        <v>9</v>
      </c>
      <c r="J948" s="8" t="s">
        <v>21</v>
      </c>
      <c r="K948" s="8" t="s">
        <v>11</v>
      </c>
      <c r="L948" s="8" t="s">
        <v>17</v>
      </c>
      <c r="M948" s="8" t="s">
        <v>27</v>
      </c>
      <c r="N948" s="8" t="s">
        <v>7</v>
      </c>
      <c r="O948" s="40" t="s">
        <v>33</v>
      </c>
      <c r="P948" s="31"/>
      <c r="Q948" s="8" t="s">
        <v>40</v>
      </c>
    </row>
    <row r="949" spans="5:17" ht="22.5">
      <c r="E949" s="7" t="s">
        <v>41</v>
      </c>
      <c r="F949" s="7" t="s">
        <v>634</v>
      </c>
      <c r="G949" s="9" t="s">
        <v>43</v>
      </c>
      <c r="H949" s="10" t="s">
        <v>323</v>
      </c>
      <c r="I949" s="10" t="s">
        <v>183</v>
      </c>
      <c r="J949" s="10" t="s">
        <v>635</v>
      </c>
      <c r="K949" s="10" t="s">
        <v>132</v>
      </c>
      <c r="L949" s="10" t="s">
        <v>636</v>
      </c>
      <c r="M949" s="10" t="s">
        <v>80</v>
      </c>
      <c r="N949" s="10" t="s">
        <v>50</v>
      </c>
      <c r="O949" s="30" t="s">
        <v>51</v>
      </c>
      <c r="P949" s="31"/>
      <c r="Q949" s="9" t="s">
        <v>37</v>
      </c>
    </row>
    <row r="950" spans="5:17">
      <c r="E950" s="32" t="s">
        <v>637</v>
      </c>
      <c r="F950" s="33"/>
      <c r="G950" s="9" t="s">
        <v>53</v>
      </c>
      <c r="H950" s="10" t="s">
        <v>51</v>
      </c>
      <c r="I950" s="10" t="s">
        <v>51</v>
      </c>
      <c r="J950" s="10" t="s">
        <v>51</v>
      </c>
      <c r="K950" s="10" t="s">
        <v>51</v>
      </c>
      <c r="L950" s="10" t="s">
        <v>51</v>
      </c>
      <c r="M950" s="10" t="s">
        <v>51</v>
      </c>
      <c r="N950" s="10" t="s">
        <v>51</v>
      </c>
      <c r="O950" s="30" t="s">
        <v>54</v>
      </c>
      <c r="P950" s="31"/>
      <c r="Q950" s="9" t="s">
        <v>37</v>
      </c>
    </row>
    <row r="951" spans="5:17">
      <c r="E951" s="34"/>
      <c r="F951" s="35"/>
      <c r="G951" s="9" t="s">
        <v>55</v>
      </c>
      <c r="H951" s="10" t="s">
        <v>37</v>
      </c>
      <c r="I951" s="10" t="s">
        <v>37</v>
      </c>
      <c r="J951" s="10" t="s">
        <v>37</v>
      </c>
      <c r="K951" s="10" t="s">
        <v>37</v>
      </c>
      <c r="L951" s="10" t="s">
        <v>37</v>
      </c>
      <c r="M951" s="10" t="s">
        <v>37</v>
      </c>
      <c r="N951" s="10" t="s">
        <v>37</v>
      </c>
      <c r="O951" s="30" t="s">
        <v>37</v>
      </c>
      <c r="P951" s="31"/>
      <c r="Q951" s="11">
        <v>0</v>
      </c>
    </row>
    <row r="952" spans="5:17">
      <c r="E952" s="36"/>
      <c r="F952" s="37"/>
      <c r="G952" s="9" t="s">
        <v>56</v>
      </c>
      <c r="H952" s="12">
        <v>4</v>
      </c>
      <c r="I952" s="12">
        <v>4</v>
      </c>
      <c r="J952" s="12">
        <v>4</v>
      </c>
      <c r="K952" s="12">
        <v>3</v>
      </c>
      <c r="L952" s="12">
        <v>3</v>
      </c>
      <c r="M952" s="12">
        <v>3</v>
      </c>
      <c r="N952" s="12">
        <v>2</v>
      </c>
      <c r="O952" s="30">
        <v>2</v>
      </c>
      <c r="P952" s="31"/>
      <c r="Q952" s="11">
        <v>25</v>
      </c>
    </row>
    <row r="953" spans="5:17">
      <c r="E953" s="7" t="s">
        <v>57</v>
      </c>
      <c r="F953" s="13">
        <v>8.92</v>
      </c>
      <c r="G953" s="9" t="s">
        <v>58</v>
      </c>
      <c r="H953" s="12">
        <v>9</v>
      </c>
      <c r="I953" s="12">
        <v>9.5</v>
      </c>
      <c r="J953" s="12">
        <v>9</v>
      </c>
      <c r="K953" s="12">
        <v>7.5</v>
      </c>
      <c r="L953" s="12">
        <v>8.5</v>
      </c>
      <c r="M953" s="12">
        <v>9</v>
      </c>
      <c r="N953" s="12">
        <v>9.5</v>
      </c>
      <c r="O953" s="30">
        <v>9.5</v>
      </c>
      <c r="P953" s="31"/>
      <c r="Q953" s="9" t="s">
        <v>37</v>
      </c>
    </row>
    <row r="954" spans="5:17">
      <c r="E954" s="7" t="s">
        <v>59</v>
      </c>
      <c r="F954" s="14">
        <v>8.92</v>
      </c>
      <c r="G954" s="9" t="s">
        <v>60</v>
      </c>
      <c r="H954" s="12">
        <v>36</v>
      </c>
      <c r="I954" s="12">
        <v>38</v>
      </c>
      <c r="J954" s="12">
        <v>36</v>
      </c>
      <c r="K954" s="12">
        <v>22.5</v>
      </c>
      <c r="L954" s="12">
        <v>25.5</v>
      </c>
      <c r="M954" s="12">
        <v>27</v>
      </c>
      <c r="N954" s="12">
        <v>19</v>
      </c>
      <c r="O954" s="30">
        <v>19</v>
      </c>
      <c r="P954" s="31"/>
      <c r="Q954" s="11">
        <v>223</v>
      </c>
    </row>
    <row r="955" spans="5:17">
      <c r="E955" s="32" t="s">
        <v>61</v>
      </c>
      <c r="F955" s="31"/>
      <c r="G955" s="9" t="s">
        <v>40</v>
      </c>
      <c r="H955" s="12">
        <v>85</v>
      </c>
      <c r="I955" s="12">
        <v>94</v>
      </c>
      <c r="J955" s="12">
        <v>88</v>
      </c>
      <c r="K955" s="12">
        <v>73</v>
      </c>
      <c r="L955" s="12">
        <v>83</v>
      </c>
      <c r="M955" s="12">
        <v>88</v>
      </c>
      <c r="N955" s="12">
        <v>45</v>
      </c>
      <c r="O955" s="30">
        <v>45</v>
      </c>
      <c r="P955" s="31"/>
      <c r="Q955" s="11">
        <v>601</v>
      </c>
    </row>
    <row r="956" spans="5:17">
      <c r="E956" s="7" t="s">
        <v>62</v>
      </c>
      <c r="F956" s="7"/>
      <c r="G956" s="9" t="s">
        <v>63</v>
      </c>
      <c r="H956" s="12">
        <v>100</v>
      </c>
      <c r="I956" s="12">
        <v>100</v>
      </c>
      <c r="J956" s="12">
        <v>100</v>
      </c>
      <c r="K956" s="12">
        <v>100</v>
      </c>
      <c r="L956" s="12">
        <v>100</v>
      </c>
      <c r="M956" s="12">
        <v>100</v>
      </c>
      <c r="N956" s="12">
        <v>50</v>
      </c>
      <c r="O956" s="30">
        <v>50</v>
      </c>
      <c r="P956" s="31"/>
      <c r="Q956" s="11">
        <v>700</v>
      </c>
    </row>
    <row r="957" spans="5:17">
      <c r="E957" s="32" t="s">
        <v>188</v>
      </c>
      <c r="F957" s="31"/>
      <c r="G957" s="9" t="s">
        <v>65</v>
      </c>
      <c r="H957" s="10" t="s">
        <v>67</v>
      </c>
      <c r="I957" s="10" t="s">
        <v>71</v>
      </c>
      <c r="J957" s="10" t="s">
        <v>67</v>
      </c>
      <c r="K957" s="10" t="s">
        <v>68</v>
      </c>
      <c r="L957" s="10" t="s">
        <v>70</v>
      </c>
      <c r="M957" s="10" t="s">
        <v>67</v>
      </c>
      <c r="N957" s="10" t="s">
        <v>71</v>
      </c>
      <c r="O957" s="30" t="s">
        <v>71</v>
      </c>
      <c r="P957" s="31"/>
      <c r="Q957" s="9" t="s">
        <v>37</v>
      </c>
    </row>
    <row r="958" spans="5:17">
      <c r="E958" s="15" t="s">
        <v>72</v>
      </c>
      <c r="F958" s="15" t="s">
        <v>638</v>
      </c>
      <c r="G958" s="9" t="s">
        <v>74</v>
      </c>
      <c r="H958" s="10" t="s">
        <v>75</v>
      </c>
      <c r="I958" s="10" t="s">
        <v>75</v>
      </c>
      <c r="J958" s="10" t="s">
        <v>75</v>
      </c>
      <c r="K958" s="10" t="s">
        <v>75</v>
      </c>
      <c r="L958" s="10" t="s">
        <v>75</v>
      </c>
      <c r="M958" s="10" t="s">
        <v>75</v>
      </c>
      <c r="N958" s="10" t="s">
        <v>75</v>
      </c>
      <c r="O958" s="30" t="s">
        <v>75</v>
      </c>
      <c r="P958" s="31"/>
      <c r="Q958" s="9" t="s">
        <v>37</v>
      </c>
    </row>
    <row r="959" spans="5:17">
      <c r="E959" s="16" t="s">
        <v>37</v>
      </c>
      <c r="F959" s="16" t="s">
        <v>37</v>
      </c>
      <c r="G959" s="16" t="s">
        <v>37</v>
      </c>
      <c r="H959" s="17" t="s">
        <v>37</v>
      </c>
      <c r="I959" s="17" t="s">
        <v>37</v>
      </c>
      <c r="J959" s="17" t="s">
        <v>37</v>
      </c>
      <c r="K959" s="17" t="s">
        <v>37</v>
      </c>
      <c r="L959" s="17" t="s">
        <v>37</v>
      </c>
      <c r="M959" s="17" t="s">
        <v>37</v>
      </c>
      <c r="N959" s="17" t="s">
        <v>37</v>
      </c>
      <c r="O959" s="41" t="s">
        <v>37</v>
      </c>
      <c r="P959" s="28"/>
      <c r="Q959" s="17" t="s">
        <v>37</v>
      </c>
    </row>
    <row r="960" spans="5:17" ht="0" hidden="1" customHeight="1"/>
    <row r="961" spans="5:17" ht="0.6" customHeight="1"/>
    <row r="962" spans="5:17">
      <c r="E962" s="38" t="s">
        <v>35</v>
      </c>
      <c r="F962" s="31"/>
      <c r="G962" s="4" t="s">
        <v>36</v>
      </c>
      <c r="H962" s="6" t="s">
        <v>37</v>
      </c>
      <c r="I962" s="6" t="s">
        <v>37</v>
      </c>
      <c r="J962" s="6" t="s">
        <v>37</v>
      </c>
      <c r="K962" s="6" t="s">
        <v>37</v>
      </c>
      <c r="L962" s="6" t="s">
        <v>37</v>
      </c>
      <c r="M962" s="6" t="s">
        <v>37</v>
      </c>
      <c r="N962" s="6" t="s">
        <v>37</v>
      </c>
      <c r="O962" s="39" t="s">
        <v>37</v>
      </c>
      <c r="P962" s="28"/>
      <c r="Q962" s="6" t="s">
        <v>37</v>
      </c>
    </row>
    <row r="963" spans="5:17" ht="21">
      <c r="E963" s="32" t="s">
        <v>639</v>
      </c>
      <c r="F963" s="31"/>
      <c r="G963" s="8" t="s">
        <v>39</v>
      </c>
      <c r="H963" s="8" t="s">
        <v>19</v>
      </c>
      <c r="I963" s="8" t="s">
        <v>9</v>
      </c>
      <c r="J963" s="8" t="s">
        <v>21</v>
      </c>
      <c r="K963" s="8" t="s">
        <v>11</v>
      </c>
      <c r="L963" s="8" t="s">
        <v>17</v>
      </c>
      <c r="M963" s="8" t="s">
        <v>27</v>
      </c>
      <c r="N963" s="8" t="s">
        <v>7</v>
      </c>
      <c r="O963" s="40" t="s">
        <v>33</v>
      </c>
      <c r="P963" s="31"/>
      <c r="Q963" s="8" t="s">
        <v>40</v>
      </c>
    </row>
    <row r="964" spans="5:17" ht="22.5">
      <c r="E964" s="7" t="s">
        <v>41</v>
      </c>
      <c r="F964" s="7" t="s">
        <v>640</v>
      </c>
      <c r="G964" s="9" t="s">
        <v>43</v>
      </c>
      <c r="H964" s="10" t="s">
        <v>172</v>
      </c>
      <c r="I964" s="10" t="s">
        <v>223</v>
      </c>
      <c r="J964" s="10" t="s">
        <v>641</v>
      </c>
      <c r="K964" s="10" t="s">
        <v>642</v>
      </c>
      <c r="L964" s="10" t="s">
        <v>540</v>
      </c>
      <c r="M964" s="10" t="s">
        <v>643</v>
      </c>
      <c r="N964" s="10" t="s">
        <v>147</v>
      </c>
      <c r="O964" s="30" t="s">
        <v>51</v>
      </c>
      <c r="P964" s="31"/>
      <c r="Q964" s="9" t="s">
        <v>37</v>
      </c>
    </row>
    <row r="965" spans="5:17">
      <c r="E965" s="32" t="s">
        <v>644</v>
      </c>
      <c r="F965" s="33"/>
      <c r="G965" s="9" t="s">
        <v>53</v>
      </c>
      <c r="H965" s="10" t="s">
        <v>51</v>
      </c>
      <c r="I965" s="10" t="s">
        <v>51</v>
      </c>
      <c r="J965" s="10" t="s">
        <v>51</v>
      </c>
      <c r="K965" s="10" t="s">
        <v>51</v>
      </c>
      <c r="L965" s="10" t="s">
        <v>51</v>
      </c>
      <c r="M965" s="10" t="s">
        <v>51</v>
      </c>
      <c r="N965" s="10" t="s">
        <v>51</v>
      </c>
      <c r="O965" s="30" t="s">
        <v>54</v>
      </c>
      <c r="P965" s="31"/>
      <c r="Q965" s="9" t="s">
        <v>37</v>
      </c>
    </row>
    <row r="966" spans="5:17">
      <c r="E966" s="34"/>
      <c r="F966" s="35"/>
      <c r="G966" s="9" t="s">
        <v>55</v>
      </c>
      <c r="H966" s="10" t="s">
        <v>37</v>
      </c>
      <c r="I966" s="10" t="s">
        <v>37</v>
      </c>
      <c r="J966" s="10" t="s">
        <v>37</v>
      </c>
      <c r="K966" s="10" t="s">
        <v>37</v>
      </c>
      <c r="L966" s="10" t="s">
        <v>37</v>
      </c>
      <c r="M966" s="10" t="s">
        <v>37</v>
      </c>
      <c r="N966" s="10" t="s">
        <v>37</v>
      </c>
      <c r="O966" s="30" t="s">
        <v>37</v>
      </c>
      <c r="P966" s="31"/>
      <c r="Q966" s="11">
        <v>0</v>
      </c>
    </row>
    <row r="967" spans="5:17">
      <c r="E967" s="36"/>
      <c r="F967" s="37"/>
      <c r="G967" s="9" t="s">
        <v>56</v>
      </c>
      <c r="H967" s="12">
        <v>4</v>
      </c>
      <c r="I967" s="12">
        <v>4</v>
      </c>
      <c r="J967" s="12">
        <v>4</v>
      </c>
      <c r="K967" s="12">
        <v>3</v>
      </c>
      <c r="L967" s="12">
        <v>3</v>
      </c>
      <c r="M967" s="12">
        <v>3</v>
      </c>
      <c r="N967" s="12">
        <v>2</v>
      </c>
      <c r="O967" s="30">
        <v>2</v>
      </c>
      <c r="P967" s="31"/>
      <c r="Q967" s="11">
        <v>25</v>
      </c>
    </row>
    <row r="968" spans="5:17">
      <c r="E968" s="7" t="s">
        <v>57</v>
      </c>
      <c r="F968" s="13">
        <v>8.8800000000000008</v>
      </c>
      <c r="G968" s="9" t="s">
        <v>58</v>
      </c>
      <c r="H968" s="12">
        <v>8.5</v>
      </c>
      <c r="I968" s="12">
        <v>9.5</v>
      </c>
      <c r="J968" s="12">
        <v>9</v>
      </c>
      <c r="K968" s="12">
        <v>6.5</v>
      </c>
      <c r="L968" s="12">
        <v>9.5</v>
      </c>
      <c r="M968" s="12">
        <v>9</v>
      </c>
      <c r="N968" s="12">
        <v>10</v>
      </c>
      <c r="O968" s="30">
        <v>9.5</v>
      </c>
      <c r="P968" s="31"/>
      <c r="Q968" s="9" t="s">
        <v>37</v>
      </c>
    </row>
    <row r="969" spans="5:17">
      <c r="E969" s="7" t="s">
        <v>59</v>
      </c>
      <c r="F969" s="14">
        <v>8.8800000000000008</v>
      </c>
      <c r="G969" s="9" t="s">
        <v>60</v>
      </c>
      <c r="H969" s="12">
        <v>34</v>
      </c>
      <c r="I969" s="12">
        <v>38</v>
      </c>
      <c r="J969" s="12">
        <v>36</v>
      </c>
      <c r="K969" s="12">
        <v>19.5</v>
      </c>
      <c r="L969" s="12">
        <v>28.5</v>
      </c>
      <c r="M969" s="12">
        <v>27</v>
      </c>
      <c r="N969" s="12">
        <v>20</v>
      </c>
      <c r="O969" s="30">
        <v>19</v>
      </c>
      <c r="P969" s="31"/>
      <c r="Q969" s="11">
        <v>222</v>
      </c>
    </row>
    <row r="970" spans="5:17">
      <c r="E970" s="32" t="s">
        <v>61</v>
      </c>
      <c r="F970" s="31"/>
      <c r="G970" s="9" t="s">
        <v>40</v>
      </c>
      <c r="H970" s="12">
        <v>84</v>
      </c>
      <c r="I970" s="12">
        <v>93</v>
      </c>
      <c r="J970" s="12">
        <v>87</v>
      </c>
      <c r="K970" s="12">
        <v>64</v>
      </c>
      <c r="L970" s="12">
        <v>93</v>
      </c>
      <c r="M970" s="12">
        <v>89</v>
      </c>
      <c r="N970" s="12">
        <v>48</v>
      </c>
      <c r="O970" s="30">
        <v>45</v>
      </c>
      <c r="P970" s="31"/>
      <c r="Q970" s="11">
        <v>603</v>
      </c>
    </row>
    <row r="971" spans="5:17">
      <c r="E971" s="7" t="s">
        <v>62</v>
      </c>
      <c r="F971" s="7"/>
      <c r="G971" s="9" t="s">
        <v>63</v>
      </c>
      <c r="H971" s="12">
        <v>100</v>
      </c>
      <c r="I971" s="12">
        <v>100</v>
      </c>
      <c r="J971" s="12">
        <v>100</v>
      </c>
      <c r="K971" s="12">
        <v>100</v>
      </c>
      <c r="L971" s="12">
        <v>100</v>
      </c>
      <c r="M971" s="12">
        <v>100</v>
      </c>
      <c r="N971" s="12">
        <v>50</v>
      </c>
      <c r="O971" s="30">
        <v>50</v>
      </c>
      <c r="P971" s="31"/>
      <c r="Q971" s="11">
        <v>700</v>
      </c>
    </row>
    <row r="972" spans="5:17">
      <c r="E972" s="32" t="s">
        <v>188</v>
      </c>
      <c r="F972" s="31"/>
      <c r="G972" s="9" t="s">
        <v>65</v>
      </c>
      <c r="H972" s="10" t="s">
        <v>70</v>
      </c>
      <c r="I972" s="10" t="s">
        <v>71</v>
      </c>
      <c r="J972" s="10" t="s">
        <v>67</v>
      </c>
      <c r="K972" s="10" t="s">
        <v>69</v>
      </c>
      <c r="L972" s="10" t="s">
        <v>71</v>
      </c>
      <c r="M972" s="10" t="s">
        <v>67</v>
      </c>
      <c r="N972" s="10" t="s">
        <v>88</v>
      </c>
      <c r="O972" s="30" t="s">
        <v>71</v>
      </c>
      <c r="P972" s="31"/>
      <c r="Q972" s="9" t="s">
        <v>37</v>
      </c>
    </row>
    <row r="973" spans="5:17">
      <c r="E973" s="15" t="s">
        <v>72</v>
      </c>
      <c r="F973" s="15" t="s">
        <v>645</v>
      </c>
      <c r="G973" s="9" t="s">
        <v>74</v>
      </c>
      <c r="H973" s="10" t="s">
        <v>75</v>
      </c>
      <c r="I973" s="10" t="s">
        <v>75</v>
      </c>
      <c r="J973" s="10" t="s">
        <v>75</v>
      </c>
      <c r="K973" s="10" t="s">
        <v>75</v>
      </c>
      <c r="L973" s="10" t="s">
        <v>75</v>
      </c>
      <c r="M973" s="10" t="s">
        <v>75</v>
      </c>
      <c r="N973" s="10" t="s">
        <v>75</v>
      </c>
      <c r="O973" s="30" t="s">
        <v>75</v>
      </c>
      <c r="P973" s="31"/>
      <c r="Q973" s="9" t="s">
        <v>37</v>
      </c>
    </row>
    <row r="974" spans="5:17">
      <c r="E974" s="16" t="s">
        <v>37</v>
      </c>
      <c r="F974" s="16" t="s">
        <v>37</v>
      </c>
      <c r="G974" s="16" t="s">
        <v>37</v>
      </c>
      <c r="H974" s="17" t="s">
        <v>37</v>
      </c>
      <c r="I974" s="17" t="s">
        <v>37</v>
      </c>
      <c r="J974" s="17" t="s">
        <v>37</v>
      </c>
      <c r="K974" s="17" t="s">
        <v>37</v>
      </c>
      <c r="L974" s="17" t="s">
        <v>37</v>
      </c>
      <c r="M974" s="17" t="s">
        <v>37</v>
      </c>
      <c r="N974" s="17" t="s">
        <v>37</v>
      </c>
      <c r="O974" s="41" t="s">
        <v>37</v>
      </c>
      <c r="P974" s="28"/>
      <c r="Q974" s="17" t="s">
        <v>37</v>
      </c>
    </row>
    <row r="975" spans="5:17" ht="0" hidden="1" customHeight="1"/>
  </sheetData>
  <mergeCells count="1172">
    <mergeCell ref="E972:F972"/>
    <mergeCell ref="O972:P972"/>
    <mergeCell ref="O973:P973"/>
    <mergeCell ref="O974:P974"/>
    <mergeCell ref="O968:P968"/>
    <mergeCell ref="O969:P969"/>
    <mergeCell ref="E970:F970"/>
    <mergeCell ref="O970:P970"/>
    <mergeCell ref="O971:P971"/>
    <mergeCell ref="E963:F963"/>
    <mergeCell ref="O963:P963"/>
    <mergeCell ref="O964:P964"/>
    <mergeCell ref="E965:F967"/>
    <mergeCell ref="O965:P965"/>
    <mergeCell ref="O966:P966"/>
    <mergeCell ref="O967:P967"/>
    <mergeCell ref="E957:F957"/>
    <mergeCell ref="O957:P957"/>
    <mergeCell ref="O958:P958"/>
    <mergeCell ref="O959:P959"/>
    <mergeCell ref="E962:F962"/>
    <mergeCell ref="O962:P962"/>
    <mergeCell ref="O953:P953"/>
    <mergeCell ref="O954:P954"/>
    <mergeCell ref="E955:F955"/>
    <mergeCell ref="O955:P955"/>
    <mergeCell ref="O956:P956"/>
    <mergeCell ref="E948:F948"/>
    <mergeCell ref="O948:P948"/>
    <mergeCell ref="O949:P949"/>
    <mergeCell ref="E950:F952"/>
    <mergeCell ref="O950:P950"/>
    <mergeCell ref="O951:P951"/>
    <mergeCell ref="O952:P952"/>
    <mergeCell ref="E942:F942"/>
    <mergeCell ref="O942:P942"/>
    <mergeCell ref="O943:P943"/>
    <mergeCell ref="O944:P944"/>
    <mergeCell ref="E947:F947"/>
    <mergeCell ref="O947:P947"/>
    <mergeCell ref="O938:P938"/>
    <mergeCell ref="O939:P939"/>
    <mergeCell ref="E940:F940"/>
    <mergeCell ref="O940:P940"/>
    <mergeCell ref="O941:P941"/>
    <mergeCell ref="E933:F933"/>
    <mergeCell ref="O933:P933"/>
    <mergeCell ref="O934:P934"/>
    <mergeCell ref="E935:F937"/>
    <mergeCell ref="O935:P935"/>
    <mergeCell ref="O936:P936"/>
    <mergeCell ref="O937:P937"/>
    <mergeCell ref="E927:F927"/>
    <mergeCell ref="O927:P927"/>
    <mergeCell ref="O928:P928"/>
    <mergeCell ref="O929:P929"/>
    <mergeCell ref="E932:F932"/>
    <mergeCell ref="O932:P932"/>
    <mergeCell ref="O923:P923"/>
    <mergeCell ref="O924:P924"/>
    <mergeCell ref="E925:F925"/>
    <mergeCell ref="O925:P925"/>
    <mergeCell ref="O926:P926"/>
    <mergeCell ref="E918:F918"/>
    <mergeCell ref="O918:P918"/>
    <mergeCell ref="O919:P919"/>
    <mergeCell ref="E920:F922"/>
    <mergeCell ref="O920:P920"/>
    <mergeCell ref="O921:P921"/>
    <mergeCell ref="O922:P922"/>
    <mergeCell ref="E912:F912"/>
    <mergeCell ref="O912:P912"/>
    <mergeCell ref="O913:P913"/>
    <mergeCell ref="O914:P914"/>
    <mergeCell ref="E917:F917"/>
    <mergeCell ref="O917:P917"/>
    <mergeCell ref="O908:P908"/>
    <mergeCell ref="O909:P909"/>
    <mergeCell ref="E910:F910"/>
    <mergeCell ref="O910:P910"/>
    <mergeCell ref="O911:P911"/>
    <mergeCell ref="E903:F903"/>
    <mergeCell ref="O903:P903"/>
    <mergeCell ref="O904:P904"/>
    <mergeCell ref="E905:F907"/>
    <mergeCell ref="O905:P905"/>
    <mergeCell ref="O906:P906"/>
    <mergeCell ref="O907:P907"/>
    <mergeCell ref="E897:F897"/>
    <mergeCell ref="O897:P897"/>
    <mergeCell ref="O898:P898"/>
    <mergeCell ref="O899:P899"/>
    <mergeCell ref="E902:F902"/>
    <mergeCell ref="O902:P902"/>
    <mergeCell ref="O893:P893"/>
    <mergeCell ref="O894:P894"/>
    <mergeCell ref="E895:F895"/>
    <mergeCell ref="O895:P895"/>
    <mergeCell ref="O896:P896"/>
    <mergeCell ref="E888:F888"/>
    <mergeCell ref="O888:P888"/>
    <mergeCell ref="O889:P889"/>
    <mergeCell ref="E890:F892"/>
    <mergeCell ref="O890:P890"/>
    <mergeCell ref="O891:P891"/>
    <mergeCell ref="O892:P892"/>
    <mergeCell ref="E882:F882"/>
    <mergeCell ref="O882:P882"/>
    <mergeCell ref="O883:P883"/>
    <mergeCell ref="O884:P884"/>
    <mergeCell ref="E887:F887"/>
    <mergeCell ref="O887:P887"/>
    <mergeCell ref="O878:P878"/>
    <mergeCell ref="O879:P879"/>
    <mergeCell ref="E880:F880"/>
    <mergeCell ref="O880:P880"/>
    <mergeCell ref="O881:P881"/>
    <mergeCell ref="E873:F873"/>
    <mergeCell ref="O873:P873"/>
    <mergeCell ref="O874:P874"/>
    <mergeCell ref="E875:F877"/>
    <mergeCell ref="O875:P875"/>
    <mergeCell ref="O876:P876"/>
    <mergeCell ref="O877:P877"/>
    <mergeCell ref="E867:F867"/>
    <mergeCell ref="O867:P867"/>
    <mergeCell ref="O868:P868"/>
    <mergeCell ref="O869:P869"/>
    <mergeCell ref="E872:F872"/>
    <mergeCell ref="O872:P872"/>
    <mergeCell ref="O863:P863"/>
    <mergeCell ref="O864:P864"/>
    <mergeCell ref="E865:F865"/>
    <mergeCell ref="O865:P865"/>
    <mergeCell ref="O866:P866"/>
    <mergeCell ref="E858:F858"/>
    <mergeCell ref="O858:P858"/>
    <mergeCell ref="O859:P859"/>
    <mergeCell ref="E860:F862"/>
    <mergeCell ref="O860:P860"/>
    <mergeCell ref="O861:P861"/>
    <mergeCell ref="O862:P862"/>
    <mergeCell ref="E853:F853"/>
    <mergeCell ref="O853:P853"/>
    <mergeCell ref="O854:P854"/>
    <mergeCell ref="O855:P855"/>
    <mergeCell ref="E857:F857"/>
    <mergeCell ref="O857:P857"/>
    <mergeCell ref="O849:P849"/>
    <mergeCell ref="O850:P850"/>
    <mergeCell ref="E851:F851"/>
    <mergeCell ref="O851:P851"/>
    <mergeCell ref="O852:P852"/>
    <mergeCell ref="E844:F844"/>
    <mergeCell ref="O844:P844"/>
    <mergeCell ref="O845:P845"/>
    <mergeCell ref="E846:F848"/>
    <mergeCell ref="O846:P846"/>
    <mergeCell ref="O847:P847"/>
    <mergeCell ref="O848:P848"/>
    <mergeCell ref="E838:F838"/>
    <mergeCell ref="O838:P838"/>
    <mergeCell ref="O839:P839"/>
    <mergeCell ref="O840:P840"/>
    <mergeCell ref="E843:F843"/>
    <mergeCell ref="O843:P843"/>
    <mergeCell ref="O834:P834"/>
    <mergeCell ref="O835:P835"/>
    <mergeCell ref="E836:F836"/>
    <mergeCell ref="O836:P836"/>
    <mergeCell ref="O837:P837"/>
    <mergeCell ref="E829:F829"/>
    <mergeCell ref="O829:P829"/>
    <mergeCell ref="O830:P830"/>
    <mergeCell ref="E831:F833"/>
    <mergeCell ref="O831:P831"/>
    <mergeCell ref="O832:P832"/>
    <mergeCell ref="O833:P833"/>
    <mergeCell ref="E823:F823"/>
    <mergeCell ref="O823:P823"/>
    <mergeCell ref="O824:P824"/>
    <mergeCell ref="O825:P825"/>
    <mergeCell ref="E828:F828"/>
    <mergeCell ref="O828:P828"/>
    <mergeCell ref="O819:P819"/>
    <mergeCell ref="O820:P820"/>
    <mergeCell ref="E821:F821"/>
    <mergeCell ref="O821:P821"/>
    <mergeCell ref="O822:P822"/>
    <mergeCell ref="E814:F814"/>
    <mergeCell ref="O814:P814"/>
    <mergeCell ref="O815:P815"/>
    <mergeCell ref="E816:F818"/>
    <mergeCell ref="O816:P816"/>
    <mergeCell ref="O817:P817"/>
    <mergeCell ref="O818:P818"/>
    <mergeCell ref="E808:F808"/>
    <mergeCell ref="O808:P808"/>
    <mergeCell ref="O809:P809"/>
    <mergeCell ref="O810:P810"/>
    <mergeCell ref="E813:F813"/>
    <mergeCell ref="O813:P813"/>
    <mergeCell ref="O804:P804"/>
    <mergeCell ref="O805:P805"/>
    <mergeCell ref="E806:F806"/>
    <mergeCell ref="O806:P806"/>
    <mergeCell ref="O807:P807"/>
    <mergeCell ref="E799:F799"/>
    <mergeCell ref="O799:P799"/>
    <mergeCell ref="O800:P800"/>
    <mergeCell ref="E801:F803"/>
    <mergeCell ref="O801:P801"/>
    <mergeCell ref="O802:P802"/>
    <mergeCell ref="O803:P803"/>
    <mergeCell ref="E793:F793"/>
    <mergeCell ref="O793:P793"/>
    <mergeCell ref="O794:P794"/>
    <mergeCell ref="O795:P795"/>
    <mergeCell ref="E798:F798"/>
    <mergeCell ref="O798:P798"/>
    <mergeCell ref="O789:P789"/>
    <mergeCell ref="O790:P790"/>
    <mergeCell ref="E791:F791"/>
    <mergeCell ref="O791:P791"/>
    <mergeCell ref="O792:P792"/>
    <mergeCell ref="E784:F784"/>
    <mergeCell ref="O784:P784"/>
    <mergeCell ref="O785:P785"/>
    <mergeCell ref="E786:F788"/>
    <mergeCell ref="O786:P786"/>
    <mergeCell ref="O787:P787"/>
    <mergeCell ref="O788:P788"/>
    <mergeCell ref="E778:F778"/>
    <mergeCell ref="O778:P778"/>
    <mergeCell ref="O779:P779"/>
    <mergeCell ref="O780:P780"/>
    <mergeCell ref="E783:F783"/>
    <mergeCell ref="O783:P783"/>
    <mergeCell ref="O774:P774"/>
    <mergeCell ref="O775:P775"/>
    <mergeCell ref="E776:F776"/>
    <mergeCell ref="O776:P776"/>
    <mergeCell ref="O777:P777"/>
    <mergeCell ref="E769:F769"/>
    <mergeCell ref="O769:P769"/>
    <mergeCell ref="O770:P770"/>
    <mergeCell ref="E771:F773"/>
    <mergeCell ref="O771:P771"/>
    <mergeCell ref="O772:P772"/>
    <mergeCell ref="O773:P773"/>
    <mergeCell ref="E763:F763"/>
    <mergeCell ref="O763:P763"/>
    <mergeCell ref="O764:P764"/>
    <mergeCell ref="O765:P765"/>
    <mergeCell ref="E768:F768"/>
    <mergeCell ref="O768:P768"/>
    <mergeCell ref="O759:P759"/>
    <mergeCell ref="O760:P760"/>
    <mergeCell ref="E761:F761"/>
    <mergeCell ref="O761:P761"/>
    <mergeCell ref="O762:P762"/>
    <mergeCell ref="E754:F754"/>
    <mergeCell ref="O754:P754"/>
    <mergeCell ref="O755:P755"/>
    <mergeCell ref="E756:F758"/>
    <mergeCell ref="O756:P756"/>
    <mergeCell ref="O757:P757"/>
    <mergeCell ref="O758:P758"/>
    <mergeCell ref="E748:F748"/>
    <mergeCell ref="O748:P748"/>
    <mergeCell ref="O749:P749"/>
    <mergeCell ref="O750:P750"/>
    <mergeCell ref="E753:F753"/>
    <mergeCell ref="O753:P753"/>
    <mergeCell ref="O744:P744"/>
    <mergeCell ref="O745:P745"/>
    <mergeCell ref="E746:F746"/>
    <mergeCell ref="O746:P746"/>
    <mergeCell ref="O747:P747"/>
    <mergeCell ref="E739:F739"/>
    <mergeCell ref="O739:P739"/>
    <mergeCell ref="O740:P740"/>
    <mergeCell ref="E741:F743"/>
    <mergeCell ref="O741:P741"/>
    <mergeCell ref="O742:P742"/>
    <mergeCell ref="O743:P743"/>
    <mergeCell ref="E733:F733"/>
    <mergeCell ref="O733:P733"/>
    <mergeCell ref="O734:P734"/>
    <mergeCell ref="O735:P735"/>
    <mergeCell ref="E738:F738"/>
    <mergeCell ref="O738:P738"/>
    <mergeCell ref="O729:P729"/>
    <mergeCell ref="O730:P730"/>
    <mergeCell ref="E731:F731"/>
    <mergeCell ref="O731:P731"/>
    <mergeCell ref="O732:P732"/>
    <mergeCell ref="E724:F724"/>
    <mergeCell ref="O724:P724"/>
    <mergeCell ref="O725:P725"/>
    <mergeCell ref="E726:F728"/>
    <mergeCell ref="O726:P726"/>
    <mergeCell ref="O727:P727"/>
    <mergeCell ref="O728:P728"/>
    <mergeCell ref="E719:F719"/>
    <mergeCell ref="O719:P719"/>
    <mergeCell ref="O720:P720"/>
    <mergeCell ref="O721:P721"/>
    <mergeCell ref="E723:F723"/>
    <mergeCell ref="O723:P723"/>
    <mergeCell ref="O715:P715"/>
    <mergeCell ref="O716:P716"/>
    <mergeCell ref="E717:F717"/>
    <mergeCell ref="O717:P717"/>
    <mergeCell ref="O718:P718"/>
    <mergeCell ref="E710:F710"/>
    <mergeCell ref="O710:P710"/>
    <mergeCell ref="O711:P711"/>
    <mergeCell ref="E712:F714"/>
    <mergeCell ref="O712:P712"/>
    <mergeCell ref="O713:P713"/>
    <mergeCell ref="O714:P714"/>
    <mergeCell ref="E704:F704"/>
    <mergeCell ref="O704:P704"/>
    <mergeCell ref="O705:P705"/>
    <mergeCell ref="O706:P706"/>
    <mergeCell ref="E709:F709"/>
    <mergeCell ref="O709:P709"/>
    <mergeCell ref="O700:P700"/>
    <mergeCell ref="O701:P701"/>
    <mergeCell ref="E702:F702"/>
    <mergeCell ref="O702:P702"/>
    <mergeCell ref="O703:P703"/>
    <mergeCell ref="E695:F695"/>
    <mergeCell ref="O695:P695"/>
    <mergeCell ref="O696:P696"/>
    <mergeCell ref="E697:F699"/>
    <mergeCell ref="O697:P697"/>
    <mergeCell ref="O698:P698"/>
    <mergeCell ref="O699:P699"/>
    <mergeCell ref="E689:F689"/>
    <mergeCell ref="O689:P689"/>
    <mergeCell ref="O690:P690"/>
    <mergeCell ref="O691:P691"/>
    <mergeCell ref="E694:F694"/>
    <mergeCell ref="O694:P694"/>
    <mergeCell ref="O685:P685"/>
    <mergeCell ref="O686:P686"/>
    <mergeCell ref="E687:F687"/>
    <mergeCell ref="O687:P687"/>
    <mergeCell ref="O688:P688"/>
    <mergeCell ref="E680:F680"/>
    <mergeCell ref="O680:P680"/>
    <mergeCell ref="O681:P681"/>
    <mergeCell ref="E682:F684"/>
    <mergeCell ref="O682:P682"/>
    <mergeCell ref="O683:P683"/>
    <mergeCell ref="O684:P684"/>
    <mergeCell ref="E674:F674"/>
    <mergeCell ref="O674:P674"/>
    <mergeCell ref="O675:P675"/>
    <mergeCell ref="O676:P676"/>
    <mergeCell ref="E679:F679"/>
    <mergeCell ref="O679:P679"/>
    <mergeCell ref="O670:P670"/>
    <mergeCell ref="O671:P671"/>
    <mergeCell ref="E672:F672"/>
    <mergeCell ref="O672:P672"/>
    <mergeCell ref="O673:P673"/>
    <mergeCell ref="E665:F665"/>
    <mergeCell ref="O665:P665"/>
    <mergeCell ref="O666:P666"/>
    <mergeCell ref="E667:F669"/>
    <mergeCell ref="O667:P667"/>
    <mergeCell ref="O668:P668"/>
    <mergeCell ref="O669:P669"/>
    <mergeCell ref="E659:F659"/>
    <mergeCell ref="O659:P659"/>
    <mergeCell ref="O660:P660"/>
    <mergeCell ref="O661:P661"/>
    <mergeCell ref="E664:F664"/>
    <mergeCell ref="O664:P664"/>
    <mergeCell ref="O655:P655"/>
    <mergeCell ref="O656:P656"/>
    <mergeCell ref="E657:F657"/>
    <mergeCell ref="O657:P657"/>
    <mergeCell ref="O658:P658"/>
    <mergeCell ref="E650:F650"/>
    <mergeCell ref="O650:P650"/>
    <mergeCell ref="O651:P651"/>
    <mergeCell ref="E652:F654"/>
    <mergeCell ref="O652:P652"/>
    <mergeCell ref="O653:P653"/>
    <mergeCell ref="O654:P654"/>
    <mergeCell ref="E644:F644"/>
    <mergeCell ref="O644:P644"/>
    <mergeCell ref="O645:P645"/>
    <mergeCell ref="O646:P646"/>
    <mergeCell ref="E649:F649"/>
    <mergeCell ref="O649:P649"/>
    <mergeCell ref="O640:P640"/>
    <mergeCell ref="O641:P641"/>
    <mergeCell ref="E642:F642"/>
    <mergeCell ref="O642:P642"/>
    <mergeCell ref="O643:P643"/>
    <mergeCell ref="E635:F635"/>
    <mergeCell ref="O635:P635"/>
    <mergeCell ref="O636:P636"/>
    <mergeCell ref="E637:F639"/>
    <mergeCell ref="O637:P637"/>
    <mergeCell ref="O638:P638"/>
    <mergeCell ref="O639:P639"/>
    <mergeCell ref="E629:F629"/>
    <mergeCell ref="O629:P629"/>
    <mergeCell ref="O630:P630"/>
    <mergeCell ref="O631:P631"/>
    <mergeCell ref="E634:F634"/>
    <mergeCell ref="O634:P634"/>
    <mergeCell ref="O625:P625"/>
    <mergeCell ref="O626:P626"/>
    <mergeCell ref="E627:F627"/>
    <mergeCell ref="O627:P627"/>
    <mergeCell ref="O628:P628"/>
    <mergeCell ref="E620:F620"/>
    <mergeCell ref="O620:P620"/>
    <mergeCell ref="O621:P621"/>
    <mergeCell ref="E622:F624"/>
    <mergeCell ref="O622:P622"/>
    <mergeCell ref="O623:P623"/>
    <mergeCell ref="O624:P624"/>
    <mergeCell ref="E614:F614"/>
    <mergeCell ref="O614:P614"/>
    <mergeCell ref="O615:P615"/>
    <mergeCell ref="O616:P616"/>
    <mergeCell ref="E619:F619"/>
    <mergeCell ref="O619:P619"/>
    <mergeCell ref="O610:P610"/>
    <mergeCell ref="O611:P611"/>
    <mergeCell ref="E612:F612"/>
    <mergeCell ref="O612:P612"/>
    <mergeCell ref="O613:P613"/>
    <mergeCell ref="E605:F605"/>
    <mergeCell ref="O605:P605"/>
    <mergeCell ref="O606:P606"/>
    <mergeCell ref="E607:F609"/>
    <mergeCell ref="O607:P607"/>
    <mergeCell ref="O608:P608"/>
    <mergeCell ref="O609:P609"/>
    <mergeCell ref="E599:F599"/>
    <mergeCell ref="O599:P599"/>
    <mergeCell ref="O600:P600"/>
    <mergeCell ref="O601:P601"/>
    <mergeCell ref="E604:F604"/>
    <mergeCell ref="O604:P604"/>
    <mergeCell ref="O595:P595"/>
    <mergeCell ref="O596:P596"/>
    <mergeCell ref="E597:F597"/>
    <mergeCell ref="O597:P597"/>
    <mergeCell ref="O598:P598"/>
    <mergeCell ref="E590:F590"/>
    <mergeCell ref="O590:P590"/>
    <mergeCell ref="O591:P591"/>
    <mergeCell ref="E592:F594"/>
    <mergeCell ref="O592:P592"/>
    <mergeCell ref="O593:P593"/>
    <mergeCell ref="O594:P594"/>
    <mergeCell ref="E585:F585"/>
    <mergeCell ref="O585:P585"/>
    <mergeCell ref="O586:P586"/>
    <mergeCell ref="O587:P587"/>
    <mergeCell ref="E589:F589"/>
    <mergeCell ref="O589:P589"/>
    <mergeCell ref="O581:P581"/>
    <mergeCell ref="O582:P582"/>
    <mergeCell ref="E583:F583"/>
    <mergeCell ref="O583:P583"/>
    <mergeCell ref="O584:P584"/>
    <mergeCell ref="E576:F576"/>
    <mergeCell ref="O576:P576"/>
    <mergeCell ref="O577:P577"/>
    <mergeCell ref="E578:F580"/>
    <mergeCell ref="O578:P578"/>
    <mergeCell ref="O579:P579"/>
    <mergeCell ref="O580:P580"/>
    <mergeCell ref="E570:F570"/>
    <mergeCell ref="O570:P570"/>
    <mergeCell ref="O571:P571"/>
    <mergeCell ref="O572:P572"/>
    <mergeCell ref="E575:F575"/>
    <mergeCell ref="O575:P575"/>
    <mergeCell ref="O566:P566"/>
    <mergeCell ref="O567:P567"/>
    <mergeCell ref="E568:F568"/>
    <mergeCell ref="O568:P568"/>
    <mergeCell ref="O569:P569"/>
    <mergeCell ref="E561:F561"/>
    <mergeCell ref="O561:P561"/>
    <mergeCell ref="O562:P562"/>
    <mergeCell ref="E563:F565"/>
    <mergeCell ref="O563:P563"/>
    <mergeCell ref="O564:P564"/>
    <mergeCell ref="O565:P565"/>
    <mergeCell ref="E555:F555"/>
    <mergeCell ref="O555:P555"/>
    <mergeCell ref="O556:P556"/>
    <mergeCell ref="O557:P557"/>
    <mergeCell ref="E560:F560"/>
    <mergeCell ref="O560:P560"/>
    <mergeCell ref="O551:P551"/>
    <mergeCell ref="O552:P552"/>
    <mergeCell ref="E553:F553"/>
    <mergeCell ref="O553:P553"/>
    <mergeCell ref="O554:P554"/>
    <mergeCell ref="E546:F546"/>
    <mergeCell ref="O546:P546"/>
    <mergeCell ref="O547:P547"/>
    <mergeCell ref="E548:F550"/>
    <mergeCell ref="O548:P548"/>
    <mergeCell ref="O549:P549"/>
    <mergeCell ref="O550:P550"/>
    <mergeCell ref="E540:F540"/>
    <mergeCell ref="O540:P540"/>
    <mergeCell ref="O541:P541"/>
    <mergeCell ref="O542:P542"/>
    <mergeCell ref="E545:F545"/>
    <mergeCell ref="O545:P545"/>
    <mergeCell ref="O536:P536"/>
    <mergeCell ref="O537:P537"/>
    <mergeCell ref="E538:F538"/>
    <mergeCell ref="O538:P538"/>
    <mergeCell ref="O539:P539"/>
    <mergeCell ref="E531:F531"/>
    <mergeCell ref="O531:P531"/>
    <mergeCell ref="O532:P532"/>
    <mergeCell ref="E533:F535"/>
    <mergeCell ref="O533:P533"/>
    <mergeCell ref="O534:P534"/>
    <mergeCell ref="O535:P535"/>
    <mergeCell ref="E525:F525"/>
    <mergeCell ref="O525:P525"/>
    <mergeCell ref="O526:P526"/>
    <mergeCell ref="O527:P527"/>
    <mergeCell ref="E530:F530"/>
    <mergeCell ref="O530:P530"/>
    <mergeCell ref="O521:P521"/>
    <mergeCell ref="O522:P522"/>
    <mergeCell ref="E523:F523"/>
    <mergeCell ref="O523:P523"/>
    <mergeCell ref="O524:P524"/>
    <mergeCell ref="E516:F516"/>
    <mergeCell ref="O516:P516"/>
    <mergeCell ref="O517:P517"/>
    <mergeCell ref="E518:F520"/>
    <mergeCell ref="O518:P518"/>
    <mergeCell ref="O519:P519"/>
    <mergeCell ref="O520:P520"/>
    <mergeCell ref="E510:F510"/>
    <mergeCell ref="O510:P510"/>
    <mergeCell ref="O511:P511"/>
    <mergeCell ref="O512:P512"/>
    <mergeCell ref="E515:F515"/>
    <mergeCell ref="O515:P515"/>
    <mergeCell ref="O506:P506"/>
    <mergeCell ref="O507:P507"/>
    <mergeCell ref="E508:F508"/>
    <mergeCell ref="O508:P508"/>
    <mergeCell ref="O509:P509"/>
    <mergeCell ref="E501:F501"/>
    <mergeCell ref="O501:P501"/>
    <mergeCell ref="O502:P502"/>
    <mergeCell ref="E503:F505"/>
    <mergeCell ref="O503:P503"/>
    <mergeCell ref="O504:P504"/>
    <mergeCell ref="O505:P505"/>
    <mergeCell ref="E495:F495"/>
    <mergeCell ref="O495:P495"/>
    <mergeCell ref="O496:P496"/>
    <mergeCell ref="O497:P497"/>
    <mergeCell ref="E500:F500"/>
    <mergeCell ref="O500:P500"/>
    <mergeCell ref="O491:P491"/>
    <mergeCell ref="O492:P492"/>
    <mergeCell ref="E493:F493"/>
    <mergeCell ref="O493:P493"/>
    <mergeCell ref="O494:P494"/>
    <mergeCell ref="E486:F486"/>
    <mergeCell ref="O486:P486"/>
    <mergeCell ref="O487:P487"/>
    <mergeCell ref="E488:F490"/>
    <mergeCell ref="O488:P488"/>
    <mergeCell ref="O489:P489"/>
    <mergeCell ref="O490:P490"/>
    <mergeCell ref="E480:F480"/>
    <mergeCell ref="O480:P480"/>
    <mergeCell ref="O481:P481"/>
    <mergeCell ref="O482:P482"/>
    <mergeCell ref="E485:F485"/>
    <mergeCell ref="O485:P485"/>
    <mergeCell ref="O476:P476"/>
    <mergeCell ref="O477:P477"/>
    <mergeCell ref="E478:F478"/>
    <mergeCell ref="O478:P478"/>
    <mergeCell ref="O479:P479"/>
    <mergeCell ref="E471:F471"/>
    <mergeCell ref="O471:P471"/>
    <mergeCell ref="O472:P472"/>
    <mergeCell ref="E473:F475"/>
    <mergeCell ref="O473:P473"/>
    <mergeCell ref="O474:P474"/>
    <mergeCell ref="O475:P475"/>
    <mergeCell ref="E465:F465"/>
    <mergeCell ref="O465:P465"/>
    <mergeCell ref="O466:P466"/>
    <mergeCell ref="O467:P467"/>
    <mergeCell ref="E470:F470"/>
    <mergeCell ref="O470:P470"/>
    <mergeCell ref="O461:P461"/>
    <mergeCell ref="O462:P462"/>
    <mergeCell ref="E463:F463"/>
    <mergeCell ref="O463:P463"/>
    <mergeCell ref="O464:P464"/>
    <mergeCell ref="E456:F456"/>
    <mergeCell ref="O456:P456"/>
    <mergeCell ref="O457:P457"/>
    <mergeCell ref="E458:F460"/>
    <mergeCell ref="O458:P458"/>
    <mergeCell ref="O459:P459"/>
    <mergeCell ref="O460:P460"/>
    <mergeCell ref="E451:F451"/>
    <mergeCell ref="O451:P451"/>
    <mergeCell ref="O452:P452"/>
    <mergeCell ref="O453:P453"/>
    <mergeCell ref="E455:F455"/>
    <mergeCell ref="O455:P455"/>
    <mergeCell ref="O447:P447"/>
    <mergeCell ref="O448:P448"/>
    <mergeCell ref="E449:F449"/>
    <mergeCell ref="O449:P449"/>
    <mergeCell ref="O450:P450"/>
    <mergeCell ref="E442:F442"/>
    <mergeCell ref="O442:P442"/>
    <mergeCell ref="O443:P443"/>
    <mergeCell ref="E444:F446"/>
    <mergeCell ref="O444:P444"/>
    <mergeCell ref="O445:P445"/>
    <mergeCell ref="O446:P446"/>
    <mergeCell ref="E436:F436"/>
    <mergeCell ref="O436:P436"/>
    <mergeCell ref="O437:P437"/>
    <mergeCell ref="O438:P438"/>
    <mergeCell ref="E441:F441"/>
    <mergeCell ref="O441:P441"/>
    <mergeCell ref="O432:P432"/>
    <mergeCell ref="O433:P433"/>
    <mergeCell ref="E434:F434"/>
    <mergeCell ref="O434:P434"/>
    <mergeCell ref="O435:P435"/>
    <mergeCell ref="E427:F427"/>
    <mergeCell ref="O427:P427"/>
    <mergeCell ref="O428:P428"/>
    <mergeCell ref="E429:F431"/>
    <mergeCell ref="O429:P429"/>
    <mergeCell ref="O430:P430"/>
    <mergeCell ref="O431:P431"/>
    <mergeCell ref="E421:F421"/>
    <mergeCell ref="O421:P421"/>
    <mergeCell ref="O422:P422"/>
    <mergeCell ref="O423:P423"/>
    <mergeCell ref="E426:F426"/>
    <mergeCell ref="O426:P426"/>
    <mergeCell ref="O417:P417"/>
    <mergeCell ref="O418:P418"/>
    <mergeCell ref="E419:F419"/>
    <mergeCell ref="O419:P419"/>
    <mergeCell ref="O420:P420"/>
    <mergeCell ref="E412:F412"/>
    <mergeCell ref="O412:P412"/>
    <mergeCell ref="O413:P413"/>
    <mergeCell ref="E414:F416"/>
    <mergeCell ref="O414:P414"/>
    <mergeCell ref="O415:P415"/>
    <mergeCell ref="O416:P416"/>
    <mergeCell ref="E406:F406"/>
    <mergeCell ref="O406:P406"/>
    <mergeCell ref="O407:P407"/>
    <mergeCell ref="O408:P408"/>
    <mergeCell ref="E411:F411"/>
    <mergeCell ref="O411:P411"/>
    <mergeCell ref="O402:P402"/>
    <mergeCell ref="O403:P403"/>
    <mergeCell ref="E404:F404"/>
    <mergeCell ref="O404:P404"/>
    <mergeCell ref="O405:P405"/>
    <mergeCell ref="E397:F397"/>
    <mergeCell ref="O397:P397"/>
    <mergeCell ref="O398:P398"/>
    <mergeCell ref="E399:F401"/>
    <mergeCell ref="O399:P399"/>
    <mergeCell ref="O400:P400"/>
    <mergeCell ref="O401:P401"/>
    <mergeCell ref="E391:F391"/>
    <mergeCell ref="O391:P391"/>
    <mergeCell ref="O392:P392"/>
    <mergeCell ref="O393:P393"/>
    <mergeCell ref="E396:F396"/>
    <mergeCell ref="O396:P396"/>
    <mergeCell ref="O387:P387"/>
    <mergeCell ref="O388:P388"/>
    <mergeCell ref="E389:F389"/>
    <mergeCell ref="O389:P389"/>
    <mergeCell ref="O390:P390"/>
    <mergeCell ref="E382:F382"/>
    <mergeCell ref="O382:P382"/>
    <mergeCell ref="O383:P383"/>
    <mergeCell ref="E384:F386"/>
    <mergeCell ref="O384:P384"/>
    <mergeCell ref="O385:P385"/>
    <mergeCell ref="O386:P386"/>
    <mergeCell ref="E376:F376"/>
    <mergeCell ref="O376:P376"/>
    <mergeCell ref="O377:P377"/>
    <mergeCell ref="O378:P378"/>
    <mergeCell ref="E381:F381"/>
    <mergeCell ref="O381:P381"/>
    <mergeCell ref="O372:P372"/>
    <mergeCell ref="O373:P373"/>
    <mergeCell ref="E374:F374"/>
    <mergeCell ref="O374:P374"/>
    <mergeCell ref="O375:P375"/>
    <mergeCell ref="E367:F367"/>
    <mergeCell ref="O367:P367"/>
    <mergeCell ref="O368:P368"/>
    <mergeCell ref="E369:F371"/>
    <mergeCell ref="O369:P369"/>
    <mergeCell ref="O370:P370"/>
    <mergeCell ref="O371:P371"/>
    <mergeCell ref="E361:F361"/>
    <mergeCell ref="O361:P361"/>
    <mergeCell ref="O362:P362"/>
    <mergeCell ref="O363:P363"/>
    <mergeCell ref="E366:F366"/>
    <mergeCell ref="O366:P366"/>
    <mergeCell ref="O357:P357"/>
    <mergeCell ref="O358:P358"/>
    <mergeCell ref="E359:F359"/>
    <mergeCell ref="O359:P359"/>
    <mergeCell ref="O360:P360"/>
    <mergeCell ref="E352:F352"/>
    <mergeCell ref="O352:P352"/>
    <mergeCell ref="O353:P353"/>
    <mergeCell ref="E354:F356"/>
    <mergeCell ref="O354:P354"/>
    <mergeCell ref="O355:P355"/>
    <mergeCell ref="O356:P356"/>
    <mergeCell ref="E346:F346"/>
    <mergeCell ref="O346:P346"/>
    <mergeCell ref="O347:P347"/>
    <mergeCell ref="O348:P348"/>
    <mergeCell ref="E351:F351"/>
    <mergeCell ref="O351:P351"/>
    <mergeCell ref="O342:P342"/>
    <mergeCell ref="O343:P343"/>
    <mergeCell ref="E344:F344"/>
    <mergeCell ref="O344:P344"/>
    <mergeCell ref="O345:P345"/>
    <mergeCell ref="E337:F337"/>
    <mergeCell ref="O337:P337"/>
    <mergeCell ref="O338:P338"/>
    <mergeCell ref="E339:F341"/>
    <mergeCell ref="O339:P339"/>
    <mergeCell ref="O340:P340"/>
    <mergeCell ref="O341:P341"/>
    <mergeCell ref="E332:F332"/>
    <mergeCell ref="O332:P332"/>
    <mergeCell ref="O333:P333"/>
    <mergeCell ref="O334:P334"/>
    <mergeCell ref="E336:F336"/>
    <mergeCell ref="O336:P336"/>
    <mergeCell ref="O328:P328"/>
    <mergeCell ref="O329:P329"/>
    <mergeCell ref="E330:F330"/>
    <mergeCell ref="O330:P330"/>
    <mergeCell ref="O331:P331"/>
    <mergeCell ref="E323:F323"/>
    <mergeCell ref="O323:P323"/>
    <mergeCell ref="O324:P324"/>
    <mergeCell ref="E325:F327"/>
    <mergeCell ref="O325:P325"/>
    <mergeCell ref="O326:P326"/>
    <mergeCell ref="O327:P327"/>
    <mergeCell ref="E317:F317"/>
    <mergeCell ref="O317:P317"/>
    <mergeCell ref="O318:P318"/>
    <mergeCell ref="O319:P319"/>
    <mergeCell ref="E322:F322"/>
    <mergeCell ref="O322:P322"/>
    <mergeCell ref="O313:P313"/>
    <mergeCell ref="O314:P314"/>
    <mergeCell ref="E315:F315"/>
    <mergeCell ref="O315:P315"/>
    <mergeCell ref="O316:P316"/>
    <mergeCell ref="E308:F308"/>
    <mergeCell ref="O308:P308"/>
    <mergeCell ref="O309:P309"/>
    <mergeCell ref="E310:F312"/>
    <mergeCell ref="O310:P310"/>
    <mergeCell ref="O311:P311"/>
    <mergeCell ref="O312:P312"/>
    <mergeCell ref="E302:F302"/>
    <mergeCell ref="O302:P302"/>
    <mergeCell ref="O303:P303"/>
    <mergeCell ref="O304:P304"/>
    <mergeCell ref="E307:F307"/>
    <mergeCell ref="O307:P307"/>
    <mergeCell ref="O298:P298"/>
    <mergeCell ref="O299:P299"/>
    <mergeCell ref="E300:F300"/>
    <mergeCell ref="O300:P300"/>
    <mergeCell ref="O301:P301"/>
    <mergeCell ref="E293:F293"/>
    <mergeCell ref="O293:P293"/>
    <mergeCell ref="O294:P294"/>
    <mergeCell ref="E295:F297"/>
    <mergeCell ref="O295:P295"/>
    <mergeCell ref="O296:P296"/>
    <mergeCell ref="O297:P297"/>
    <mergeCell ref="E287:F287"/>
    <mergeCell ref="O287:P287"/>
    <mergeCell ref="O288:P288"/>
    <mergeCell ref="O289:P289"/>
    <mergeCell ref="E292:F292"/>
    <mergeCell ref="O292:P292"/>
    <mergeCell ref="O283:P283"/>
    <mergeCell ref="O284:P284"/>
    <mergeCell ref="E285:F285"/>
    <mergeCell ref="O285:P285"/>
    <mergeCell ref="O286:P286"/>
    <mergeCell ref="E278:F278"/>
    <mergeCell ref="O278:P278"/>
    <mergeCell ref="O279:P279"/>
    <mergeCell ref="E280:F282"/>
    <mergeCell ref="O280:P280"/>
    <mergeCell ref="O281:P281"/>
    <mergeCell ref="O282:P282"/>
    <mergeCell ref="E272:F272"/>
    <mergeCell ref="O272:P272"/>
    <mergeCell ref="O273:P273"/>
    <mergeCell ref="O274:P274"/>
    <mergeCell ref="E277:F277"/>
    <mergeCell ref="O277:P277"/>
    <mergeCell ref="O268:P268"/>
    <mergeCell ref="O269:P269"/>
    <mergeCell ref="E270:F270"/>
    <mergeCell ref="O270:P270"/>
    <mergeCell ref="O271:P271"/>
    <mergeCell ref="E263:F263"/>
    <mergeCell ref="O263:P263"/>
    <mergeCell ref="O264:P264"/>
    <mergeCell ref="E265:F267"/>
    <mergeCell ref="O265:P265"/>
    <mergeCell ref="O266:P266"/>
    <mergeCell ref="O267:P267"/>
    <mergeCell ref="E257:F257"/>
    <mergeCell ref="O257:P257"/>
    <mergeCell ref="O258:P258"/>
    <mergeCell ref="O259:P259"/>
    <mergeCell ref="E262:F262"/>
    <mergeCell ref="O262:P262"/>
    <mergeCell ref="O253:P253"/>
    <mergeCell ref="O254:P254"/>
    <mergeCell ref="E255:F255"/>
    <mergeCell ref="O255:P255"/>
    <mergeCell ref="O256:P256"/>
    <mergeCell ref="E248:F248"/>
    <mergeCell ref="O248:P248"/>
    <mergeCell ref="O249:P249"/>
    <mergeCell ref="E250:F252"/>
    <mergeCell ref="O250:P250"/>
    <mergeCell ref="O251:P251"/>
    <mergeCell ref="O252:P252"/>
    <mergeCell ref="E242:F242"/>
    <mergeCell ref="O242:P242"/>
    <mergeCell ref="O243:P243"/>
    <mergeCell ref="O244:P244"/>
    <mergeCell ref="E247:F247"/>
    <mergeCell ref="O247:P247"/>
    <mergeCell ref="O238:P238"/>
    <mergeCell ref="O239:P239"/>
    <mergeCell ref="E240:F240"/>
    <mergeCell ref="O240:P240"/>
    <mergeCell ref="O241:P241"/>
    <mergeCell ref="E233:F233"/>
    <mergeCell ref="O233:P233"/>
    <mergeCell ref="O234:P234"/>
    <mergeCell ref="E235:F237"/>
    <mergeCell ref="O235:P235"/>
    <mergeCell ref="O236:P236"/>
    <mergeCell ref="O237:P237"/>
    <mergeCell ref="E227:F227"/>
    <mergeCell ref="O227:P227"/>
    <mergeCell ref="O228:P228"/>
    <mergeCell ref="O229:P229"/>
    <mergeCell ref="E232:F232"/>
    <mergeCell ref="O232:P232"/>
    <mergeCell ref="O223:P223"/>
    <mergeCell ref="O224:P224"/>
    <mergeCell ref="E225:F225"/>
    <mergeCell ref="O225:P225"/>
    <mergeCell ref="O226:P226"/>
    <mergeCell ref="E218:F218"/>
    <mergeCell ref="O218:P218"/>
    <mergeCell ref="O219:P219"/>
    <mergeCell ref="E220:F222"/>
    <mergeCell ref="O220:P220"/>
    <mergeCell ref="O221:P221"/>
    <mergeCell ref="O222:P222"/>
    <mergeCell ref="E212:F212"/>
    <mergeCell ref="O212:P212"/>
    <mergeCell ref="O213:P213"/>
    <mergeCell ref="O214:P214"/>
    <mergeCell ref="E217:F217"/>
    <mergeCell ref="O217:P217"/>
    <mergeCell ref="O208:P208"/>
    <mergeCell ref="O209:P209"/>
    <mergeCell ref="E210:F210"/>
    <mergeCell ref="O210:P210"/>
    <mergeCell ref="O211:P211"/>
    <mergeCell ref="E203:F203"/>
    <mergeCell ref="O203:P203"/>
    <mergeCell ref="O204:P204"/>
    <mergeCell ref="E205:F207"/>
    <mergeCell ref="O205:P205"/>
    <mergeCell ref="O206:P206"/>
    <mergeCell ref="O207:P207"/>
    <mergeCell ref="E198:F198"/>
    <mergeCell ref="O198:P198"/>
    <mergeCell ref="O199:P199"/>
    <mergeCell ref="O200:P200"/>
    <mergeCell ref="E202:F202"/>
    <mergeCell ref="O202:P202"/>
    <mergeCell ref="O194:P194"/>
    <mergeCell ref="O195:P195"/>
    <mergeCell ref="E196:F196"/>
    <mergeCell ref="O196:P196"/>
    <mergeCell ref="O197:P197"/>
    <mergeCell ref="E189:F189"/>
    <mergeCell ref="O189:P189"/>
    <mergeCell ref="O190:P190"/>
    <mergeCell ref="E191:F193"/>
    <mergeCell ref="O191:P191"/>
    <mergeCell ref="O192:P192"/>
    <mergeCell ref="O193:P193"/>
    <mergeCell ref="E183:F183"/>
    <mergeCell ref="O183:P183"/>
    <mergeCell ref="O184:P184"/>
    <mergeCell ref="O185:P185"/>
    <mergeCell ref="E188:F188"/>
    <mergeCell ref="O188:P188"/>
    <mergeCell ref="O179:P179"/>
    <mergeCell ref="O180:P180"/>
    <mergeCell ref="E181:F181"/>
    <mergeCell ref="O181:P181"/>
    <mergeCell ref="O182:P182"/>
    <mergeCell ref="E174:F174"/>
    <mergeCell ref="O174:P174"/>
    <mergeCell ref="O175:P175"/>
    <mergeCell ref="E176:F178"/>
    <mergeCell ref="O176:P176"/>
    <mergeCell ref="O177:P177"/>
    <mergeCell ref="O178:P178"/>
    <mergeCell ref="E168:F168"/>
    <mergeCell ref="O168:P168"/>
    <mergeCell ref="O169:P169"/>
    <mergeCell ref="O170:P170"/>
    <mergeCell ref="E173:F173"/>
    <mergeCell ref="O173:P173"/>
    <mergeCell ref="O164:P164"/>
    <mergeCell ref="O165:P165"/>
    <mergeCell ref="E166:F166"/>
    <mergeCell ref="O166:P166"/>
    <mergeCell ref="O167:P167"/>
    <mergeCell ref="E159:F159"/>
    <mergeCell ref="O159:P159"/>
    <mergeCell ref="O160:P160"/>
    <mergeCell ref="E161:F163"/>
    <mergeCell ref="O161:P161"/>
    <mergeCell ref="O162:P162"/>
    <mergeCell ref="O163:P163"/>
    <mergeCell ref="E153:F153"/>
    <mergeCell ref="O153:P153"/>
    <mergeCell ref="O154:P154"/>
    <mergeCell ref="O155:P155"/>
    <mergeCell ref="E158:F158"/>
    <mergeCell ref="O158:P158"/>
    <mergeCell ref="O149:P149"/>
    <mergeCell ref="O150:P150"/>
    <mergeCell ref="E151:F151"/>
    <mergeCell ref="O151:P151"/>
    <mergeCell ref="O152:P152"/>
    <mergeCell ref="E144:F144"/>
    <mergeCell ref="O144:P144"/>
    <mergeCell ref="O145:P145"/>
    <mergeCell ref="E146:F148"/>
    <mergeCell ref="O146:P146"/>
    <mergeCell ref="O147:P147"/>
    <mergeCell ref="O148:P148"/>
    <mergeCell ref="E138:F138"/>
    <mergeCell ref="O138:P138"/>
    <mergeCell ref="O139:P139"/>
    <mergeCell ref="O140:P140"/>
    <mergeCell ref="E143:F143"/>
    <mergeCell ref="O143:P143"/>
    <mergeCell ref="O134:P134"/>
    <mergeCell ref="O135:P135"/>
    <mergeCell ref="E136:F136"/>
    <mergeCell ref="O136:P136"/>
    <mergeCell ref="O137:P137"/>
    <mergeCell ref="E129:F129"/>
    <mergeCell ref="O129:P129"/>
    <mergeCell ref="O130:P130"/>
    <mergeCell ref="E131:F133"/>
    <mergeCell ref="O131:P131"/>
    <mergeCell ref="O132:P132"/>
    <mergeCell ref="O133:P133"/>
    <mergeCell ref="E123:F123"/>
    <mergeCell ref="O123:P123"/>
    <mergeCell ref="O124:P124"/>
    <mergeCell ref="O125:P125"/>
    <mergeCell ref="E128:F128"/>
    <mergeCell ref="O128:P128"/>
    <mergeCell ref="O119:P119"/>
    <mergeCell ref="O120:P120"/>
    <mergeCell ref="E121:F121"/>
    <mergeCell ref="O121:P121"/>
    <mergeCell ref="O122:P122"/>
    <mergeCell ref="E114:F114"/>
    <mergeCell ref="O114:P114"/>
    <mergeCell ref="O115:P115"/>
    <mergeCell ref="E116:F118"/>
    <mergeCell ref="O116:P116"/>
    <mergeCell ref="O117:P117"/>
    <mergeCell ref="O118:P118"/>
    <mergeCell ref="E108:F108"/>
    <mergeCell ref="O108:P108"/>
    <mergeCell ref="O109:P109"/>
    <mergeCell ref="O110:P110"/>
    <mergeCell ref="E113:F113"/>
    <mergeCell ref="O113:P113"/>
    <mergeCell ref="O104:P104"/>
    <mergeCell ref="O105:P105"/>
    <mergeCell ref="E106:F106"/>
    <mergeCell ref="O106:P106"/>
    <mergeCell ref="O107:P107"/>
    <mergeCell ref="E99:F99"/>
    <mergeCell ref="O99:P99"/>
    <mergeCell ref="O100:P100"/>
    <mergeCell ref="E101:F103"/>
    <mergeCell ref="O101:P101"/>
    <mergeCell ref="O102:P102"/>
    <mergeCell ref="O103:P103"/>
    <mergeCell ref="E93:F93"/>
    <mergeCell ref="O93:P93"/>
    <mergeCell ref="O94:P94"/>
    <mergeCell ref="O95:P95"/>
    <mergeCell ref="E98:F98"/>
    <mergeCell ref="O98:P98"/>
    <mergeCell ref="O89:P89"/>
    <mergeCell ref="O90:P90"/>
    <mergeCell ref="E91:F91"/>
    <mergeCell ref="O91:P91"/>
    <mergeCell ref="O92:P92"/>
    <mergeCell ref="E84:F84"/>
    <mergeCell ref="O84:P84"/>
    <mergeCell ref="O85:P85"/>
    <mergeCell ref="E86:F88"/>
    <mergeCell ref="O86:P86"/>
    <mergeCell ref="O87:P87"/>
    <mergeCell ref="O88:P88"/>
    <mergeCell ref="E78:F78"/>
    <mergeCell ref="O78:P78"/>
    <mergeCell ref="O79:P79"/>
    <mergeCell ref="O80:P80"/>
    <mergeCell ref="E83:F83"/>
    <mergeCell ref="O83:P83"/>
    <mergeCell ref="O74:P74"/>
    <mergeCell ref="O75:P75"/>
    <mergeCell ref="E76:F76"/>
    <mergeCell ref="O76:P76"/>
    <mergeCell ref="O77:P77"/>
    <mergeCell ref="E69:F69"/>
    <mergeCell ref="O69:P69"/>
    <mergeCell ref="O70:P70"/>
    <mergeCell ref="E71:F73"/>
    <mergeCell ref="O71:P71"/>
    <mergeCell ref="O72:P72"/>
    <mergeCell ref="O73:P73"/>
    <mergeCell ref="E64:F64"/>
    <mergeCell ref="O64:P64"/>
    <mergeCell ref="O65:P65"/>
    <mergeCell ref="O66:P66"/>
    <mergeCell ref="E68:F68"/>
    <mergeCell ref="O68:P68"/>
    <mergeCell ref="O60:P60"/>
    <mergeCell ref="O61:P61"/>
    <mergeCell ref="E62:F62"/>
    <mergeCell ref="O62:P62"/>
    <mergeCell ref="O63:P63"/>
    <mergeCell ref="E55:F55"/>
    <mergeCell ref="O55:P55"/>
    <mergeCell ref="O56:P56"/>
    <mergeCell ref="E57:F59"/>
    <mergeCell ref="O57:P57"/>
    <mergeCell ref="O58:P58"/>
    <mergeCell ref="O59:P59"/>
    <mergeCell ref="E49:F49"/>
    <mergeCell ref="O49:P49"/>
    <mergeCell ref="O50:P50"/>
    <mergeCell ref="O51:P51"/>
    <mergeCell ref="E54:F54"/>
    <mergeCell ref="O54:P54"/>
    <mergeCell ref="O45:P45"/>
    <mergeCell ref="O46:P46"/>
    <mergeCell ref="E47:F47"/>
    <mergeCell ref="O47:P47"/>
    <mergeCell ref="O48:P48"/>
    <mergeCell ref="E40:F40"/>
    <mergeCell ref="O40:P40"/>
    <mergeCell ref="O41:P41"/>
    <mergeCell ref="E42:F44"/>
    <mergeCell ref="O42:P42"/>
    <mergeCell ref="O43:P43"/>
    <mergeCell ref="O44:P44"/>
    <mergeCell ref="E34:F34"/>
    <mergeCell ref="O34:P34"/>
    <mergeCell ref="O35:P35"/>
    <mergeCell ref="O36:P36"/>
    <mergeCell ref="E39:F39"/>
    <mergeCell ref="O39:P39"/>
    <mergeCell ref="O31:P31"/>
    <mergeCell ref="E32:F32"/>
    <mergeCell ref="O32:P32"/>
    <mergeCell ref="O33:P33"/>
    <mergeCell ref="E25:F25"/>
    <mergeCell ref="O25:P25"/>
    <mergeCell ref="O26:P26"/>
    <mergeCell ref="E27:F29"/>
    <mergeCell ref="O27:P27"/>
    <mergeCell ref="O28:P28"/>
    <mergeCell ref="O29:P29"/>
    <mergeCell ref="E19:F19"/>
    <mergeCell ref="O19:P19"/>
    <mergeCell ref="O20:P20"/>
    <mergeCell ref="O21:P21"/>
    <mergeCell ref="E24:F24"/>
    <mergeCell ref="O24:P24"/>
    <mergeCell ref="O15:P15"/>
    <mergeCell ref="O16:P16"/>
    <mergeCell ref="E17:F17"/>
    <mergeCell ref="O17:P17"/>
    <mergeCell ref="O18:P18"/>
    <mergeCell ref="O11:P11"/>
    <mergeCell ref="E12:F14"/>
    <mergeCell ref="O12:P12"/>
    <mergeCell ref="O13:P13"/>
    <mergeCell ref="O14:P14"/>
    <mergeCell ref="D2:O2"/>
    <mergeCell ref="D4:R4"/>
    <mergeCell ref="E9:F9"/>
    <mergeCell ref="O9:P9"/>
    <mergeCell ref="E10:F10"/>
    <mergeCell ref="O10:P10"/>
    <mergeCell ref="O30:P30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&amp;"-,Regular"18/05/2024 10:14 AM &amp;C&amp;"Segoe UI,Regular"&amp;9 Page 2   of  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D1:S975"/>
  <sheetViews>
    <sheetView showGridLines="0" workbookViewId="0">
      <pane ySplit="5" topLeftCell="A854" activePane="bottomLeft" state="frozen"/>
      <selection pane="bottomLeft" activeCell="U869" sqref="U869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14" width="9.85546875" customWidth="1"/>
    <col min="15" max="15" width="8" customWidth="1"/>
    <col min="16" max="16" width="1.85546875" customWidth="1"/>
    <col min="17" max="17" width="7.42578125" customWidth="1"/>
    <col min="18" max="18" width="0" hidden="1" customWidth="1"/>
    <col min="19" max="19" width="16.140625" customWidth="1"/>
    <col min="20" max="20" width="1.140625" customWidth="1"/>
  </cols>
  <sheetData>
    <row r="1" spans="4:19" ht="0.95" customHeight="1"/>
    <row r="2" spans="4:19" ht="16.149999999999999" customHeight="1"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4:19" ht="6.6" customHeight="1"/>
    <row r="4" spans="4:19" ht="23.85" customHeight="1">
      <c r="D4" s="29" t="s">
        <v>1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4:19" ht="5.0999999999999996" customHeight="1"/>
    <row r="6" spans="4:19" ht="11.25" customHeight="1"/>
    <row r="7" spans="4:19" ht="7.7" customHeight="1"/>
    <row r="8" spans="4:19" ht="0.6" customHeight="1"/>
    <row r="9" spans="4:19">
      <c r="E9" s="38" t="s">
        <v>35</v>
      </c>
      <c r="F9" s="31"/>
      <c r="G9" s="4" t="s">
        <v>36</v>
      </c>
      <c r="H9" s="6" t="s">
        <v>37</v>
      </c>
      <c r="I9" s="6" t="s">
        <v>37</v>
      </c>
      <c r="J9" s="6" t="s">
        <v>37</v>
      </c>
      <c r="K9" s="6" t="s">
        <v>37</v>
      </c>
      <c r="L9" s="6" t="s">
        <v>37</v>
      </c>
      <c r="M9" s="6" t="s">
        <v>37</v>
      </c>
      <c r="N9" s="6" t="s">
        <v>37</v>
      </c>
      <c r="O9" s="39" t="s">
        <v>37</v>
      </c>
      <c r="P9" s="28"/>
      <c r="Q9" s="6" t="s">
        <v>37</v>
      </c>
    </row>
    <row r="10" spans="4:19" ht="21">
      <c r="E10" s="32" t="s">
        <v>38</v>
      </c>
      <c r="F10" s="31"/>
      <c r="G10" s="8" t="s">
        <v>39</v>
      </c>
      <c r="H10" s="8" t="s">
        <v>19</v>
      </c>
      <c r="I10" s="8" t="s">
        <v>9</v>
      </c>
      <c r="J10" s="8" t="s">
        <v>21</v>
      </c>
      <c r="K10" s="8" t="s">
        <v>11</v>
      </c>
      <c r="L10" s="8" t="s">
        <v>17</v>
      </c>
      <c r="M10" s="8" t="s">
        <v>27</v>
      </c>
      <c r="N10" s="8" t="s">
        <v>7</v>
      </c>
      <c r="O10" s="40" t="s">
        <v>25</v>
      </c>
      <c r="P10" s="31"/>
      <c r="Q10" s="8" t="s">
        <v>40</v>
      </c>
    </row>
    <row r="11" spans="4:19" ht="22.5">
      <c r="E11" s="13" t="s">
        <v>41</v>
      </c>
      <c r="F11" s="13" t="s">
        <v>42</v>
      </c>
      <c r="G11" s="11" t="s">
        <v>43</v>
      </c>
      <c r="H11" s="12" t="s">
        <v>44</v>
      </c>
      <c r="I11" s="12" t="s">
        <v>45</v>
      </c>
      <c r="J11" s="12" t="s">
        <v>46</v>
      </c>
      <c r="K11" s="12" t="s">
        <v>47</v>
      </c>
      <c r="L11" s="12" t="s">
        <v>48</v>
      </c>
      <c r="M11" s="12" t="s">
        <v>49</v>
      </c>
      <c r="N11" s="12" t="s">
        <v>50</v>
      </c>
      <c r="O11" s="30" t="s">
        <v>51</v>
      </c>
      <c r="P11" s="31"/>
      <c r="Q11" s="11" t="s">
        <v>37</v>
      </c>
      <c r="S11" t="str">
        <f>$E17</f>
        <v>Result: PASS</v>
      </c>
    </row>
    <row r="12" spans="4:19">
      <c r="E12" s="32" t="s">
        <v>52</v>
      </c>
      <c r="F12" s="33"/>
      <c r="G12" s="11" t="s">
        <v>53</v>
      </c>
      <c r="H12" s="12" t="s">
        <v>51</v>
      </c>
      <c r="I12" s="12" t="s">
        <v>51</v>
      </c>
      <c r="J12" s="12" t="s">
        <v>51</v>
      </c>
      <c r="K12" s="12" t="s">
        <v>51</v>
      </c>
      <c r="L12" s="12" t="s">
        <v>51</v>
      </c>
      <c r="M12" s="12" t="s">
        <v>51</v>
      </c>
      <c r="N12" s="12" t="s">
        <v>51</v>
      </c>
      <c r="O12" s="30" t="s">
        <v>54</v>
      </c>
      <c r="P12" s="31"/>
      <c r="Q12" s="11" t="s">
        <v>37</v>
      </c>
      <c r="S12" t="str">
        <f t="shared" ref="S12:S75" si="0">$E18</f>
        <v>Class</v>
      </c>
    </row>
    <row r="13" spans="4:19">
      <c r="E13" s="34"/>
      <c r="F13" s="35"/>
      <c r="G13" s="11" t="s">
        <v>55</v>
      </c>
      <c r="H13" s="12" t="s">
        <v>37</v>
      </c>
      <c r="I13" s="12" t="s">
        <v>37</v>
      </c>
      <c r="J13" s="12" t="s">
        <v>37</v>
      </c>
      <c r="K13" s="12" t="s">
        <v>37</v>
      </c>
      <c r="L13" s="12" t="s">
        <v>37</v>
      </c>
      <c r="M13" s="12" t="s">
        <v>37</v>
      </c>
      <c r="N13" s="12" t="s">
        <v>37</v>
      </c>
      <c r="O13" s="30" t="s">
        <v>37</v>
      </c>
      <c r="P13" s="31"/>
      <c r="Q13" s="11">
        <v>0</v>
      </c>
      <c r="S13" t="str">
        <f t="shared" si="0"/>
        <v>Term Grade: AA+</v>
      </c>
    </row>
    <row r="14" spans="4:19">
      <c r="E14" s="36"/>
      <c r="F14" s="37"/>
      <c r="G14" s="11" t="s">
        <v>56</v>
      </c>
      <c r="H14" s="12">
        <v>4</v>
      </c>
      <c r="I14" s="12">
        <v>4</v>
      </c>
      <c r="J14" s="12">
        <v>4</v>
      </c>
      <c r="K14" s="12">
        <v>3</v>
      </c>
      <c r="L14" s="12">
        <v>3</v>
      </c>
      <c r="M14" s="12">
        <v>3</v>
      </c>
      <c r="N14" s="12">
        <v>2</v>
      </c>
      <c r="O14" s="30">
        <v>2</v>
      </c>
      <c r="P14" s="31"/>
      <c r="Q14" s="11">
        <v>25</v>
      </c>
      <c r="S14" t="str">
        <f t="shared" si="0"/>
        <v>M.C.No</v>
      </c>
    </row>
    <row r="15" spans="4:19">
      <c r="E15" s="13" t="s">
        <v>57</v>
      </c>
      <c r="F15" s="13">
        <v>7.98</v>
      </c>
      <c r="G15" s="11" t="s">
        <v>58</v>
      </c>
      <c r="H15" s="12">
        <v>7</v>
      </c>
      <c r="I15" s="12">
        <v>9</v>
      </c>
      <c r="J15" s="12">
        <v>7.5</v>
      </c>
      <c r="K15" s="12">
        <v>6.5</v>
      </c>
      <c r="L15" s="12">
        <v>7.5</v>
      </c>
      <c r="M15" s="12">
        <v>8.5</v>
      </c>
      <c r="N15" s="12">
        <v>9.5</v>
      </c>
      <c r="O15" s="30">
        <v>9.5</v>
      </c>
      <c r="P15" s="31"/>
      <c r="Q15" s="11" t="s">
        <v>37</v>
      </c>
      <c r="S15" t="str">
        <f t="shared" si="0"/>
        <v/>
      </c>
    </row>
    <row r="16" spans="4:19">
      <c r="E16" s="13" t="s">
        <v>59</v>
      </c>
      <c r="F16" s="14">
        <v>7.98</v>
      </c>
      <c r="G16" s="11" t="s">
        <v>60</v>
      </c>
      <c r="H16" s="12">
        <v>28</v>
      </c>
      <c r="I16" s="12">
        <v>36</v>
      </c>
      <c r="J16" s="12">
        <v>30</v>
      </c>
      <c r="K16" s="12">
        <v>19.5</v>
      </c>
      <c r="L16" s="12">
        <v>22.5</v>
      </c>
      <c r="M16" s="12">
        <v>25.5</v>
      </c>
      <c r="N16" s="12">
        <v>19</v>
      </c>
      <c r="O16" s="30">
        <v>19</v>
      </c>
      <c r="P16" s="31"/>
      <c r="Q16" s="11">
        <v>199.5</v>
      </c>
      <c r="S16">
        <f t="shared" si="0"/>
        <v>0</v>
      </c>
    </row>
    <row r="17" spans="5:19">
      <c r="E17" s="32" t="s">
        <v>61</v>
      </c>
      <c r="F17" s="31"/>
      <c r="G17" s="11" t="s">
        <v>40</v>
      </c>
      <c r="H17" s="12">
        <v>67</v>
      </c>
      <c r="I17" s="12">
        <v>89</v>
      </c>
      <c r="J17" s="12">
        <v>74</v>
      </c>
      <c r="K17" s="12">
        <v>60</v>
      </c>
      <c r="L17" s="12">
        <v>74</v>
      </c>
      <c r="M17" s="12">
        <v>80</v>
      </c>
      <c r="N17" s="12">
        <v>45</v>
      </c>
      <c r="O17" s="30">
        <v>45</v>
      </c>
      <c r="P17" s="31"/>
      <c r="Q17" s="11">
        <v>534</v>
      </c>
      <c r="S17">
        <f t="shared" si="0"/>
        <v>0</v>
      </c>
    </row>
    <row r="18" spans="5:19">
      <c r="E18" s="13" t="s">
        <v>62</v>
      </c>
      <c r="F18" s="13"/>
      <c r="G18" s="11" t="s">
        <v>63</v>
      </c>
      <c r="H18" s="12">
        <v>100</v>
      </c>
      <c r="I18" s="12">
        <v>100</v>
      </c>
      <c r="J18" s="12">
        <v>100</v>
      </c>
      <c r="K18" s="12">
        <v>100</v>
      </c>
      <c r="L18" s="12">
        <v>100</v>
      </c>
      <c r="M18" s="12">
        <v>100</v>
      </c>
      <c r="N18" s="12">
        <v>50</v>
      </c>
      <c r="O18" s="30">
        <v>50</v>
      </c>
      <c r="P18" s="31"/>
      <c r="Q18" s="11">
        <v>700</v>
      </c>
      <c r="S18" t="str">
        <f t="shared" si="0"/>
        <v>Dr. B.B. Hegde First Grade College, Kundapura, Udupi.</v>
      </c>
    </row>
    <row r="19" spans="5:19">
      <c r="E19" s="32" t="s">
        <v>64</v>
      </c>
      <c r="F19" s="31"/>
      <c r="G19" s="11" t="s">
        <v>65</v>
      </c>
      <c r="H19" s="12" t="s">
        <v>66</v>
      </c>
      <c r="I19" s="12" t="s">
        <v>67</v>
      </c>
      <c r="J19" s="12" t="s">
        <v>68</v>
      </c>
      <c r="K19" s="12" t="s">
        <v>69</v>
      </c>
      <c r="L19" s="12" t="s">
        <v>68</v>
      </c>
      <c r="M19" s="12" t="s">
        <v>70</v>
      </c>
      <c r="N19" s="12" t="s">
        <v>71</v>
      </c>
      <c r="O19" s="30" t="s">
        <v>71</v>
      </c>
      <c r="P19" s="31"/>
      <c r="Q19" s="11" t="s">
        <v>37</v>
      </c>
      <c r="S19" t="str">
        <f t="shared" si="0"/>
        <v>00002</v>
      </c>
    </row>
    <row r="20" spans="5:19">
      <c r="E20" s="15" t="s">
        <v>72</v>
      </c>
      <c r="F20" s="15" t="s">
        <v>73</v>
      </c>
      <c r="G20" s="11" t="s">
        <v>74</v>
      </c>
      <c r="H20" s="12" t="s">
        <v>75</v>
      </c>
      <c r="I20" s="12" t="s">
        <v>75</v>
      </c>
      <c r="J20" s="12" t="s">
        <v>75</v>
      </c>
      <c r="K20" s="12" t="s">
        <v>75</v>
      </c>
      <c r="L20" s="12" t="s">
        <v>75</v>
      </c>
      <c r="M20" s="12" t="s">
        <v>75</v>
      </c>
      <c r="N20" s="12" t="s">
        <v>75</v>
      </c>
      <c r="O20" s="30" t="s">
        <v>75</v>
      </c>
      <c r="P20" s="31"/>
      <c r="Q20" s="11" t="s">
        <v>37</v>
      </c>
      <c r="S20" t="str">
        <f t="shared" si="0"/>
        <v>USN</v>
      </c>
    </row>
    <row r="21" spans="5:19">
      <c r="E21" s="16" t="s">
        <v>37</v>
      </c>
      <c r="F21" s="16" t="s">
        <v>37</v>
      </c>
      <c r="G21" s="16" t="s">
        <v>37</v>
      </c>
      <c r="H21" s="17" t="s">
        <v>37</v>
      </c>
      <c r="I21" s="17" t="s">
        <v>37</v>
      </c>
      <c r="J21" s="17" t="s">
        <v>37</v>
      </c>
      <c r="K21" s="17" t="s">
        <v>37</v>
      </c>
      <c r="L21" s="17" t="s">
        <v>37</v>
      </c>
      <c r="M21" s="17" t="s">
        <v>37</v>
      </c>
      <c r="N21" s="17" t="s">
        <v>37</v>
      </c>
      <c r="O21" s="41" t="s">
        <v>37</v>
      </c>
      <c r="P21" s="28"/>
      <c r="Q21" s="17" t="s">
        <v>37</v>
      </c>
      <c r="S21" t="str">
        <f t="shared" si="0"/>
        <v>KALPANA</v>
      </c>
    </row>
    <row r="22" spans="5:19" ht="0" hidden="1" customHeight="1">
      <c r="S22">
        <f t="shared" si="0"/>
        <v>0</v>
      </c>
    </row>
    <row r="23" spans="5:19" ht="0.6" customHeight="1">
      <c r="S23">
        <f t="shared" si="0"/>
        <v>0</v>
      </c>
    </row>
    <row r="24" spans="5:19">
      <c r="E24" s="38" t="s">
        <v>35</v>
      </c>
      <c r="F24" s="31"/>
      <c r="G24" s="4" t="s">
        <v>36</v>
      </c>
      <c r="H24" s="6" t="s">
        <v>37</v>
      </c>
      <c r="I24" s="6" t="s">
        <v>37</v>
      </c>
      <c r="J24" s="6" t="s">
        <v>37</v>
      </c>
      <c r="K24" s="6" t="s">
        <v>37</v>
      </c>
      <c r="L24" s="6" t="s">
        <v>37</v>
      </c>
      <c r="M24" s="6" t="s">
        <v>37</v>
      </c>
      <c r="N24" s="6" t="s">
        <v>37</v>
      </c>
      <c r="O24" s="39" t="s">
        <v>37</v>
      </c>
      <c r="P24" s="28"/>
      <c r="Q24" s="6" t="s">
        <v>37</v>
      </c>
      <c r="S24" t="str">
        <f t="shared" si="0"/>
        <v>SGPA</v>
      </c>
    </row>
    <row r="25" spans="5:19" ht="21">
      <c r="E25" s="32" t="s">
        <v>76</v>
      </c>
      <c r="F25" s="31"/>
      <c r="G25" s="8" t="s">
        <v>39</v>
      </c>
      <c r="H25" s="8" t="s">
        <v>19</v>
      </c>
      <c r="I25" s="8" t="s">
        <v>9</v>
      </c>
      <c r="J25" s="8" t="s">
        <v>21</v>
      </c>
      <c r="K25" s="8" t="s">
        <v>11</v>
      </c>
      <c r="L25" s="8" t="s">
        <v>17</v>
      </c>
      <c r="M25" s="8" t="s">
        <v>27</v>
      </c>
      <c r="N25" s="8" t="s">
        <v>7</v>
      </c>
      <c r="O25" s="40" t="s">
        <v>29</v>
      </c>
      <c r="P25" s="31"/>
      <c r="Q25" s="8" t="s">
        <v>40</v>
      </c>
      <c r="S25" t="str">
        <f t="shared" si="0"/>
        <v>CGPA</v>
      </c>
    </row>
    <row r="26" spans="5:19" ht="22.5">
      <c r="E26" s="13" t="s">
        <v>41</v>
      </c>
      <c r="F26" s="13" t="s">
        <v>77</v>
      </c>
      <c r="G26" s="11" t="s">
        <v>43</v>
      </c>
      <c r="H26" s="12" t="s">
        <v>78</v>
      </c>
      <c r="I26" s="12" t="s">
        <v>79</v>
      </c>
      <c r="J26" s="12" t="s">
        <v>80</v>
      </c>
      <c r="K26" s="12" t="s">
        <v>81</v>
      </c>
      <c r="L26" s="12" t="s">
        <v>82</v>
      </c>
      <c r="M26" s="12" t="s">
        <v>83</v>
      </c>
      <c r="N26" s="12" t="s">
        <v>84</v>
      </c>
      <c r="O26" s="30" t="s">
        <v>51</v>
      </c>
      <c r="P26" s="31"/>
      <c r="Q26" s="11" t="s">
        <v>37</v>
      </c>
      <c r="S26" t="str">
        <f t="shared" si="0"/>
        <v>Result: PASS</v>
      </c>
    </row>
    <row r="27" spans="5:19">
      <c r="E27" s="32" t="s">
        <v>85</v>
      </c>
      <c r="F27" s="33"/>
      <c r="G27" s="11" t="s">
        <v>53</v>
      </c>
      <c r="H27" s="12" t="s">
        <v>51</v>
      </c>
      <c r="I27" s="12" t="s">
        <v>51</v>
      </c>
      <c r="J27" s="12" t="s">
        <v>51</v>
      </c>
      <c r="K27" s="12" t="s">
        <v>51</v>
      </c>
      <c r="L27" s="12" t="s">
        <v>51</v>
      </c>
      <c r="M27" s="12" t="s">
        <v>51</v>
      </c>
      <c r="N27" s="12" t="s">
        <v>51</v>
      </c>
      <c r="O27" s="30" t="s">
        <v>86</v>
      </c>
      <c r="P27" s="31"/>
      <c r="Q27" s="11" t="s">
        <v>37</v>
      </c>
      <c r="S27" t="str">
        <f t="shared" si="0"/>
        <v>Class</v>
      </c>
    </row>
    <row r="28" spans="5:19">
      <c r="E28" s="34"/>
      <c r="F28" s="35"/>
      <c r="G28" s="11" t="s">
        <v>55</v>
      </c>
      <c r="H28" s="12" t="s">
        <v>37</v>
      </c>
      <c r="I28" s="12" t="s">
        <v>37</v>
      </c>
      <c r="J28" s="12" t="s">
        <v>37</v>
      </c>
      <c r="K28" s="12" t="s">
        <v>37</v>
      </c>
      <c r="L28" s="12" t="s">
        <v>37</v>
      </c>
      <c r="M28" s="12" t="s">
        <v>37</v>
      </c>
      <c r="N28" s="12" t="s">
        <v>37</v>
      </c>
      <c r="O28" s="30" t="s">
        <v>37</v>
      </c>
      <c r="P28" s="31"/>
      <c r="Q28" s="11">
        <v>0</v>
      </c>
      <c r="S28" t="str">
        <f t="shared" si="0"/>
        <v>Term Grade: OO</v>
      </c>
    </row>
    <row r="29" spans="5:19">
      <c r="E29" s="36"/>
      <c r="F29" s="37"/>
      <c r="G29" s="11" t="s">
        <v>56</v>
      </c>
      <c r="H29" s="12">
        <v>4</v>
      </c>
      <c r="I29" s="12">
        <v>4</v>
      </c>
      <c r="J29" s="12">
        <v>4</v>
      </c>
      <c r="K29" s="12">
        <v>3</v>
      </c>
      <c r="L29" s="12">
        <v>3</v>
      </c>
      <c r="M29" s="12">
        <v>3</v>
      </c>
      <c r="N29" s="12">
        <v>2</v>
      </c>
      <c r="O29" s="30">
        <v>2</v>
      </c>
      <c r="P29" s="31"/>
      <c r="Q29" s="11">
        <v>25</v>
      </c>
      <c r="S29" t="str">
        <f t="shared" si="0"/>
        <v>M.C.No</v>
      </c>
    </row>
    <row r="30" spans="5:19">
      <c r="E30" s="13" t="s">
        <v>57</v>
      </c>
      <c r="F30" s="13">
        <v>9.32</v>
      </c>
      <c r="G30" s="11" t="s">
        <v>58</v>
      </c>
      <c r="H30" s="12">
        <v>9</v>
      </c>
      <c r="I30" s="12">
        <v>10</v>
      </c>
      <c r="J30" s="12">
        <v>9</v>
      </c>
      <c r="K30" s="12">
        <v>7</v>
      </c>
      <c r="L30" s="12">
        <v>10</v>
      </c>
      <c r="M30" s="12">
        <v>10</v>
      </c>
      <c r="N30" s="12">
        <v>10</v>
      </c>
      <c r="O30" s="30">
        <v>10</v>
      </c>
      <c r="P30" s="31"/>
      <c r="Q30" s="11" t="s">
        <v>37</v>
      </c>
      <c r="S30" t="str">
        <f t="shared" si="0"/>
        <v/>
      </c>
    </row>
    <row r="31" spans="5:19">
      <c r="E31" s="13" t="s">
        <v>59</v>
      </c>
      <c r="F31" s="14">
        <v>9.32</v>
      </c>
      <c r="G31" s="11" t="s">
        <v>60</v>
      </c>
      <c r="H31" s="12">
        <v>36</v>
      </c>
      <c r="I31" s="12">
        <v>40</v>
      </c>
      <c r="J31" s="12">
        <v>36</v>
      </c>
      <c r="K31" s="12">
        <v>21</v>
      </c>
      <c r="L31" s="12">
        <v>30</v>
      </c>
      <c r="M31" s="12">
        <v>30</v>
      </c>
      <c r="N31" s="12">
        <v>20</v>
      </c>
      <c r="O31" s="30">
        <v>20</v>
      </c>
      <c r="P31" s="31"/>
      <c r="Q31" s="11">
        <v>233</v>
      </c>
      <c r="S31">
        <f t="shared" si="0"/>
        <v>0</v>
      </c>
    </row>
    <row r="32" spans="5:19">
      <c r="E32" s="32" t="s">
        <v>61</v>
      </c>
      <c r="F32" s="31"/>
      <c r="G32" s="11" t="s">
        <v>40</v>
      </c>
      <c r="H32" s="12">
        <v>86</v>
      </c>
      <c r="I32" s="12">
        <v>95</v>
      </c>
      <c r="J32" s="12">
        <v>88</v>
      </c>
      <c r="K32" s="12">
        <v>68</v>
      </c>
      <c r="L32" s="12">
        <v>98</v>
      </c>
      <c r="M32" s="12">
        <v>100</v>
      </c>
      <c r="N32" s="12">
        <v>48</v>
      </c>
      <c r="O32" s="30">
        <v>48</v>
      </c>
      <c r="P32" s="31"/>
      <c r="Q32" s="11">
        <v>631</v>
      </c>
      <c r="S32">
        <f t="shared" si="0"/>
        <v>0</v>
      </c>
    </row>
    <row r="33" spans="5:19">
      <c r="E33" s="13" t="s">
        <v>62</v>
      </c>
      <c r="F33" s="13"/>
      <c r="G33" s="11" t="s">
        <v>63</v>
      </c>
      <c r="H33" s="12">
        <v>100</v>
      </c>
      <c r="I33" s="12">
        <v>100</v>
      </c>
      <c r="J33" s="12">
        <v>100</v>
      </c>
      <c r="K33" s="12">
        <v>100</v>
      </c>
      <c r="L33" s="12">
        <v>100</v>
      </c>
      <c r="M33" s="12">
        <v>100</v>
      </c>
      <c r="N33" s="12">
        <v>50</v>
      </c>
      <c r="O33" s="30">
        <v>50</v>
      </c>
      <c r="P33" s="31"/>
      <c r="Q33" s="11">
        <v>700</v>
      </c>
      <c r="S33" t="str">
        <f t="shared" si="0"/>
        <v>Dr. B.B. Hegde First Grade College, Kundapura, Udupi.</v>
      </c>
    </row>
    <row r="34" spans="5:19">
      <c r="E34" s="32" t="s">
        <v>87</v>
      </c>
      <c r="F34" s="31"/>
      <c r="G34" s="11" t="s">
        <v>65</v>
      </c>
      <c r="H34" s="12" t="s">
        <v>67</v>
      </c>
      <c r="I34" s="12" t="s">
        <v>88</v>
      </c>
      <c r="J34" s="12" t="s">
        <v>67</v>
      </c>
      <c r="K34" s="12" t="s">
        <v>66</v>
      </c>
      <c r="L34" s="12" t="s">
        <v>88</v>
      </c>
      <c r="M34" s="12" t="s">
        <v>88</v>
      </c>
      <c r="N34" s="12" t="s">
        <v>88</v>
      </c>
      <c r="O34" s="30" t="s">
        <v>88</v>
      </c>
      <c r="P34" s="31"/>
      <c r="Q34" s="11" t="s">
        <v>37</v>
      </c>
      <c r="S34" t="str">
        <f t="shared" si="0"/>
        <v>00003</v>
      </c>
    </row>
    <row r="35" spans="5:19">
      <c r="E35" s="15" t="s">
        <v>72</v>
      </c>
      <c r="F35" s="15" t="s">
        <v>89</v>
      </c>
      <c r="G35" s="11" t="s">
        <v>74</v>
      </c>
      <c r="H35" s="12" t="s">
        <v>75</v>
      </c>
      <c r="I35" s="12" t="s">
        <v>75</v>
      </c>
      <c r="J35" s="12" t="s">
        <v>75</v>
      </c>
      <c r="K35" s="12" t="s">
        <v>75</v>
      </c>
      <c r="L35" s="12" t="s">
        <v>75</v>
      </c>
      <c r="M35" s="12" t="s">
        <v>75</v>
      </c>
      <c r="N35" s="12" t="s">
        <v>75</v>
      </c>
      <c r="O35" s="30" t="s">
        <v>75</v>
      </c>
      <c r="P35" s="31"/>
      <c r="Q35" s="11" t="s">
        <v>37</v>
      </c>
      <c r="S35" t="str">
        <f t="shared" si="0"/>
        <v>USN</v>
      </c>
    </row>
    <row r="36" spans="5:19">
      <c r="E36" s="16" t="s">
        <v>37</v>
      </c>
      <c r="F36" s="16" t="s">
        <v>37</v>
      </c>
      <c r="G36" s="16" t="s">
        <v>37</v>
      </c>
      <c r="H36" s="17" t="s">
        <v>37</v>
      </c>
      <c r="I36" s="17" t="s">
        <v>37</v>
      </c>
      <c r="J36" s="17" t="s">
        <v>37</v>
      </c>
      <c r="K36" s="17" t="s">
        <v>37</v>
      </c>
      <c r="L36" s="17" t="s">
        <v>37</v>
      </c>
      <c r="M36" s="17" t="s">
        <v>37</v>
      </c>
      <c r="N36" s="17" t="s">
        <v>37</v>
      </c>
      <c r="O36" s="41" t="s">
        <v>37</v>
      </c>
      <c r="P36" s="28"/>
      <c r="Q36" s="17" t="s">
        <v>37</v>
      </c>
      <c r="S36" t="str">
        <f t="shared" si="0"/>
        <v>T V NEHA NAIR</v>
      </c>
    </row>
    <row r="37" spans="5:19" ht="0" hidden="1" customHeight="1">
      <c r="S37">
        <f t="shared" si="0"/>
        <v>0</v>
      </c>
    </row>
    <row r="38" spans="5:19" ht="0.6" customHeight="1">
      <c r="S38">
        <f t="shared" si="0"/>
        <v>0</v>
      </c>
    </row>
    <row r="39" spans="5:19">
      <c r="E39" s="38" t="s">
        <v>35</v>
      </c>
      <c r="F39" s="31"/>
      <c r="G39" s="4" t="s">
        <v>36</v>
      </c>
      <c r="H39" s="6" t="s">
        <v>37</v>
      </c>
      <c r="I39" s="6" t="s">
        <v>37</v>
      </c>
      <c r="J39" s="6" t="s">
        <v>37</v>
      </c>
      <c r="K39" s="6" t="s">
        <v>37</v>
      </c>
      <c r="L39" s="6" t="s">
        <v>37</v>
      </c>
      <c r="M39" s="6" t="s">
        <v>37</v>
      </c>
      <c r="N39" s="6" t="s">
        <v>37</v>
      </c>
      <c r="O39" s="39" t="s">
        <v>37</v>
      </c>
      <c r="P39" s="28"/>
      <c r="Q39" s="6" t="s">
        <v>37</v>
      </c>
      <c r="S39" t="str">
        <f t="shared" si="0"/>
        <v>SGPA</v>
      </c>
    </row>
    <row r="40" spans="5:19" ht="21">
      <c r="E40" s="32" t="s">
        <v>90</v>
      </c>
      <c r="F40" s="31"/>
      <c r="G40" s="8" t="s">
        <v>39</v>
      </c>
      <c r="H40" s="8" t="s">
        <v>19</v>
      </c>
      <c r="I40" s="8" t="s">
        <v>9</v>
      </c>
      <c r="J40" s="8" t="s">
        <v>21</v>
      </c>
      <c r="K40" s="8" t="s">
        <v>11</v>
      </c>
      <c r="L40" s="8" t="s">
        <v>15</v>
      </c>
      <c r="M40" s="8" t="s">
        <v>27</v>
      </c>
      <c r="N40" s="8" t="s">
        <v>5</v>
      </c>
      <c r="O40" s="40" t="s">
        <v>7</v>
      </c>
      <c r="P40" s="31"/>
      <c r="Q40" s="8" t="s">
        <v>40</v>
      </c>
      <c r="S40" t="str">
        <f t="shared" si="0"/>
        <v>CGPA</v>
      </c>
    </row>
    <row r="41" spans="5:19" ht="22.5">
      <c r="E41" s="13" t="s">
        <v>41</v>
      </c>
      <c r="F41" s="13" t="s">
        <v>91</v>
      </c>
      <c r="G41" s="11" t="s">
        <v>43</v>
      </c>
      <c r="H41" s="12" t="s">
        <v>92</v>
      </c>
      <c r="I41" s="12" t="s">
        <v>93</v>
      </c>
      <c r="J41" s="12" t="s">
        <v>94</v>
      </c>
      <c r="K41" s="12" t="s">
        <v>95</v>
      </c>
      <c r="L41" s="12" t="s">
        <v>96</v>
      </c>
      <c r="M41" s="12" t="s">
        <v>97</v>
      </c>
      <c r="N41" s="12" t="s">
        <v>51</v>
      </c>
      <c r="O41" s="30" t="s">
        <v>98</v>
      </c>
      <c r="P41" s="31"/>
      <c r="Q41" s="11" t="s">
        <v>37</v>
      </c>
      <c r="S41" t="str">
        <f t="shared" si="0"/>
        <v>Result: PASS</v>
      </c>
    </row>
    <row r="42" spans="5:19">
      <c r="E42" s="32" t="s">
        <v>99</v>
      </c>
      <c r="F42" s="33"/>
      <c r="G42" s="11" t="s">
        <v>53</v>
      </c>
      <c r="H42" s="12" t="s">
        <v>51</v>
      </c>
      <c r="I42" s="12" t="s">
        <v>51</v>
      </c>
      <c r="J42" s="12" t="s">
        <v>51</v>
      </c>
      <c r="K42" s="12" t="s">
        <v>51</v>
      </c>
      <c r="L42" s="12" t="s">
        <v>51</v>
      </c>
      <c r="M42" s="12" t="s">
        <v>51</v>
      </c>
      <c r="N42" s="12" t="s">
        <v>100</v>
      </c>
      <c r="O42" s="30" t="s">
        <v>51</v>
      </c>
      <c r="P42" s="31"/>
      <c r="Q42" s="11" t="s">
        <v>37</v>
      </c>
      <c r="S42" t="str">
        <f t="shared" si="0"/>
        <v>Class</v>
      </c>
    </row>
    <row r="43" spans="5:19">
      <c r="E43" s="34"/>
      <c r="F43" s="35"/>
      <c r="G43" s="11" t="s">
        <v>55</v>
      </c>
      <c r="H43" s="12" t="s">
        <v>37</v>
      </c>
      <c r="I43" s="12" t="s">
        <v>37</v>
      </c>
      <c r="J43" s="12" t="s">
        <v>37</v>
      </c>
      <c r="K43" s="12" t="s">
        <v>37</v>
      </c>
      <c r="L43" s="12" t="s">
        <v>37</v>
      </c>
      <c r="M43" s="12" t="s">
        <v>37</v>
      </c>
      <c r="N43" s="12" t="s">
        <v>37</v>
      </c>
      <c r="O43" s="30" t="s">
        <v>37</v>
      </c>
      <c r="P43" s="31"/>
      <c r="Q43" s="11">
        <v>0</v>
      </c>
      <c r="S43" t="str">
        <f t="shared" si="0"/>
        <v>Term Grade: AA</v>
      </c>
    </row>
    <row r="44" spans="5:19">
      <c r="E44" s="36"/>
      <c r="F44" s="37"/>
      <c r="G44" s="11" t="s">
        <v>56</v>
      </c>
      <c r="H44" s="12">
        <v>4</v>
      </c>
      <c r="I44" s="12">
        <v>4</v>
      </c>
      <c r="J44" s="12">
        <v>4</v>
      </c>
      <c r="K44" s="12">
        <v>3</v>
      </c>
      <c r="L44" s="12">
        <v>3</v>
      </c>
      <c r="M44" s="12">
        <v>3</v>
      </c>
      <c r="N44" s="12">
        <v>2</v>
      </c>
      <c r="O44" s="30">
        <v>2</v>
      </c>
      <c r="P44" s="31"/>
      <c r="Q44" s="11">
        <v>25</v>
      </c>
      <c r="S44" t="str">
        <f t="shared" si="0"/>
        <v>M.C.No</v>
      </c>
    </row>
    <row r="45" spans="5:19">
      <c r="E45" s="13" t="s">
        <v>57</v>
      </c>
      <c r="F45" s="13">
        <v>7.44</v>
      </c>
      <c r="G45" s="11" t="s">
        <v>58</v>
      </c>
      <c r="H45" s="12">
        <v>7.5</v>
      </c>
      <c r="I45" s="12">
        <v>8</v>
      </c>
      <c r="J45" s="12">
        <v>7</v>
      </c>
      <c r="K45" s="12">
        <v>6</v>
      </c>
      <c r="L45" s="12">
        <v>7</v>
      </c>
      <c r="M45" s="12">
        <v>6</v>
      </c>
      <c r="N45" s="12">
        <v>10</v>
      </c>
      <c r="O45" s="30">
        <v>9.5</v>
      </c>
      <c r="P45" s="31"/>
      <c r="Q45" s="11" t="s">
        <v>37</v>
      </c>
      <c r="S45" t="str">
        <f t="shared" si="0"/>
        <v/>
      </c>
    </row>
    <row r="46" spans="5:19">
      <c r="E46" s="13" t="s">
        <v>59</v>
      </c>
      <c r="F46" s="14">
        <v>7.44</v>
      </c>
      <c r="G46" s="11" t="s">
        <v>60</v>
      </c>
      <c r="H46" s="12">
        <v>30</v>
      </c>
      <c r="I46" s="12">
        <v>32</v>
      </c>
      <c r="J46" s="12">
        <v>28</v>
      </c>
      <c r="K46" s="12">
        <v>18</v>
      </c>
      <c r="L46" s="12">
        <v>21</v>
      </c>
      <c r="M46" s="12">
        <v>18</v>
      </c>
      <c r="N46" s="12">
        <v>20</v>
      </c>
      <c r="O46" s="30">
        <v>19</v>
      </c>
      <c r="P46" s="31"/>
      <c r="Q46" s="11">
        <v>186</v>
      </c>
      <c r="S46">
        <f t="shared" si="0"/>
        <v>0</v>
      </c>
    </row>
    <row r="47" spans="5:19">
      <c r="E47" s="32" t="s">
        <v>61</v>
      </c>
      <c r="F47" s="31"/>
      <c r="G47" s="11" t="s">
        <v>40</v>
      </c>
      <c r="H47" s="12">
        <v>72</v>
      </c>
      <c r="I47" s="12">
        <v>78</v>
      </c>
      <c r="J47" s="12">
        <v>66</v>
      </c>
      <c r="K47" s="12">
        <v>55</v>
      </c>
      <c r="L47" s="12">
        <v>66</v>
      </c>
      <c r="M47" s="12">
        <v>59</v>
      </c>
      <c r="N47" s="12">
        <v>50</v>
      </c>
      <c r="O47" s="30">
        <v>46</v>
      </c>
      <c r="P47" s="31"/>
      <c r="Q47" s="11">
        <v>492</v>
      </c>
      <c r="S47">
        <f t="shared" si="0"/>
        <v>0</v>
      </c>
    </row>
    <row r="48" spans="5:19">
      <c r="E48" s="13" t="s">
        <v>62</v>
      </c>
      <c r="F48" s="13"/>
      <c r="G48" s="11" t="s">
        <v>63</v>
      </c>
      <c r="H48" s="12">
        <v>100</v>
      </c>
      <c r="I48" s="12">
        <v>100</v>
      </c>
      <c r="J48" s="12">
        <v>100</v>
      </c>
      <c r="K48" s="12">
        <v>100</v>
      </c>
      <c r="L48" s="12">
        <v>100</v>
      </c>
      <c r="M48" s="12">
        <v>100</v>
      </c>
      <c r="N48" s="12">
        <v>50</v>
      </c>
      <c r="O48" s="30">
        <v>50</v>
      </c>
      <c r="P48" s="31"/>
      <c r="Q48" s="11">
        <v>700</v>
      </c>
      <c r="S48" t="str">
        <f t="shared" si="0"/>
        <v>Dr. B.B. Hegde First Grade College, Kundapura, Udupi.</v>
      </c>
    </row>
    <row r="49" spans="5:19">
      <c r="E49" s="32" t="s">
        <v>101</v>
      </c>
      <c r="F49" s="31"/>
      <c r="G49" s="11" t="s">
        <v>65</v>
      </c>
      <c r="H49" s="12" t="s">
        <v>68</v>
      </c>
      <c r="I49" s="12" t="s">
        <v>102</v>
      </c>
      <c r="J49" s="12" t="s">
        <v>66</v>
      </c>
      <c r="K49" s="12" t="s">
        <v>103</v>
      </c>
      <c r="L49" s="12" t="s">
        <v>66</v>
      </c>
      <c r="M49" s="12" t="s">
        <v>103</v>
      </c>
      <c r="N49" s="12" t="s">
        <v>88</v>
      </c>
      <c r="O49" s="30" t="s">
        <v>71</v>
      </c>
      <c r="P49" s="31"/>
      <c r="Q49" s="11" t="s">
        <v>37</v>
      </c>
      <c r="S49" t="str">
        <f t="shared" si="0"/>
        <v>00004</v>
      </c>
    </row>
    <row r="50" spans="5:19">
      <c r="E50" s="15" t="s">
        <v>72</v>
      </c>
      <c r="F50" s="15" t="s">
        <v>104</v>
      </c>
      <c r="G50" s="11" t="s">
        <v>74</v>
      </c>
      <c r="H50" s="12" t="s">
        <v>75</v>
      </c>
      <c r="I50" s="12" t="s">
        <v>75</v>
      </c>
      <c r="J50" s="12" t="s">
        <v>75</v>
      </c>
      <c r="K50" s="12" t="s">
        <v>75</v>
      </c>
      <c r="L50" s="12" t="s">
        <v>75</v>
      </c>
      <c r="M50" s="12" t="s">
        <v>75</v>
      </c>
      <c r="N50" s="12" t="s">
        <v>75</v>
      </c>
      <c r="O50" s="30" t="s">
        <v>75</v>
      </c>
      <c r="P50" s="31"/>
      <c r="Q50" s="11" t="s">
        <v>37</v>
      </c>
      <c r="S50" t="str">
        <f t="shared" si="0"/>
        <v>USN</v>
      </c>
    </row>
    <row r="51" spans="5:19">
      <c r="E51" s="16" t="s">
        <v>37</v>
      </c>
      <c r="F51" s="16" t="s">
        <v>37</v>
      </c>
      <c r="G51" s="16" t="s">
        <v>37</v>
      </c>
      <c r="H51" s="17" t="s">
        <v>37</v>
      </c>
      <c r="I51" s="17" t="s">
        <v>37</v>
      </c>
      <c r="J51" s="17" t="s">
        <v>37</v>
      </c>
      <c r="K51" s="17" t="s">
        <v>37</v>
      </c>
      <c r="L51" s="17" t="s">
        <v>37</v>
      </c>
      <c r="M51" s="17" t="s">
        <v>37</v>
      </c>
      <c r="N51" s="17" t="s">
        <v>37</v>
      </c>
      <c r="O51" s="41" t="s">
        <v>37</v>
      </c>
      <c r="P51" s="28"/>
      <c r="Q51" s="17" t="s">
        <v>37</v>
      </c>
      <c r="S51" t="str">
        <f t="shared" si="0"/>
        <v>SHAMANTH J H</v>
      </c>
    </row>
    <row r="52" spans="5:19" ht="0" hidden="1" customHeight="1">
      <c r="S52">
        <f t="shared" si="0"/>
        <v>0</v>
      </c>
    </row>
    <row r="53" spans="5:19" ht="0.6" customHeight="1">
      <c r="S53">
        <f t="shared" si="0"/>
        <v>0</v>
      </c>
    </row>
    <row r="54" spans="5:19">
      <c r="E54" s="38" t="s">
        <v>35</v>
      </c>
      <c r="F54" s="31"/>
      <c r="G54" s="4" t="s">
        <v>36</v>
      </c>
      <c r="H54" s="6" t="s">
        <v>37</v>
      </c>
      <c r="I54" s="6" t="s">
        <v>37</v>
      </c>
      <c r="J54" s="6" t="s">
        <v>37</v>
      </c>
      <c r="K54" s="6" t="s">
        <v>37</v>
      </c>
      <c r="L54" s="6" t="s">
        <v>37</v>
      </c>
      <c r="M54" s="6" t="s">
        <v>37</v>
      </c>
      <c r="N54" s="6" t="s">
        <v>37</v>
      </c>
      <c r="O54" s="39" t="s">
        <v>37</v>
      </c>
      <c r="P54" s="28"/>
      <c r="Q54" s="6" t="s">
        <v>37</v>
      </c>
      <c r="S54" t="str">
        <f t="shared" si="0"/>
        <v>SGPA</v>
      </c>
    </row>
    <row r="55" spans="5:19" ht="21">
      <c r="E55" s="32" t="s">
        <v>105</v>
      </c>
      <c r="F55" s="31"/>
      <c r="G55" s="8" t="s">
        <v>39</v>
      </c>
      <c r="H55" s="8" t="s">
        <v>19</v>
      </c>
      <c r="I55" s="8" t="s">
        <v>9</v>
      </c>
      <c r="J55" s="8" t="s">
        <v>21</v>
      </c>
      <c r="K55" s="8" t="s">
        <v>11</v>
      </c>
      <c r="L55" s="8" t="s">
        <v>17</v>
      </c>
      <c r="M55" s="8" t="s">
        <v>27</v>
      </c>
      <c r="N55" s="8" t="s">
        <v>5</v>
      </c>
      <c r="O55" s="40" t="s">
        <v>7</v>
      </c>
      <c r="P55" s="31"/>
      <c r="Q55" s="8" t="s">
        <v>40</v>
      </c>
      <c r="S55" t="str">
        <f t="shared" si="0"/>
        <v>CGPA</v>
      </c>
    </row>
    <row r="56" spans="5:19" ht="22.5">
      <c r="E56" s="13" t="s">
        <v>41</v>
      </c>
      <c r="F56" s="13" t="s">
        <v>106</v>
      </c>
      <c r="G56" s="11" t="s">
        <v>43</v>
      </c>
      <c r="H56" s="12" t="s">
        <v>107</v>
      </c>
      <c r="I56" s="12" t="s">
        <v>78</v>
      </c>
      <c r="J56" s="12" t="s">
        <v>108</v>
      </c>
      <c r="K56" s="12" t="s">
        <v>109</v>
      </c>
      <c r="L56" s="12" t="s">
        <v>110</v>
      </c>
      <c r="M56" s="12" t="s">
        <v>111</v>
      </c>
      <c r="N56" s="12" t="s">
        <v>51</v>
      </c>
      <c r="O56" s="30" t="s">
        <v>112</v>
      </c>
      <c r="P56" s="31"/>
      <c r="Q56" s="11" t="s">
        <v>37</v>
      </c>
      <c r="S56" t="str">
        <f t="shared" si="0"/>
        <v>Result: PASS</v>
      </c>
    </row>
    <row r="57" spans="5:19">
      <c r="E57" s="32" t="s">
        <v>113</v>
      </c>
      <c r="F57" s="33"/>
      <c r="G57" s="11" t="s">
        <v>53</v>
      </c>
      <c r="H57" s="12" t="s">
        <v>51</v>
      </c>
      <c r="I57" s="12" t="s">
        <v>51</v>
      </c>
      <c r="J57" s="12" t="s">
        <v>51</v>
      </c>
      <c r="K57" s="12" t="s">
        <v>51</v>
      </c>
      <c r="L57" s="12" t="s">
        <v>51</v>
      </c>
      <c r="M57" s="12" t="s">
        <v>51</v>
      </c>
      <c r="N57" s="12" t="s">
        <v>100</v>
      </c>
      <c r="O57" s="30" t="s">
        <v>51</v>
      </c>
      <c r="P57" s="31"/>
      <c r="Q57" s="11" t="s">
        <v>37</v>
      </c>
      <c r="S57" t="str">
        <f t="shared" si="0"/>
        <v>Class</v>
      </c>
    </row>
    <row r="58" spans="5:19">
      <c r="E58" s="34"/>
      <c r="F58" s="35"/>
      <c r="G58" s="11" t="s">
        <v>55</v>
      </c>
      <c r="H58" s="12" t="s">
        <v>37</v>
      </c>
      <c r="I58" s="12" t="s">
        <v>37</v>
      </c>
      <c r="J58" s="12" t="s">
        <v>37</v>
      </c>
      <c r="K58" s="12" t="s">
        <v>37</v>
      </c>
      <c r="L58" s="12" t="s">
        <v>37</v>
      </c>
      <c r="M58" s="12" t="s">
        <v>37</v>
      </c>
      <c r="N58" s="12" t="s">
        <v>37</v>
      </c>
      <c r="O58" s="30" t="s">
        <v>37</v>
      </c>
      <c r="P58" s="31"/>
      <c r="Q58" s="11">
        <v>0</v>
      </c>
      <c r="S58" t="str">
        <f t="shared" si="0"/>
        <v>Term Grade: AA+</v>
      </c>
    </row>
    <row r="59" spans="5:19">
      <c r="E59" s="36"/>
      <c r="F59" s="37"/>
      <c r="G59" s="11" t="s">
        <v>56</v>
      </c>
      <c r="H59" s="12">
        <v>4</v>
      </c>
      <c r="I59" s="12">
        <v>4</v>
      </c>
      <c r="J59" s="12">
        <v>4</v>
      </c>
      <c r="K59" s="12">
        <v>3</v>
      </c>
      <c r="L59" s="12">
        <v>3</v>
      </c>
      <c r="M59" s="12">
        <v>3</v>
      </c>
      <c r="N59" s="12">
        <v>2</v>
      </c>
      <c r="O59" s="30">
        <v>2</v>
      </c>
      <c r="P59" s="31"/>
      <c r="Q59" s="11">
        <v>25</v>
      </c>
      <c r="S59" t="str">
        <f t="shared" si="0"/>
        <v>M.C.No</v>
      </c>
    </row>
    <row r="60" spans="5:19">
      <c r="E60" s="13" t="s">
        <v>57</v>
      </c>
      <c r="F60" s="13">
        <v>7.52</v>
      </c>
      <c r="G60" s="11" t="s">
        <v>58</v>
      </c>
      <c r="H60" s="12">
        <v>7</v>
      </c>
      <c r="I60" s="12">
        <v>9</v>
      </c>
      <c r="J60" s="12">
        <v>7</v>
      </c>
      <c r="K60" s="12">
        <v>6</v>
      </c>
      <c r="L60" s="12">
        <v>8</v>
      </c>
      <c r="M60" s="12">
        <v>6</v>
      </c>
      <c r="N60" s="12">
        <v>10</v>
      </c>
      <c r="O60" s="30">
        <v>8</v>
      </c>
      <c r="P60" s="31"/>
      <c r="Q60" s="11" t="s">
        <v>37</v>
      </c>
      <c r="S60" t="str">
        <f t="shared" si="0"/>
        <v/>
      </c>
    </row>
    <row r="61" spans="5:19">
      <c r="E61" s="13" t="s">
        <v>59</v>
      </c>
      <c r="F61" s="14">
        <v>7.52</v>
      </c>
      <c r="G61" s="11" t="s">
        <v>60</v>
      </c>
      <c r="H61" s="12">
        <v>28</v>
      </c>
      <c r="I61" s="12">
        <v>36</v>
      </c>
      <c r="J61" s="12">
        <v>28</v>
      </c>
      <c r="K61" s="12">
        <v>18</v>
      </c>
      <c r="L61" s="12">
        <v>24</v>
      </c>
      <c r="M61" s="12">
        <v>18</v>
      </c>
      <c r="N61" s="12">
        <v>20</v>
      </c>
      <c r="O61" s="30">
        <v>16</v>
      </c>
      <c r="P61" s="31"/>
      <c r="Q61" s="11">
        <v>188</v>
      </c>
      <c r="S61">
        <f t="shared" si="0"/>
        <v>0</v>
      </c>
    </row>
    <row r="62" spans="5:19">
      <c r="E62" s="32" t="s">
        <v>61</v>
      </c>
      <c r="F62" s="31"/>
      <c r="G62" s="11" t="s">
        <v>40</v>
      </c>
      <c r="H62" s="12">
        <v>69</v>
      </c>
      <c r="I62" s="12">
        <v>86</v>
      </c>
      <c r="J62" s="12">
        <v>67</v>
      </c>
      <c r="K62" s="12">
        <v>58</v>
      </c>
      <c r="L62" s="12">
        <v>78</v>
      </c>
      <c r="M62" s="12">
        <v>57</v>
      </c>
      <c r="N62" s="12">
        <v>50</v>
      </c>
      <c r="O62" s="30">
        <v>38</v>
      </c>
      <c r="P62" s="31"/>
      <c r="Q62" s="11">
        <v>503</v>
      </c>
      <c r="S62" t="str">
        <f t="shared" si="0"/>
        <v>Dr. B.B. Hegde First Grade College, Kundapura, Udupi.</v>
      </c>
    </row>
    <row r="63" spans="5:19">
      <c r="E63" s="13" t="s">
        <v>62</v>
      </c>
      <c r="F63" s="13"/>
      <c r="G63" s="11" t="s">
        <v>63</v>
      </c>
      <c r="H63" s="12">
        <v>100</v>
      </c>
      <c r="I63" s="12">
        <v>100</v>
      </c>
      <c r="J63" s="12">
        <v>100</v>
      </c>
      <c r="K63" s="12">
        <v>100</v>
      </c>
      <c r="L63" s="12">
        <v>100</v>
      </c>
      <c r="M63" s="12">
        <v>100</v>
      </c>
      <c r="N63" s="12">
        <v>50</v>
      </c>
      <c r="O63" s="30">
        <v>50</v>
      </c>
      <c r="P63" s="31"/>
      <c r="Q63" s="11">
        <v>700</v>
      </c>
      <c r="S63" t="str">
        <f t="shared" si="0"/>
        <v>00005</v>
      </c>
    </row>
    <row r="64" spans="5:19">
      <c r="E64" s="32" t="s">
        <v>64</v>
      </c>
      <c r="F64" s="31"/>
      <c r="G64" s="11" t="s">
        <v>65</v>
      </c>
      <c r="H64" s="12" t="s">
        <v>66</v>
      </c>
      <c r="I64" s="12" t="s">
        <v>67</v>
      </c>
      <c r="J64" s="12" t="s">
        <v>66</v>
      </c>
      <c r="K64" s="12" t="s">
        <v>103</v>
      </c>
      <c r="L64" s="12" t="s">
        <v>102</v>
      </c>
      <c r="M64" s="12" t="s">
        <v>103</v>
      </c>
      <c r="N64" s="12" t="s">
        <v>88</v>
      </c>
      <c r="O64" s="30" t="s">
        <v>102</v>
      </c>
      <c r="P64" s="31"/>
      <c r="Q64" s="11" t="s">
        <v>37</v>
      </c>
      <c r="S64" t="str">
        <f t="shared" si="0"/>
        <v>USN</v>
      </c>
    </row>
    <row r="65" spans="5:19">
      <c r="E65" s="15" t="s">
        <v>72</v>
      </c>
      <c r="F65" s="15" t="s">
        <v>114</v>
      </c>
      <c r="G65" s="11" t="s">
        <v>74</v>
      </c>
      <c r="H65" s="12" t="s">
        <v>75</v>
      </c>
      <c r="I65" s="12" t="s">
        <v>75</v>
      </c>
      <c r="J65" s="12" t="s">
        <v>75</v>
      </c>
      <c r="K65" s="12" t="s">
        <v>75</v>
      </c>
      <c r="L65" s="12" t="s">
        <v>75</v>
      </c>
      <c r="M65" s="12" t="s">
        <v>75</v>
      </c>
      <c r="N65" s="12" t="s">
        <v>75</v>
      </c>
      <c r="O65" s="30" t="s">
        <v>75</v>
      </c>
      <c r="P65" s="31"/>
      <c r="Q65" s="11" t="s">
        <v>37</v>
      </c>
      <c r="S65" t="str">
        <f t="shared" si="0"/>
        <v>SAROJA</v>
      </c>
    </row>
    <row r="66" spans="5:19">
      <c r="E66" s="16" t="s">
        <v>37</v>
      </c>
      <c r="F66" s="16" t="s">
        <v>37</v>
      </c>
      <c r="G66" s="16" t="s">
        <v>37</v>
      </c>
      <c r="H66" s="17" t="s">
        <v>37</v>
      </c>
      <c r="I66" s="17" t="s">
        <v>37</v>
      </c>
      <c r="J66" s="17" t="s">
        <v>37</v>
      </c>
      <c r="K66" s="17" t="s">
        <v>37</v>
      </c>
      <c r="L66" s="17" t="s">
        <v>37</v>
      </c>
      <c r="M66" s="17" t="s">
        <v>37</v>
      </c>
      <c r="N66" s="17" t="s">
        <v>37</v>
      </c>
      <c r="O66" s="41" t="s">
        <v>37</v>
      </c>
      <c r="P66" s="28"/>
      <c r="Q66" s="17" t="s">
        <v>37</v>
      </c>
      <c r="S66">
        <f t="shared" si="0"/>
        <v>0</v>
      </c>
    </row>
    <row r="67" spans="5:19" ht="0.6" customHeight="1">
      <c r="S67">
        <f t="shared" si="0"/>
        <v>0</v>
      </c>
    </row>
    <row r="68" spans="5:19">
      <c r="E68" s="38" t="s">
        <v>35</v>
      </c>
      <c r="F68" s="31"/>
      <c r="G68" s="4" t="s">
        <v>36</v>
      </c>
      <c r="H68" s="6" t="s">
        <v>37</v>
      </c>
      <c r="I68" s="6" t="s">
        <v>37</v>
      </c>
      <c r="J68" s="6" t="s">
        <v>37</v>
      </c>
      <c r="K68" s="6" t="s">
        <v>37</v>
      </c>
      <c r="L68" s="6" t="s">
        <v>37</v>
      </c>
      <c r="M68" s="6" t="s">
        <v>37</v>
      </c>
      <c r="N68" s="6" t="s">
        <v>37</v>
      </c>
      <c r="O68" s="39" t="s">
        <v>37</v>
      </c>
      <c r="P68" s="28"/>
      <c r="Q68" s="6" t="s">
        <v>37</v>
      </c>
      <c r="S68" t="str">
        <f t="shared" si="0"/>
        <v>SGPA</v>
      </c>
    </row>
    <row r="69" spans="5:19" ht="21">
      <c r="E69" s="32" t="s">
        <v>115</v>
      </c>
      <c r="F69" s="31"/>
      <c r="G69" s="8" t="s">
        <v>39</v>
      </c>
      <c r="H69" s="8" t="s">
        <v>19</v>
      </c>
      <c r="I69" s="8" t="s">
        <v>9</v>
      </c>
      <c r="J69" s="8" t="s">
        <v>21</v>
      </c>
      <c r="K69" s="8" t="s">
        <v>11</v>
      </c>
      <c r="L69" s="8" t="s">
        <v>17</v>
      </c>
      <c r="M69" s="8" t="s">
        <v>27</v>
      </c>
      <c r="N69" s="8" t="s">
        <v>7</v>
      </c>
      <c r="O69" s="40" t="s">
        <v>33</v>
      </c>
      <c r="P69" s="31"/>
      <c r="Q69" s="8" t="s">
        <v>40</v>
      </c>
      <c r="S69" t="str">
        <f t="shared" si="0"/>
        <v>CGPA</v>
      </c>
    </row>
    <row r="70" spans="5:19" ht="22.5">
      <c r="E70" s="13" t="s">
        <v>41</v>
      </c>
      <c r="F70" s="13" t="s">
        <v>116</v>
      </c>
      <c r="G70" s="11" t="s">
        <v>43</v>
      </c>
      <c r="H70" s="12" t="s">
        <v>117</v>
      </c>
      <c r="I70" s="12" t="s">
        <v>118</v>
      </c>
      <c r="J70" s="12" t="s">
        <v>119</v>
      </c>
      <c r="K70" s="12" t="s">
        <v>120</v>
      </c>
      <c r="L70" s="12" t="s">
        <v>121</v>
      </c>
      <c r="M70" s="12" t="s">
        <v>122</v>
      </c>
      <c r="N70" s="12" t="s">
        <v>123</v>
      </c>
      <c r="O70" s="30" t="s">
        <v>51</v>
      </c>
      <c r="P70" s="31"/>
      <c r="Q70" s="11" t="s">
        <v>37</v>
      </c>
      <c r="S70" t="str">
        <f t="shared" si="0"/>
        <v>Result: PASS</v>
      </c>
    </row>
    <row r="71" spans="5:19">
      <c r="E71" s="32" t="s">
        <v>124</v>
      </c>
      <c r="F71" s="33"/>
      <c r="G71" s="11" t="s">
        <v>53</v>
      </c>
      <c r="H71" s="12" t="s">
        <v>51</v>
      </c>
      <c r="I71" s="12" t="s">
        <v>51</v>
      </c>
      <c r="J71" s="12" t="s">
        <v>51</v>
      </c>
      <c r="K71" s="12" t="s">
        <v>51</v>
      </c>
      <c r="L71" s="12" t="s">
        <v>51</v>
      </c>
      <c r="M71" s="12" t="s">
        <v>51</v>
      </c>
      <c r="N71" s="12" t="s">
        <v>51</v>
      </c>
      <c r="O71" s="30" t="s">
        <v>125</v>
      </c>
      <c r="P71" s="31"/>
      <c r="Q71" s="11" t="s">
        <v>37</v>
      </c>
      <c r="S71" t="str">
        <f t="shared" si="0"/>
        <v>Class</v>
      </c>
    </row>
    <row r="72" spans="5:19">
      <c r="E72" s="34"/>
      <c r="F72" s="35"/>
      <c r="G72" s="11" t="s">
        <v>55</v>
      </c>
      <c r="H72" s="12" t="s">
        <v>37</v>
      </c>
      <c r="I72" s="12" t="s">
        <v>37</v>
      </c>
      <c r="J72" s="12" t="s">
        <v>37</v>
      </c>
      <c r="K72" s="12">
        <v>3</v>
      </c>
      <c r="L72" s="12" t="s">
        <v>37</v>
      </c>
      <c r="M72" s="12" t="s">
        <v>37</v>
      </c>
      <c r="N72" s="12" t="s">
        <v>37</v>
      </c>
      <c r="O72" s="30" t="s">
        <v>37</v>
      </c>
      <c r="P72" s="31"/>
      <c r="Q72" s="11">
        <v>3</v>
      </c>
      <c r="S72" t="str">
        <f t="shared" si="0"/>
        <v>Term Grade: AB+</v>
      </c>
    </row>
    <row r="73" spans="5:19">
      <c r="E73" s="36"/>
      <c r="F73" s="37"/>
      <c r="G73" s="11" t="s">
        <v>56</v>
      </c>
      <c r="H73" s="12">
        <v>4</v>
      </c>
      <c r="I73" s="12">
        <v>4</v>
      </c>
      <c r="J73" s="12">
        <v>4</v>
      </c>
      <c r="K73" s="12">
        <v>3</v>
      </c>
      <c r="L73" s="12">
        <v>3</v>
      </c>
      <c r="M73" s="12">
        <v>3</v>
      </c>
      <c r="N73" s="12">
        <v>2</v>
      </c>
      <c r="O73" s="30">
        <v>2</v>
      </c>
      <c r="P73" s="31"/>
      <c r="Q73" s="11">
        <v>25</v>
      </c>
      <c r="S73" t="str">
        <f t="shared" si="0"/>
        <v>M.C.No</v>
      </c>
    </row>
    <row r="74" spans="5:19">
      <c r="E74" s="13" t="s">
        <v>57</v>
      </c>
      <c r="F74" s="13">
        <v>6.72</v>
      </c>
      <c r="G74" s="11" t="s">
        <v>58</v>
      </c>
      <c r="H74" s="12">
        <v>6</v>
      </c>
      <c r="I74" s="12">
        <v>8</v>
      </c>
      <c r="J74" s="12">
        <v>6</v>
      </c>
      <c r="K74" s="12">
        <v>5</v>
      </c>
      <c r="L74" s="12">
        <v>7</v>
      </c>
      <c r="M74" s="12">
        <v>5</v>
      </c>
      <c r="N74" s="12">
        <v>9</v>
      </c>
      <c r="O74" s="30">
        <v>9.5</v>
      </c>
      <c r="P74" s="31"/>
      <c r="Q74" s="11" t="s">
        <v>37</v>
      </c>
      <c r="S74" t="str">
        <f t="shared" si="0"/>
        <v/>
      </c>
    </row>
    <row r="75" spans="5:19">
      <c r="E75" s="13" t="s">
        <v>59</v>
      </c>
      <c r="F75" s="14">
        <v>6.72</v>
      </c>
      <c r="G75" s="11" t="s">
        <v>60</v>
      </c>
      <c r="H75" s="12">
        <v>24</v>
      </c>
      <c r="I75" s="12">
        <v>32</v>
      </c>
      <c r="J75" s="12">
        <v>24</v>
      </c>
      <c r="K75" s="12">
        <v>15</v>
      </c>
      <c r="L75" s="12">
        <v>21</v>
      </c>
      <c r="M75" s="12">
        <v>15</v>
      </c>
      <c r="N75" s="12">
        <v>18</v>
      </c>
      <c r="O75" s="30">
        <v>19</v>
      </c>
      <c r="P75" s="31"/>
      <c r="Q75" s="11">
        <v>168</v>
      </c>
      <c r="S75">
        <f t="shared" si="0"/>
        <v>0</v>
      </c>
    </row>
    <row r="76" spans="5:19">
      <c r="E76" s="32" t="s">
        <v>61</v>
      </c>
      <c r="F76" s="31"/>
      <c r="G76" s="11" t="s">
        <v>40</v>
      </c>
      <c r="H76" s="12">
        <v>59</v>
      </c>
      <c r="I76" s="12">
        <v>79</v>
      </c>
      <c r="J76" s="12">
        <v>58</v>
      </c>
      <c r="K76" s="12">
        <v>47</v>
      </c>
      <c r="L76" s="12">
        <v>65</v>
      </c>
      <c r="M76" s="12">
        <v>46</v>
      </c>
      <c r="N76" s="12">
        <v>44</v>
      </c>
      <c r="O76" s="30">
        <v>46</v>
      </c>
      <c r="P76" s="31"/>
      <c r="Q76" s="11">
        <v>444</v>
      </c>
      <c r="S76">
        <f t="shared" ref="S76:S139" si="1">$E82</f>
        <v>0</v>
      </c>
    </row>
    <row r="77" spans="5:19">
      <c r="E77" s="13" t="s">
        <v>62</v>
      </c>
      <c r="F77" s="13"/>
      <c r="G77" s="11" t="s">
        <v>63</v>
      </c>
      <c r="H77" s="12">
        <v>100</v>
      </c>
      <c r="I77" s="12">
        <v>100</v>
      </c>
      <c r="J77" s="12">
        <v>100</v>
      </c>
      <c r="K77" s="12">
        <v>100</v>
      </c>
      <c r="L77" s="12">
        <v>100</v>
      </c>
      <c r="M77" s="12">
        <v>100</v>
      </c>
      <c r="N77" s="12">
        <v>50</v>
      </c>
      <c r="O77" s="30">
        <v>50</v>
      </c>
      <c r="P77" s="31"/>
      <c r="Q77" s="11">
        <v>700</v>
      </c>
      <c r="S77" t="str">
        <f t="shared" si="1"/>
        <v>Dr. B.B. Hegde First Grade College, Kundapura, Udupi.</v>
      </c>
    </row>
    <row r="78" spans="5:19">
      <c r="E78" s="32" t="s">
        <v>126</v>
      </c>
      <c r="F78" s="31"/>
      <c r="G78" s="11" t="s">
        <v>65</v>
      </c>
      <c r="H78" s="12" t="s">
        <v>103</v>
      </c>
      <c r="I78" s="12" t="s">
        <v>102</v>
      </c>
      <c r="J78" s="12" t="s">
        <v>103</v>
      </c>
      <c r="K78" s="12" t="s">
        <v>127</v>
      </c>
      <c r="L78" s="12" t="s">
        <v>66</v>
      </c>
      <c r="M78" s="12" t="s">
        <v>127</v>
      </c>
      <c r="N78" s="12" t="s">
        <v>67</v>
      </c>
      <c r="O78" s="30" t="s">
        <v>71</v>
      </c>
      <c r="P78" s="31"/>
      <c r="Q78" s="11" t="s">
        <v>37</v>
      </c>
      <c r="S78" t="str">
        <f t="shared" si="1"/>
        <v>00006</v>
      </c>
    </row>
    <row r="79" spans="5:19">
      <c r="E79" s="15" t="s">
        <v>72</v>
      </c>
      <c r="F79" s="15" t="s">
        <v>128</v>
      </c>
      <c r="G79" s="11" t="s">
        <v>74</v>
      </c>
      <c r="H79" s="12" t="s">
        <v>75</v>
      </c>
      <c r="I79" s="12" t="s">
        <v>75</v>
      </c>
      <c r="J79" s="12" t="s">
        <v>75</v>
      </c>
      <c r="K79" s="12" t="s">
        <v>75</v>
      </c>
      <c r="L79" s="12" t="s">
        <v>75</v>
      </c>
      <c r="M79" s="12" t="s">
        <v>75</v>
      </c>
      <c r="N79" s="12" t="s">
        <v>75</v>
      </c>
      <c r="O79" s="30" t="s">
        <v>75</v>
      </c>
      <c r="P79" s="31"/>
      <c r="Q79" s="11" t="s">
        <v>37</v>
      </c>
      <c r="S79" t="str">
        <f t="shared" si="1"/>
        <v>USN</v>
      </c>
    </row>
    <row r="80" spans="5:19">
      <c r="E80" s="16" t="s">
        <v>37</v>
      </c>
      <c r="F80" s="16" t="s">
        <v>37</v>
      </c>
      <c r="G80" s="16" t="s">
        <v>37</v>
      </c>
      <c r="H80" s="17" t="s">
        <v>37</v>
      </c>
      <c r="I80" s="17" t="s">
        <v>37</v>
      </c>
      <c r="J80" s="17" t="s">
        <v>37</v>
      </c>
      <c r="K80" s="17" t="s">
        <v>37</v>
      </c>
      <c r="L80" s="17" t="s">
        <v>37</v>
      </c>
      <c r="M80" s="17" t="s">
        <v>37</v>
      </c>
      <c r="N80" s="17" t="s">
        <v>37</v>
      </c>
      <c r="O80" s="41" t="s">
        <v>37</v>
      </c>
      <c r="P80" s="28"/>
      <c r="Q80" s="17" t="s">
        <v>37</v>
      </c>
      <c r="S80" t="str">
        <f t="shared" si="1"/>
        <v>PRAVEENA</v>
      </c>
    </row>
    <row r="81" spans="5:19" ht="0" hidden="1" customHeight="1">
      <c r="S81">
        <f t="shared" si="1"/>
        <v>0</v>
      </c>
    </row>
    <row r="82" spans="5:19" ht="0.6" customHeight="1">
      <c r="S82">
        <f t="shared" si="1"/>
        <v>0</v>
      </c>
    </row>
    <row r="83" spans="5:19">
      <c r="E83" s="38" t="s">
        <v>35</v>
      </c>
      <c r="F83" s="31"/>
      <c r="G83" s="4" t="s">
        <v>36</v>
      </c>
      <c r="H83" s="6" t="s">
        <v>37</v>
      </c>
      <c r="I83" s="6" t="s">
        <v>37</v>
      </c>
      <c r="J83" s="6" t="s">
        <v>37</v>
      </c>
      <c r="K83" s="6" t="s">
        <v>37</v>
      </c>
      <c r="L83" s="6" t="s">
        <v>37</v>
      </c>
      <c r="M83" s="6" t="s">
        <v>37</v>
      </c>
      <c r="N83" s="6" t="s">
        <v>37</v>
      </c>
      <c r="O83" s="39" t="s">
        <v>37</v>
      </c>
      <c r="P83" s="28"/>
      <c r="Q83" s="6" t="s">
        <v>37</v>
      </c>
      <c r="S83" t="str">
        <f t="shared" si="1"/>
        <v>SGPA</v>
      </c>
    </row>
    <row r="84" spans="5:19" ht="21">
      <c r="E84" s="32" t="s">
        <v>129</v>
      </c>
      <c r="F84" s="31"/>
      <c r="G84" s="8" t="s">
        <v>39</v>
      </c>
      <c r="H84" s="8" t="s">
        <v>19</v>
      </c>
      <c r="I84" s="8" t="s">
        <v>9</v>
      </c>
      <c r="J84" s="8" t="s">
        <v>21</v>
      </c>
      <c r="K84" s="8" t="s">
        <v>11</v>
      </c>
      <c r="L84" s="8" t="s">
        <v>17</v>
      </c>
      <c r="M84" s="8" t="s">
        <v>27</v>
      </c>
      <c r="N84" s="8" t="s">
        <v>7</v>
      </c>
      <c r="O84" s="40" t="s">
        <v>23</v>
      </c>
      <c r="P84" s="31"/>
      <c r="Q84" s="8" t="s">
        <v>40</v>
      </c>
      <c r="S84" t="str">
        <f t="shared" si="1"/>
        <v>CGPA</v>
      </c>
    </row>
    <row r="85" spans="5:19" ht="22.5">
      <c r="E85" s="13" t="s">
        <v>41</v>
      </c>
      <c r="F85" s="13" t="s">
        <v>130</v>
      </c>
      <c r="G85" s="11" t="s">
        <v>43</v>
      </c>
      <c r="H85" s="12" t="s">
        <v>131</v>
      </c>
      <c r="I85" s="12" t="s">
        <v>132</v>
      </c>
      <c r="J85" s="12" t="s">
        <v>109</v>
      </c>
      <c r="K85" s="12" t="s">
        <v>133</v>
      </c>
      <c r="L85" s="12" t="s">
        <v>134</v>
      </c>
      <c r="M85" s="12" t="s">
        <v>135</v>
      </c>
      <c r="N85" s="12" t="s">
        <v>136</v>
      </c>
      <c r="O85" s="30" t="s">
        <v>51</v>
      </c>
      <c r="P85" s="31"/>
      <c r="Q85" s="11" t="s">
        <v>37</v>
      </c>
      <c r="S85" t="str">
        <f t="shared" si="1"/>
        <v>Result: PASS</v>
      </c>
    </row>
    <row r="86" spans="5:19">
      <c r="E86" s="32" t="s">
        <v>137</v>
      </c>
      <c r="F86" s="33"/>
      <c r="G86" s="11" t="s">
        <v>53</v>
      </c>
      <c r="H86" s="12" t="s">
        <v>51</v>
      </c>
      <c r="I86" s="12" t="s">
        <v>51</v>
      </c>
      <c r="J86" s="12" t="s">
        <v>51</v>
      </c>
      <c r="K86" s="12" t="s">
        <v>51</v>
      </c>
      <c r="L86" s="12" t="s">
        <v>51</v>
      </c>
      <c r="M86" s="12" t="s">
        <v>51</v>
      </c>
      <c r="N86" s="12" t="s">
        <v>51</v>
      </c>
      <c r="O86" s="30" t="s">
        <v>54</v>
      </c>
      <c r="P86" s="31"/>
      <c r="Q86" s="11" t="s">
        <v>37</v>
      </c>
      <c r="S86" t="str">
        <f t="shared" si="1"/>
        <v>Class</v>
      </c>
    </row>
    <row r="87" spans="5:19">
      <c r="E87" s="34"/>
      <c r="F87" s="35"/>
      <c r="G87" s="11" t="s">
        <v>55</v>
      </c>
      <c r="H87" s="12" t="s">
        <v>37</v>
      </c>
      <c r="I87" s="12" t="s">
        <v>37</v>
      </c>
      <c r="J87" s="12" t="s">
        <v>37</v>
      </c>
      <c r="K87" s="12" t="s">
        <v>37</v>
      </c>
      <c r="L87" s="12" t="s">
        <v>37</v>
      </c>
      <c r="M87" s="12" t="s">
        <v>37</v>
      </c>
      <c r="N87" s="12" t="s">
        <v>37</v>
      </c>
      <c r="O87" s="30" t="s">
        <v>37</v>
      </c>
      <c r="P87" s="31"/>
      <c r="Q87" s="11">
        <v>0</v>
      </c>
      <c r="S87" t="str">
        <f t="shared" si="1"/>
        <v>Term Grade: AB+</v>
      </c>
    </row>
    <row r="88" spans="5:19">
      <c r="E88" s="36"/>
      <c r="F88" s="37"/>
      <c r="G88" s="11" t="s">
        <v>56</v>
      </c>
      <c r="H88" s="12">
        <v>4</v>
      </c>
      <c r="I88" s="12">
        <v>4</v>
      </c>
      <c r="J88" s="12">
        <v>4</v>
      </c>
      <c r="K88" s="12">
        <v>3</v>
      </c>
      <c r="L88" s="12">
        <v>3</v>
      </c>
      <c r="M88" s="12">
        <v>3</v>
      </c>
      <c r="N88" s="12">
        <v>2</v>
      </c>
      <c r="O88" s="30">
        <v>2</v>
      </c>
      <c r="P88" s="31"/>
      <c r="Q88" s="11">
        <v>25</v>
      </c>
      <c r="S88" t="str">
        <f t="shared" si="1"/>
        <v>M.C.No</v>
      </c>
    </row>
    <row r="89" spans="5:19">
      <c r="E89" s="13" t="s">
        <v>57</v>
      </c>
      <c r="F89" s="13">
        <v>6.52</v>
      </c>
      <c r="G89" s="11" t="s">
        <v>58</v>
      </c>
      <c r="H89" s="12">
        <v>6.5</v>
      </c>
      <c r="I89" s="12">
        <v>7.5</v>
      </c>
      <c r="J89" s="12">
        <v>6</v>
      </c>
      <c r="K89" s="12">
        <v>5.5</v>
      </c>
      <c r="L89" s="12">
        <v>6.5</v>
      </c>
      <c r="M89" s="12">
        <v>6</v>
      </c>
      <c r="N89" s="12">
        <v>5</v>
      </c>
      <c r="O89" s="30">
        <v>9.5</v>
      </c>
      <c r="P89" s="31"/>
      <c r="Q89" s="11" t="s">
        <v>37</v>
      </c>
      <c r="S89" t="str">
        <f t="shared" si="1"/>
        <v/>
      </c>
    </row>
    <row r="90" spans="5:19">
      <c r="E90" s="13" t="s">
        <v>59</v>
      </c>
      <c r="F90" s="14">
        <v>6.52</v>
      </c>
      <c r="G90" s="11" t="s">
        <v>60</v>
      </c>
      <c r="H90" s="12">
        <v>26</v>
      </c>
      <c r="I90" s="12">
        <v>30</v>
      </c>
      <c r="J90" s="12">
        <v>24</v>
      </c>
      <c r="K90" s="12">
        <v>16.5</v>
      </c>
      <c r="L90" s="12">
        <v>19.5</v>
      </c>
      <c r="M90" s="12">
        <v>18</v>
      </c>
      <c r="N90" s="12">
        <v>10</v>
      </c>
      <c r="O90" s="30">
        <v>19</v>
      </c>
      <c r="P90" s="31"/>
      <c r="Q90" s="11">
        <v>163</v>
      </c>
      <c r="S90">
        <f t="shared" si="1"/>
        <v>0</v>
      </c>
    </row>
    <row r="91" spans="5:19">
      <c r="E91" s="32" t="s">
        <v>61</v>
      </c>
      <c r="F91" s="31"/>
      <c r="G91" s="11" t="s">
        <v>40</v>
      </c>
      <c r="H91" s="12">
        <v>64</v>
      </c>
      <c r="I91" s="12">
        <v>73</v>
      </c>
      <c r="J91" s="12">
        <v>58</v>
      </c>
      <c r="K91" s="12">
        <v>52</v>
      </c>
      <c r="L91" s="12">
        <v>61</v>
      </c>
      <c r="M91" s="12">
        <v>56</v>
      </c>
      <c r="N91" s="12">
        <v>24</v>
      </c>
      <c r="O91" s="30">
        <v>45</v>
      </c>
      <c r="P91" s="31"/>
      <c r="Q91" s="11">
        <v>433</v>
      </c>
      <c r="S91">
        <f t="shared" si="1"/>
        <v>0</v>
      </c>
    </row>
    <row r="92" spans="5:19">
      <c r="E92" s="13" t="s">
        <v>62</v>
      </c>
      <c r="F92" s="13"/>
      <c r="G92" s="11" t="s">
        <v>63</v>
      </c>
      <c r="H92" s="12">
        <v>100</v>
      </c>
      <c r="I92" s="12">
        <v>100</v>
      </c>
      <c r="J92" s="12">
        <v>100</v>
      </c>
      <c r="K92" s="12">
        <v>100</v>
      </c>
      <c r="L92" s="12">
        <v>100</v>
      </c>
      <c r="M92" s="12">
        <v>100</v>
      </c>
      <c r="N92" s="12">
        <v>50</v>
      </c>
      <c r="O92" s="30">
        <v>50</v>
      </c>
      <c r="P92" s="31"/>
      <c r="Q92" s="11">
        <v>700</v>
      </c>
      <c r="S92" t="str">
        <f t="shared" si="1"/>
        <v>Dr. B.B. Hegde First Grade College, Kundapura, Udupi.</v>
      </c>
    </row>
    <row r="93" spans="5:19">
      <c r="E93" s="32" t="s">
        <v>126</v>
      </c>
      <c r="F93" s="31"/>
      <c r="G93" s="11" t="s">
        <v>65</v>
      </c>
      <c r="H93" s="12" t="s">
        <v>69</v>
      </c>
      <c r="I93" s="12" t="s">
        <v>68</v>
      </c>
      <c r="J93" s="12" t="s">
        <v>103</v>
      </c>
      <c r="K93" s="12" t="s">
        <v>138</v>
      </c>
      <c r="L93" s="12" t="s">
        <v>69</v>
      </c>
      <c r="M93" s="12" t="s">
        <v>103</v>
      </c>
      <c r="N93" s="12" t="s">
        <v>127</v>
      </c>
      <c r="O93" s="30" t="s">
        <v>71</v>
      </c>
      <c r="P93" s="31"/>
      <c r="Q93" s="11" t="s">
        <v>37</v>
      </c>
      <c r="S93" t="str">
        <f t="shared" si="1"/>
        <v>00007</v>
      </c>
    </row>
    <row r="94" spans="5:19">
      <c r="E94" s="15" t="s">
        <v>72</v>
      </c>
      <c r="F94" s="15" t="s">
        <v>139</v>
      </c>
      <c r="G94" s="11" t="s">
        <v>74</v>
      </c>
      <c r="H94" s="12" t="s">
        <v>75</v>
      </c>
      <c r="I94" s="12" t="s">
        <v>75</v>
      </c>
      <c r="J94" s="12" t="s">
        <v>75</v>
      </c>
      <c r="K94" s="12" t="s">
        <v>75</v>
      </c>
      <c r="L94" s="12" t="s">
        <v>75</v>
      </c>
      <c r="M94" s="12" t="s">
        <v>75</v>
      </c>
      <c r="N94" s="12" t="s">
        <v>75</v>
      </c>
      <c r="O94" s="30" t="s">
        <v>75</v>
      </c>
      <c r="P94" s="31"/>
      <c r="Q94" s="11" t="s">
        <v>37</v>
      </c>
      <c r="S94" t="str">
        <f t="shared" si="1"/>
        <v>USN</v>
      </c>
    </row>
    <row r="95" spans="5:19">
      <c r="E95" s="16" t="s">
        <v>37</v>
      </c>
      <c r="F95" s="16" t="s">
        <v>37</v>
      </c>
      <c r="G95" s="16" t="s">
        <v>37</v>
      </c>
      <c r="H95" s="17" t="s">
        <v>37</v>
      </c>
      <c r="I95" s="17" t="s">
        <v>37</v>
      </c>
      <c r="J95" s="17" t="s">
        <v>37</v>
      </c>
      <c r="K95" s="17" t="s">
        <v>37</v>
      </c>
      <c r="L95" s="17" t="s">
        <v>37</v>
      </c>
      <c r="M95" s="17" t="s">
        <v>37</v>
      </c>
      <c r="N95" s="17" t="s">
        <v>37</v>
      </c>
      <c r="O95" s="41" t="s">
        <v>37</v>
      </c>
      <c r="P95" s="28"/>
      <c r="Q95" s="17" t="s">
        <v>37</v>
      </c>
      <c r="S95" t="str">
        <f t="shared" si="1"/>
        <v>SAHANA SUNIL MUJUMDAR</v>
      </c>
    </row>
    <row r="96" spans="5:19" ht="0" hidden="1" customHeight="1">
      <c r="S96">
        <f t="shared" si="1"/>
        <v>0</v>
      </c>
    </row>
    <row r="97" spans="5:19" ht="0.6" customHeight="1">
      <c r="S97">
        <f t="shared" si="1"/>
        <v>0</v>
      </c>
    </row>
    <row r="98" spans="5:19">
      <c r="E98" s="38" t="s">
        <v>35</v>
      </c>
      <c r="F98" s="31"/>
      <c r="G98" s="4" t="s">
        <v>36</v>
      </c>
      <c r="H98" s="6" t="s">
        <v>37</v>
      </c>
      <c r="I98" s="6" t="s">
        <v>37</v>
      </c>
      <c r="J98" s="6" t="s">
        <v>37</v>
      </c>
      <c r="K98" s="6" t="s">
        <v>37</v>
      </c>
      <c r="L98" s="6" t="s">
        <v>37</v>
      </c>
      <c r="M98" s="6" t="s">
        <v>37</v>
      </c>
      <c r="N98" s="6" t="s">
        <v>37</v>
      </c>
      <c r="O98" s="39" t="s">
        <v>37</v>
      </c>
      <c r="P98" s="28"/>
      <c r="Q98" s="6" t="s">
        <v>37</v>
      </c>
      <c r="S98" t="str">
        <f t="shared" si="1"/>
        <v>SGPA</v>
      </c>
    </row>
    <row r="99" spans="5:19" ht="21">
      <c r="E99" s="32" t="s">
        <v>140</v>
      </c>
      <c r="F99" s="31"/>
      <c r="G99" s="8" t="s">
        <v>39</v>
      </c>
      <c r="H99" s="8" t="s">
        <v>19</v>
      </c>
      <c r="I99" s="8" t="s">
        <v>9</v>
      </c>
      <c r="J99" s="8" t="s">
        <v>21</v>
      </c>
      <c r="K99" s="8" t="s">
        <v>11</v>
      </c>
      <c r="L99" s="8" t="s">
        <v>17</v>
      </c>
      <c r="M99" s="8" t="s">
        <v>27</v>
      </c>
      <c r="N99" s="8" t="s">
        <v>7</v>
      </c>
      <c r="O99" s="40" t="s">
        <v>23</v>
      </c>
      <c r="P99" s="31"/>
      <c r="Q99" s="8" t="s">
        <v>40</v>
      </c>
      <c r="S99" t="str">
        <f t="shared" si="1"/>
        <v>CGPA</v>
      </c>
    </row>
    <row r="100" spans="5:19" ht="22.5">
      <c r="E100" s="13" t="s">
        <v>41</v>
      </c>
      <c r="F100" s="13" t="s">
        <v>141</v>
      </c>
      <c r="G100" s="11" t="s">
        <v>43</v>
      </c>
      <c r="H100" s="12" t="s">
        <v>131</v>
      </c>
      <c r="I100" s="12" t="s">
        <v>142</v>
      </c>
      <c r="J100" s="12" t="s">
        <v>143</v>
      </c>
      <c r="K100" s="12" t="s">
        <v>144</v>
      </c>
      <c r="L100" s="12" t="s">
        <v>145</v>
      </c>
      <c r="M100" s="12" t="s">
        <v>146</v>
      </c>
      <c r="N100" s="12" t="s">
        <v>147</v>
      </c>
      <c r="O100" s="30" t="s">
        <v>51</v>
      </c>
      <c r="P100" s="31"/>
      <c r="Q100" s="11" t="s">
        <v>37</v>
      </c>
      <c r="S100" t="str">
        <f t="shared" si="1"/>
        <v>Result: PASS</v>
      </c>
    </row>
    <row r="101" spans="5:19">
      <c r="E101" s="32" t="s">
        <v>148</v>
      </c>
      <c r="F101" s="33"/>
      <c r="G101" s="11" t="s">
        <v>53</v>
      </c>
      <c r="H101" s="12" t="s">
        <v>51</v>
      </c>
      <c r="I101" s="12" t="s">
        <v>51</v>
      </c>
      <c r="J101" s="12" t="s">
        <v>51</v>
      </c>
      <c r="K101" s="12" t="s">
        <v>51</v>
      </c>
      <c r="L101" s="12" t="s">
        <v>51</v>
      </c>
      <c r="M101" s="12" t="s">
        <v>51</v>
      </c>
      <c r="N101" s="12" t="s">
        <v>51</v>
      </c>
      <c r="O101" s="30" t="s">
        <v>125</v>
      </c>
      <c r="P101" s="31"/>
      <c r="Q101" s="11" t="s">
        <v>37</v>
      </c>
      <c r="S101" t="str">
        <f t="shared" si="1"/>
        <v>Class</v>
      </c>
    </row>
    <row r="102" spans="5:19">
      <c r="E102" s="34"/>
      <c r="F102" s="35"/>
      <c r="G102" s="11" t="s">
        <v>55</v>
      </c>
      <c r="H102" s="12" t="s">
        <v>37</v>
      </c>
      <c r="I102" s="12" t="s">
        <v>37</v>
      </c>
      <c r="J102" s="12" t="s">
        <v>37</v>
      </c>
      <c r="K102" s="12" t="s">
        <v>37</v>
      </c>
      <c r="L102" s="12" t="s">
        <v>37</v>
      </c>
      <c r="M102" s="12" t="s">
        <v>37</v>
      </c>
      <c r="N102" s="12" t="s">
        <v>37</v>
      </c>
      <c r="O102" s="30" t="s">
        <v>37</v>
      </c>
      <c r="P102" s="31"/>
      <c r="Q102" s="11">
        <v>0</v>
      </c>
      <c r="S102" t="str">
        <f t="shared" si="1"/>
        <v>Term Grade: AA</v>
      </c>
    </row>
    <row r="103" spans="5:19">
      <c r="E103" s="36"/>
      <c r="F103" s="37"/>
      <c r="G103" s="11" t="s">
        <v>56</v>
      </c>
      <c r="H103" s="12">
        <v>4</v>
      </c>
      <c r="I103" s="12">
        <v>4</v>
      </c>
      <c r="J103" s="12">
        <v>4</v>
      </c>
      <c r="K103" s="12">
        <v>3</v>
      </c>
      <c r="L103" s="12">
        <v>3</v>
      </c>
      <c r="M103" s="12">
        <v>3</v>
      </c>
      <c r="N103" s="12">
        <v>2</v>
      </c>
      <c r="O103" s="30">
        <v>2</v>
      </c>
      <c r="P103" s="31"/>
      <c r="Q103" s="11">
        <v>25</v>
      </c>
      <c r="S103" t="str">
        <f t="shared" si="1"/>
        <v>M.C.No</v>
      </c>
    </row>
    <row r="104" spans="5:19">
      <c r="E104" s="13" t="s">
        <v>57</v>
      </c>
      <c r="F104" s="13">
        <v>7.42</v>
      </c>
      <c r="G104" s="11" t="s">
        <v>58</v>
      </c>
      <c r="H104" s="12">
        <v>6.5</v>
      </c>
      <c r="I104" s="12">
        <v>7</v>
      </c>
      <c r="J104" s="12">
        <v>7</v>
      </c>
      <c r="K104" s="12">
        <v>6</v>
      </c>
      <c r="L104" s="12">
        <v>8</v>
      </c>
      <c r="M104" s="12">
        <v>7.5</v>
      </c>
      <c r="N104" s="12">
        <v>10</v>
      </c>
      <c r="O104" s="30">
        <v>9.5</v>
      </c>
      <c r="P104" s="31"/>
      <c r="Q104" s="11" t="s">
        <v>37</v>
      </c>
      <c r="S104" t="str">
        <f t="shared" si="1"/>
        <v/>
      </c>
    </row>
    <row r="105" spans="5:19">
      <c r="E105" s="13" t="s">
        <v>59</v>
      </c>
      <c r="F105" s="14">
        <v>7.42</v>
      </c>
      <c r="G105" s="11" t="s">
        <v>60</v>
      </c>
      <c r="H105" s="12">
        <v>26</v>
      </c>
      <c r="I105" s="12">
        <v>28</v>
      </c>
      <c r="J105" s="12">
        <v>28</v>
      </c>
      <c r="K105" s="12">
        <v>18</v>
      </c>
      <c r="L105" s="12">
        <v>24</v>
      </c>
      <c r="M105" s="12">
        <v>22.5</v>
      </c>
      <c r="N105" s="12">
        <v>20</v>
      </c>
      <c r="O105" s="30">
        <v>19</v>
      </c>
      <c r="P105" s="31"/>
      <c r="Q105" s="11">
        <v>185.5</v>
      </c>
      <c r="S105">
        <f t="shared" si="1"/>
        <v>0</v>
      </c>
    </row>
    <row r="106" spans="5:19">
      <c r="E106" s="32" t="s">
        <v>61</v>
      </c>
      <c r="F106" s="31"/>
      <c r="G106" s="11" t="s">
        <v>40</v>
      </c>
      <c r="H106" s="12">
        <v>64</v>
      </c>
      <c r="I106" s="12">
        <v>68</v>
      </c>
      <c r="J106" s="12">
        <v>65</v>
      </c>
      <c r="K106" s="12">
        <v>58</v>
      </c>
      <c r="L106" s="12">
        <v>75</v>
      </c>
      <c r="M106" s="12">
        <v>73</v>
      </c>
      <c r="N106" s="12">
        <v>48</v>
      </c>
      <c r="O106" s="30">
        <v>46</v>
      </c>
      <c r="P106" s="31"/>
      <c r="Q106" s="11">
        <v>497</v>
      </c>
      <c r="S106">
        <f t="shared" si="1"/>
        <v>0</v>
      </c>
    </row>
    <row r="107" spans="5:19">
      <c r="E107" s="13" t="s">
        <v>62</v>
      </c>
      <c r="F107" s="13"/>
      <c r="G107" s="11" t="s">
        <v>63</v>
      </c>
      <c r="H107" s="12">
        <v>100</v>
      </c>
      <c r="I107" s="12">
        <v>100</v>
      </c>
      <c r="J107" s="12">
        <v>100</v>
      </c>
      <c r="K107" s="12">
        <v>100</v>
      </c>
      <c r="L107" s="12">
        <v>100</v>
      </c>
      <c r="M107" s="12">
        <v>100</v>
      </c>
      <c r="N107" s="12">
        <v>50</v>
      </c>
      <c r="O107" s="30">
        <v>50</v>
      </c>
      <c r="P107" s="31"/>
      <c r="Q107" s="11">
        <v>700</v>
      </c>
      <c r="S107" t="str">
        <f t="shared" si="1"/>
        <v>Dr. B.B. Hegde First Grade College, Kundapura, Udupi.</v>
      </c>
    </row>
    <row r="108" spans="5:19">
      <c r="E108" s="32" t="s">
        <v>101</v>
      </c>
      <c r="F108" s="31"/>
      <c r="G108" s="11" t="s">
        <v>65</v>
      </c>
      <c r="H108" s="12" t="s">
        <v>69</v>
      </c>
      <c r="I108" s="12" t="s">
        <v>66</v>
      </c>
      <c r="J108" s="12" t="s">
        <v>66</v>
      </c>
      <c r="K108" s="12" t="s">
        <v>103</v>
      </c>
      <c r="L108" s="12" t="s">
        <v>102</v>
      </c>
      <c r="M108" s="12" t="s">
        <v>68</v>
      </c>
      <c r="N108" s="12" t="s">
        <v>88</v>
      </c>
      <c r="O108" s="30" t="s">
        <v>71</v>
      </c>
      <c r="P108" s="31"/>
      <c r="Q108" s="11" t="s">
        <v>37</v>
      </c>
      <c r="S108" t="str">
        <f t="shared" si="1"/>
        <v>00008</v>
      </c>
    </row>
    <row r="109" spans="5:19">
      <c r="E109" s="15" t="s">
        <v>72</v>
      </c>
      <c r="F109" s="15" t="s">
        <v>149</v>
      </c>
      <c r="G109" s="11" t="s">
        <v>74</v>
      </c>
      <c r="H109" s="12" t="s">
        <v>75</v>
      </c>
      <c r="I109" s="12" t="s">
        <v>75</v>
      </c>
      <c r="J109" s="12" t="s">
        <v>75</v>
      </c>
      <c r="K109" s="12" t="s">
        <v>75</v>
      </c>
      <c r="L109" s="12" t="s">
        <v>75</v>
      </c>
      <c r="M109" s="12" t="s">
        <v>75</v>
      </c>
      <c r="N109" s="12" t="s">
        <v>75</v>
      </c>
      <c r="O109" s="30" t="s">
        <v>75</v>
      </c>
      <c r="P109" s="31"/>
      <c r="Q109" s="11" t="s">
        <v>37</v>
      </c>
      <c r="S109" t="str">
        <f t="shared" si="1"/>
        <v>USN</v>
      </c>
    </row>
    <row r="110" spans="5:19">
      <c r="E110" s="16" t="s">
        <v>37</v>
      </c>
      <c r="F110" s="16" t="s">
        <v>37</v>
      </c>
      <c r="G110" s="16" t="s">
        <v>37</v>
      </c>
      <c r="H110" s="17" t="s">
        <v>37</v>
      </c>
      <c r="I110" s="17" t="s">
        <v>37</v>
      </c>
      <c r="J110" s="17" t="s">
        <v>37</v>
      </c>
      <c r="K110" s="17" t="s">
        <v>37</v>
      </c>
      <c r="L110" s="17" t="s">
        <v>37</v>
      </c>
      <c r="M110" s="17" t="s">
        <v>37</v>
      </c>
      <c r="N110" s="17" t="s">
        <v>37</v>
      </c>
      <c r="O110" s="41" t="s">
        <v>37</v>
      </c>
      <c r="P110" s="28"/>
      <c r="Q110" s="17" t="s">
        <v>37</v>
      </c>
      <c r="S110" t="str">
        <f t="shared" si="1"/>
        <v>MADHURA B</v>
      </c>
    </row>
    <row r="111" spans="5:19" ht="0" hidden="1" customHeight="1">
      <c r="S111">
        <f t="shared" si="1"/>
        <v>0</v>
      </c>
    </row>
    <row r="112" spans="5:19" ht="0.6" customHeight="1">
      <c r="S112">
        <f t="shared" si="1"/>
        <v>0</v>
      </c>
    </row>
    <row r="113" spans="5:19">
      <c r="E113" s="38" t="s">
        <v>35</v>
      </c>
      <c r="F113" s="31"/>
      <c r="G113" s="4" t="s">
        <v>36</v>
      </c>
      <c r="H113" s="6" t="s">
        <v>37</v>
      </c>
      <c r="I113" s="6" t="s">
        <v>37</v>
      </c>
      <c r="J113" s="6" t="s">
        <v>37</v>
      </c>
      <c r="K113" s="6" t="s">
        <v>37</v>
      </c>
      <c r="L113" s="6" t="s">
        <v>37</v>
      </c>
      <c r="M113" s="6" t="s">
        <v>37</v>
      </c>
      <c r="N113" s="6" t="s">
        <v>37</v>
      </c>
      <c r="O113" s="39" t="s">
        <v>37</v>
      </c>
      <c r="P113" s="28"/>
      <c r="Q113" s="6" t="s">
        <v>37</v>
      </c>
      <c r="S113" t="str">
        <f t="shared" si="1"/>
        <v>SGPA</v>
      </c>
    </row>
    <row r="114" spans="5:19" ht="21">
      <c r="E114" s="32" t="s">
        <v>150</v>
      </c>
      <c r="F114" s="31"/>
      <c r="G114" s="8" t="s">
        <v>39</v>
      </c>
      <c r="H114" s="8" t="s">
        <v>19</v>
      </c>
      <c r="I114" s="8" t="s">
        <v>9</v>
      </c>
      <c r="J114" s="8" t="s">
        <v>21</v>
      </c>
      <c r="K114" s="8" t="s">
        <v>11</v>
      </c>
      <c r="L114" s="8" t="s">
        <v>17</v>
      </c>
      <c r="M114" s="8" t="s">
        <v>27</v>
      </c>
      <c r="N114" s="8" t="s">
        <v>7</v>
      </c>
      <c r="O114" s="40" t="s">
        <v>25</v>
      </c>
      <c r="P114" s="31"/>
      <c r="Q114" s="8" t="s">
        <v>40</v>
      </c>
      <c r="S114" t="str">
        <f t="shared" si="1"/>
        <v>CGPA</v>
      </c>
    </row>
    <row r="115" spans="5:19" ht="22.5">
      <c r="E115" s="13" t="s">
        <v>41</v>
      </c>
      <c r="F115" s="13" t="s">
        <v>151</v>
      </c>
      <c r="G115" s="11" t="s">
        <v>43</v>
      </c>
      <c r="H115" s="12" t="s">
        <v>152</v>
      </c>
      <c r="I115" s="12" t="s">
        <v>45</v>
      </c>
      <c r="J115" s="12" t="s">
        <v>153</v>
      </c>
      <c r="K115" s="12" t="s">
        <v>154</v>
      </c>
      <c r="L115" s="12" t="s">
        <v>155</v>
      </c>
      <c r="M115" s="12" t="s">
        <v>146</v>
      </c>
      <c r="N115" s="12" t="s">
        <v>123</v>
      </c>
      <c r="O115" s="30" t="s">
        <v>51</v>
      </c>
      <c r="P115" s="31"/>
      <c r="Q115" s="11" t="s">
        <v>37</v>
      </c>
      <c r="S115" t="str">
        <f t="shared" si="1"/>
        <v>Result: PASS</v>
      </c>
    </row>
    <row r="116" spans="5:19">
      <c r="E116" s="32" t="s">
        <v>156</v>
      </c>
      <c r="F116" s="33"/>
      <c r="G116" s="11" t="s">
        <v>53</v>
      </c>
      <c r="H116" s="12" t="s">
        <v>51</v>
      </c>
      <c r="I116" s="12" t="s">
        <v>51</v>
      </c>
      <c r="J116" s="12" t="s">
        <v>51</v>
      </c>
      <c r="K116" s="12" t="s">
        <v>51</v>
      </c>
      <c r="L116" s="12" t="s">
        <v>51</v>
      </c>
      <c r="M116" s="12" t="s">
        <v>51</v>
      </c>
      <c r="N116" s="12" t="s">
        <v>51</v>
      </c>
      <c r="O116" s="30" t="s">
        <v>125</v>
      </c>
      <c r="P116" s="31"/>
      <c r="Q116" s="11" t="s">
        <v>37</v>
      </c>
      <c r="S116" t="str">
        <f t="shared" si="1"/>
        <v>Class</v>
      </c>
    </row>
    <row r="117" spans="5:19">
      <c r="E117" s="34"/>
      <c r="F117" s="35"/>
      <c r="G117" s="11" t="s">
        <v>55</v>
      </c>
      <c r="H117" s="12" t="s">
        <v>37</v>
      </c>
      <c r="I117" s="12" t="s">
        <v>37</v>
      </c>
      <c r="J117" s="12" t="s">
        <v>37</v>
      </c>
      <c r="K117" s="12" t="s">
        <v>37</v>
      </c>
      <c r="L117" s="12" t="s">
        <v>37</v>
      </c>
      <c r="M117" s="12" t="s">
        <v>37</v>
      </c>
      <c r="N117" s="12" t="s">
        <v>37</v>
      </c>
      <c r="O117" s="30" t="s">
        <v>37</v>
      </c>
      <c r="P117" s="31"/>
      <c r="Q117" s="11">
        <v>0</v>
      </c>
      <c r="S117" t="str">
        <f t="shared" si="1"/>
        <v>Term Grade: AA+</v>
      </c>
    </row>
    <row r="118" spans="5:19">
      <c r="E118" s="36"/>
      <c r="F118" s="37"/>
      <c r="G118" s="11" t="s">
        <v>56</v>
      </c>
      <c r="H118" s="12">
        <v>4</v>
      </c>
      <c r="I118" s="12">
        <v>4</v>
      </c>
      <c r="J118" s="12">
        <v>4</v>
      </c>
      <c r="K118" s="12">
        <v>3</v>
      </c>
      <c r="L118" s="12">
        <v>3</v>
      </c>
      <c r="M118" s="12">
        <v>3</v>
      </c>
      <c r="N118" s="12">
        <v>2</v>
      </c>
      <c r="O118" s="30">
        <v>2</v>
      </c>
      <c r="P118" s="31"/>
      <c r="Q118" s="11">
        <v>25</v>
      </c>
      <c r="S118" t="str">
        <f t="shared" si="1"/>
        <v>M.C.No</v>
      </c>
    </row>
    <row r="119" spans="5:19">
      <c r="E119" s="13" t="s">
        <v>57</v>
      </c>
      <c r="F119" s="13">
        <v>7.72</v>
      </c>
      <c r="G119" s="11" t="s">
        <v>58</v>
      </c>
      <c r="H119" s="12">
        <v>7</v>
      </c>
      <c r="I119" s="12">
        <v>9</v>
      </c>
      <c r="J119" s="12">
        <v>6.5</v>
      </c>
      <c r="K119" s="12">
        <v>6</v>
      </c>
      <c r="L119" s="12">
        <v>8.5</v>
      </c>
      <c r="M119" s="12">
        <v>7.5</v>
      </c>
      <c r="N119" s="12">
        <v>9</v>
      </c>
      <c r="O119" s="30">
        <v>9.5</v>
      </c>
      <c r="P119" s="31"/>
      <c r="Q119" s="11" t="s">
        <v>37</v>
      </c>
      <c r="S119" t="str">
        <f t="shared" si="1"/>
        <v/>
      </c>
    </row>
    <row r="120" spans="5:19">
      <c r="E120" s="13" t="s">
        <v>59</v>
      </c>
      <c r="F120" s="14">
        <v>7.72</v>
      </c>
      <c r="G120" s="11" t="s">
        <v>60</v>
      </c>
      <c r="H120" s="12">
        <v>28</v>
      </c>
      <c r="I120" s="12">
        <v>36</v>
      </c>
      <c r="J120" s="12">
        <v>26</v>
      </c>
      <c r="K120" s="12">
        <v>18</v>
      </c>
      <c r="L120" s="12">
        <v>25.5</v>
      </c>
      <c r="M120" s="12">
        <v>22.5</v>
      </c>
      <c r="N120" s="12">
        <v>18</v>
      </c>
      <c r="O120" s="30">
        <v>19</v>
      </c>
      <c r="P120" s="31"/>
      <c r="Q120" s="11">
        <v>193</v>
      </c>
      <c r="S120">
        <f t="shared" si="1"/>
        <v>0</v>
      </c>
    </row>
    <row r="121" spans="5:19">
      <c r="E121" s="32" t="s">
        <v>61</v>
      </c>
      <c r="F121" s="31"/>
      <c r="G121" s="11" t="s">
        <v>40</v>
      </c>
      <c r="H121" s="12">
        <v>68</v>
      </c>
      <c r="I121" s="12">
        <v>89</v>
      </c>
      <c r="J121" s="12">
        <v>64</v>
      </c>
      <c r="K121" s="12">
        <v>55</v>
      </c>
      <c r="L121" s="12">
        <v>82</v>
      </c>
      <c r="M121" s="12">
        <v>73</v>
      </c>
      <c r="N121" s="12">
        <v>44</v>
      </c>
      <c r="O121" s="30">
        <v>46</v>
      </c>
      <c r="P121" s="31"/>
      <c r="Q121" s="11">
        <v>521</v>
      </c>
      <c r="S121">
        <f t="shared" si="1"/>
        <v>0</v>
      </c>
    </row>
    <row r="122" spans="5:19">
      <c r="E122" s="13" t="s">
        <v>62</v>
      </c>
      <c r="F122" s="13"/>
      <c r="G122" s="11" t="s">
        <v>63</v>
      </c>
      <c r="H122" s="12">
        <v>100</v>
      </c>
      <c r="I122" s="12">
        <v>100</v>
      </c>
      <c r="J122" s="12">
        <v>100</v>
      </c>
      <c r="K122" s="12">
        <v>100</v>
      </c>
      <c r="L122" s="12">
        <v>100</v>
      </c>
      <c r="M122" s="12">
        <v>100</v>
      </c>
      <c r="N122" s="12">
        <v>50</v>
      </c>
      <c r="O122" s="30">
        <v>50</v>
      </c>
      <c r="P122" s="31"/>
      <c r="Q122" s="11">
        <v>700</v>
      </c>
      <c r="S122" t="str">
        <f t="shared" si="1"/>
        <v>Dr. B.B. Hegde First Grade College, Kundapura, Udupi.</v>
      </c>
    </row>
    <row r="123" spans="5:19">
      <c r="E123" s="32" t="s">
        <v>64</v>
      </c>
      <c r="F123" s="31"/>
      <c r="G123" s="11" t="s">
        <v>65</v>
      </c>
      <c r="H123" s="12" t="s">
        <v>66</v>
      </c>
      <c r="I123" s="12" t="s">
        <v>67</v>
      </c>
      <c r="J123" s="12" t="s">
        <v>69</v>
      </c>
      <c r="K123" s="12" t="s">
        <v>103</v>
      </c>
      <c r="L123" s="12" t="s">
        <v>70</v>
      </c>
      <c r="M123" s="12" t="s">
        <v>68</v>
      </c>
      <c r="N123" s="12" t="s">
        <v>67</v>
      </c>
      <c r="O123" s="30" t="s">
        <v>71</v>
      </c>
      <c r="P123" s="31"/>
      <c r="Q123" s="11" t="s">
        <v>37</v>
      </c>
      <c r="S123" t="str">
        <f t="shared" si="1"/>
        <v>00009</v>
      </c>
    </row>
    <row r="124" spans="5:19">
      <c r="E124" s="15" t="s">
        <v>72</v>
      </c>
      <c r="F124" s="15" t="s">
        <v>157</v>
      </c>
      <c r="G124" s="11" t="s">
        <v>74</v>
      </c>
      <c r="H124" s="12" t="s">
        <v>75</v>
      </c>
      <c r="I124" s="12" t="s">
        <v>75</v>
      </c>
      <c r="J124" s="12" t="s">
        <v>75</v>
      </c>
      <c r="K124" s="12" t="s">
        <v>75</v>
      </c>
      <c r="L124" s="12" t="s">
        <v>75</v>
      </c>
      <c r="M124" s="12" t="s">
        <v>75</v>
      </c>
      <c r="N124" s="12" t="s">
        <v>75</v>
      </c>
      <c r="O124" s="30" t="s">
        <v>75</v>
      </c>
      <c r="P124" s="31"/>
      <c r="Q124" s="11" t="s">
        <v>37</v>
      </c>
      <c r="S124" t="str">
        <f t="shared" si="1"/>
        <v>USN</v>
      </c>
    </row>
    <row r="125" spans="5:19">
      <c r="E125" s="16" t="s">
        <v>37</v>
      </c>
      <c r="F125" s="16" t="s">
        <v>37</v>
      </c>
      <c r="G125" s="16" t="s">
        <v>37</v>
      </c>
      <c r="H125" s="17" t="s">
        <v>37</v>
      </c>
      <c r="I125" s="17" t="s">
        <v>37</v>
      </c>
      <c r="J125" s="17" t="s">
        <v>37</v>
      </c>
      <c r="K125" s="17" t="s">
        <v>37</v>
      </c>
      <c r="L125" s="17" t="s">
        <v>37</v>
      </c>
      <c r="M125" s="17" t="s">
        <v>37</v>
      </c>
      <c r="N125" s="17" t="s">
        <v>37</v>
      </c>
      <c r="O125" s="41" t="s">
        <v>37</v>
      </c>
      <c r="P125" s="28"/>
      <c r="Q125" s="17" t="s">
        <v>37</v>
      </c>
      <c r="S125" t="str">
        <f t="shared" si="1"/>
        <v>NAVYASHRI</v>
      </c>
    </row>
    <row r="126" spans="5:19" ht="0" hidden="1" customHeight="1">
      <c r="S126">
        <f t="shared" si="1"/>
        <v>0</v>
      </c>
    </row>
    <row r="127" spans="5:19" ht="0.6" customHeight="1">
      <c r="S127">
        <f t="shared" si="1"/>
        <v>0</v>
      </c>
    </row>
    <row r="128" spans="5:19">
      <c r="E128" s="38" t="s">
        <v>35</v>
      </c>
      <c r="F128" s="31"/>
      <c r="G128" s="4" t="s">
        <v>36</v>
      </c>
      <c r="H128" s="6" t="s">
        <v>37</v>
      </c>
      <c r="I128" s="6" t="s">
        <v>37</v>
      </c>
      <c r="J128" s="6" t="s">
        <v>37</v>
      </c>
      <c r="K128" s="6" t="s">
        <v>37</v>
      </c>
      <c r="L128" s="6" t="s">
        <v>37</v>
      </c>
      <c r="M128" s="6" t="s">
        <v>37</v>
      </c>
      <c r="N128" s="6" t="s">
        <v>37</v>
      </c>
      <c r="O128" s="39" t="s">
        <v>37</v>
      </c>
      <c r="P128" s="28"/>
      <c r="Q128" s="6" t="s">
        <v>37</v>
      </c>
      <c r="S128" t="str">
        <f t="shared" si="1"/>
        <v>SGPA</v>
      </c>
    </row>
    <row r="129" spans="5:19" ht="21">
      <c r="E129" s="32" t="s">
        <v>158</v>
      </c>
      <c r="F129" s="31"/>
      <c r="G129" s="8" t="s">
        <v>39</v>
      </c>
      <c r="H129" s="8" t="s">
        <v>19</v>
      </c>
      <c r="I129" s="8" t="s">
        <v>9</v>
      </c>
      <c r="J129" s="8" t="s">
        <v>21</v>
      </c>
      <c r="K129" s="8" t="s">
        <v>11</v>
      </c>
      <c r="L129" s="8" t="s">
        <v>17</v>
      </c>
      <c r="M129" s="8" t="s">
        <v>27</v>
      </c>
      <c r="N129" s="8" t="s">
        <v>7</v>
      </c>
      <c r="O129" s="40" t="s">
        <v>25</v>
      </c>
      <c r="P129" s="31"/>
      <c r="Q129" s="8" t="s">
        <v>40</v>
      </c>
      <c r="S129" t="str">
        <f t="shared" si="1"/>
        <v>CGPA</v>
      </c>
    </row>
    <row r="130" spans="5:19" ht="22.5">
      <c r="E130" s="13" t="s">
        <v>41</v>
      </c>
      <c r="F130" s="13" t="s">
        <v>159</v>
      </c>
      <c r="G130" s="11" t="s">
        <v>43</v>
      </c>
      <c r="H130" s="12" t="s">
        <v>160</v>
      </c>
      <c r="I130" s="12" t="s">
        <v>161</v>
      </c>
      <c r="J130" s="12" t="s">
        <v>162</v>
      </c>
      <c r="K130" s="12" t="s">
        <v>163</v>
      </c>
      <c r="L130" s="12" t="s">
        <v>164</v>
      </c>
      <c r="M130" s="12" t="s">
        <v>165</v>
      </c>
      <c r="N130" s="12" t="s">
        <v>166</v>
      </c>
      <c r="O130" s="30" t="s">
        <v>51</v>
      </c>
      <c r="P130" s="31"/>
      <c r="Q130" s="11" t="s">
        <v>37</v>
      </c>
      <c r="S130" t="str">
        <f t="shared" si="1"/>
        <v>Result: PASS</v>
      </c>
    </row>
    <row r="131" spans="5:19">
      <c r="E131" s="32" t="s">
        <v>167</v>
      </c>
      <c r="F131" s="33"/>
      <c r="G131" s="11" t="s">
        <v>53</v>
      </c>
      <c r="H131" s="12" t="s">
        <v>51</v>
      </c>
      <c r="I131" s="12" t="s">
        <v>51</v>
      </c>
      <c r="J131" s="12" t="s">
        <v>51</v>
      </c>
      <c r="K131" s="12" t="s">
        <v>51</v>
      </c>
      <c r="L131" s="12" t="s">
        <v>51</v>
      </c>
      <c r="M131" s="12" t="s">
        <v>51</v>
      </c>
      <c r="N131" s="12" t="s">
        <v>51</v>
      </c>
      <c r="O131" s="30" t="s">
        <v>54</v>
      </c>
      <c r="P131" s="31"/>
      <c r="Q131" s="11" t="s">
        <v>37</v>
      </c>
      <c r="S131" t="str">
        <f t="shared" si="1"/>
        <v>Class</v>
      </c>
    </row>
    <row r="132" spans="5:19">
      <c r="E132" s="34"/>
      <c r="F132" s="35"/>
      <c r="G132" s="11" t="s">
        <v>55</v>
      </c>
      <c r="H132" s="12" t="s">
        <v>37</v>
      </c>
      <c r="I132" s="12" t="s">
        <v>37</v>
      </c>
      <c r="J132" s="12" t="s">
        <v>37</v>
      </c>
      <c r="K132" s="12" t="s">
        <v>37</v>
      </c>
      <c r="L132" s="12" t="s">
        <v>37</v>
      </c>
      <c r="M132" s="12" t="s">
        <v>37</v>
      </c>
      <c r="N132" s="12" t="s">
        <v>37</v>
      </c>
      <c r="O132" s="30" t="s">
        <v>37</v>
      </c>
      <c r="P132" s="31"/>
      <c r="Q132" s="11">
        <v>0</v>
      </c>
      <c r="S132" t="str">
        <f t="shared" si="1"/>
        <v>Term Grade: AA+</v>
      </c>
    </row>
    <row r="133" spans="5:19">
      <c r="E133" s="36"/>
      <c r="F133" s="37"/>
      <c r="G133" s="11" t="s">
        <v>56</v>
      </c>
      <c r="H133" s="12">
        <v>4</v>
      </c>
      <c r="I133" s="12">
        <v>4</v>
      </c>
      <c r="J133" s="12">
        <v>4</v>
      </c>
      <c r="K133" s="12">
        <v>3</v>
      </c>
      <c r="L133" s="12">
        <v>3</v>
      </c>
      <c r="M133" s="12">
        <v>3</v>
      </c>
      <c r="N133" s="12">
        <v>2</v>
      </c>
      <c r="O133" s="30">
        <v>2</v>
      </c>
      <c r="P133" s="31"/>
      <c r="Q133" s="11">
        <v>25</v>
      </c>
      <c r="S133" t="str">
        <f t="shared" si="1"/>
        <v>M.C.No</v>
      </c>
    </row>
    <row r="134" spans="5:19">
      <c r="E134" s="13" t="s">
        <v>57</v>
      </c>
      <c r="F134" s="13">
        <v>7.74</v>
      </c>
      <c r="G134" s="11" t="s">
        <v>58</v>
      </c>
      <c r="H134" s="12">
        <v>7.5</v>
      </c>
      <c r="I134" s="12">
        <v>8.5</v>
      </c>
      <c r="J134" s="12">
        <v>6.5</v>
      </c>
      <c r="K134" s="12">
        <v>5.5</v>
      </c>
      <c r="L134" s="12">
        <v>9</v>
      </c>
      <c r="M134" s="12">
        <v>7</v>
      </c>
      <c r="N134" s="12">
        <v>10</v>
      </c>
      <c r="O134" s="30">
        <v>9.5</v>
      </c>
      <c r="P134" s="31"/>
      <c r="Q134" s="11" t="s">
        <v>37</v>
      </c>
      <c r="S134" t="str">
        <f t="shared" si="1"/>
        <v/>
      </c>
    </row>
    <row r="135" spans="5:19">
      <c r="E135" s="13" t="s">
        <v>59</v>
      </c>
      <c r="F135" s="14">
        <v>7.74</v>
      </c>
      <c r="G135" s="11" t="s">
        <v>60</v>
      </c>
      <c r="H135" s="12">
        <v>30</v>
      </c>
      <c r="I135" s="12">
        <v>34</v>
      </c>
      <c r="J135" s="12">
        <v>26</v>
      </c>
      <c r="K135" s="12">
        <v>16.5</v>
      </c>
      <c r="L135" s="12">
        <v>27</v>
      </c>
      <c r="M135" s="12">
        <v>21</v>
      </c>
      <c r="N135" s="12">
        <v>20</v>
      </c>
      <c r="O135" s="30">
        <v>19</v>
      </c>
      <c r="P135" s="31"/>
      <c r="Q135" s="11">
        <v>193.5</v>
      </c>
      <c r="S135">
        <f t="shared" si="1"/>
        <v>0</v>
      </c>
    </row>
    <row r="136" spans="5:19">
      <c r="E136" s="32" t="s">
        <v>61</v>
      </c>
      <c r="F136" s="31"/>
      <c r="G136" s="11" t="s">
        <v>40</v>
      </c>
      <c r="H136" s="12">
        <v>70</v>
      </c>
      <c r="I136" s="12">
        <v>81</v>
      </c>
      <c r="J136" s="12">
        <v>64</v>
      </c>
      <c r="K136" s="12">
        <v>53</v>
      </c>
      <c r="L136" s="12">
        <v>85</v>
      </c>
      <c r="M136" s="12">
        <v>65</v>
      </c>
      <c r="N136" s="12">
        <v>49</v>
      </c>
      <c r="O136" s="30">
        <v>45</v>
      </c>
      <c r="P136" s="31"/>
      <c r="Q136" s="11">
        <v>512</v>
      </c>
      <c r="S136">
        <f t="shared" si="1"/>
        <v>0</v>
      </c>
    </row>
    <row r="137" spans="5:19">
      <c r="E137" s="13" t="s">
        <v>62</v>
      </c>
      <c r="F137" s="13"/>
      <c r="G137" s="11" t="s">
        <v>63</v>
      </c>
      <c r="H137" s="12">
        <v>100</v>
      </c>
      <c r="I137" s="12">
        <v>100</v>
      </c>
      <c r="J137" s="12">
        <v>100</v>
      </c>
      <c r="K137" s="12">
        <v>100</v>
      </c>
      <c r="L137" s="12">
        <v>100</v>
      </c>
      <c r="M137" s="12">
        <v>100</v>
      </c>
      <c r="N137" s="12">
        <v>50</v>
      </c>
      <c r="O137" s="30">
        <v>50</v>
      </c>
      <c r="P137" s="31"/>
      <c r="Q137" s="11">
        <v>700</v>
      </c>
      <c r="S137" t="str">
        <f t="shared" si="1"/>
        <v>Dr. B.B. Hegde First Grade College, Kundapura, Udupi.</v>
      </c>
    </row>
    <row r="138" spans="5:19">
      <c r="E138" s="32" t="s">
        <v>64</v>
      </c>
      <c r="F138" s="31"/>
      <c r="G138" s="11" t="s">
        <v>65</v>
      </c>
      <c r="H138" s="12" t="s">
        <v>68</v>
      </c>
      <c r="I138" s="12" t="s">
        <v>70</v>
      </c>
      <c r="J138" s="12" t="s">
        <v>69</v>
      </c>
      <c r="K138" s="12" t="s">
        <v>138</v>
      </c>
      <c r="L138" s="12" t="s">
        <v>67</v>
      </c>
      <c r="M138" s="12" t="s">
        <v>66</v>
      </c>
      <c r="N138" s="12" t="s">
        <v>88</v>
      </c>
      <c r="O138" s="30" t="s">
        <v>71</v>
      </c>
      <c r="P138" s="31"/>
      <c r="Q138" s="11" t="s">
        <v>37</v>
      </c>
      <c r="S138" t="str">
        <f t="shared" si="1"/>
        <v>00010</v>
      </c>
    </row>
    <row r="139" spans="5:19">
      <c r="E139" s="15" t="s">
        <v>72</v>
      </c>
      <c r="F139" s="15" t="s">
        <v>168</v>
      </c>
      <c r="G139" s="11" t="s">
        <v>74</v>
      </c>
      <c r="H139" s="12" t="s">
        <v>75</v>
      </c>
      <c r="I139" s="12" t="s">
        <v>75</v>
      </c>
      <c r="J139" s="12" t="s">
        <v>75</v>
      </c>
      <c r="K139" s="12" t="s">
        <v>75</v>
      </c>
      <c r="L139" s="12" t="s">
        <v>75</v>
      </c>
      <c r="M139" s="12" t="s">
        <v>75</v>
      </c>
      <c r="N139" s="12" t="s">
        <v>75</v>
      </c>
      <c r="O139" s="30" t="s">
        <v>75</v>
      </c>
      <c r="P139" s="31"/>
      <c r="Q139" s="11" t="s">
        <v>37</v>
      </c>
      <c r="S139" t="str">
        <f t="shared" si="1"/>
        <v>USN</v>
      </c>
    </row>
    <row r="140" spans="5:19">
      <c r="E140" s="16" t="s">
        <v>37</v>
      </c>
      <c r="F140" s="16" t="s">
        <v>37</v>
      </c>
      <c r="G140" s="16" t="s">
        <v>37</v>
      </c>
      <c r="H140" s="17" t="s">
        <v>37</v>
      </c>
      <c r="I140" s="17" t="s">
        <v>37</v>
      </c>
      <c r="J140" s="17" t="s">
        <v>37</v>
      </c>
      <c r="K140" s="17" t="s">
        <v>37</v>
      </c>
      <c r="L140" s="17" t="s">
        <v>37</v>
      </c>
      <c r="M140" s="17" t="s">
        <v>37</v>
      </c>
      <c r="N140" s="17" t="s">
        <v>37</v>
      </c>
      <c r="O140" s="41" t="s">
        <v>37</v>
      </c>
      <c r="P140" s="28"/>
      <c r="Q140" s="17" t="s">
        <v>37</v>
      </c>
      <c r="S140" t="str">
        <f t="shared" ref="S140:S203" si="2">$E146</f>
        <v>SUBHASH B</v>
      </c>
    </row>
    <row r="141" spans="5:19" ht="0" hidden="1" customHeight="1">
      <c r="S141">
        <f t="shared" si="2"/>
        <v>0</v>
      </c>
    </row>
    <row r="142" spans="5:19" ht="0.6" customHeight="1">
      <c r="S142">
        <f t="shared" si="2"/>
        <v>0</v>
      </c>
    </row>
    <row r="143" spans="5:19">
      <c r="E143" s="38" t="s">
        <v>35</v>
      </c>
      <c r="F143" s="31"/>
      <c r="G143" s="4" t="s">
        <v>36</v>
      </c>
      <c r="H143" s="6" t="s">
        <v>37</v>
      </c>
      <c r="I143" s="6" t="s">
        <v>37</v>
      </c>
      <c r="J143" s="6" t="s">
        <v>37</v>
      </c>
      <c r="K143" s="6" t="s">
        <v>37</v>
      </c>
      <c r="L143" s="6" t="s">
        <v>37</v>
      </c>
      <c r="M143" s="6" t="s">
        <v>37</v>
      </c>
      <c r="N143" s="6" t="s">
        <v>37</v>
      </c>
      <c r="O143" s="39" t="s">
        <v>37</v>
      </c>
      <c r="P143" s="28"/>
      <c r="Q143" s="6" t="s">
        <v>37</v>
      </c>
      <c r="S143" t="str">
        <f t="shared" si="2"/>
        <v>SGPA</v>
      </c>
    </row>
    <row r="144" spans="5:19" ht="21">
      <c r="E144" s="32" t="s">
        <v>169</v>
      </c>
      <c r="F144" s="31"/>
      <c r="G144" s="8" t="s">
        <v>39</v>
      </c>
      <c r="H144" s="8" t="s">
        <v>19</v>
      </c>
      <c r="I144" s="8" t="s">
        <v>9</v>
      </c>
      <c r="J144" s="8" t="s">
        <v>21</v>
      </c>
      <c r="K144" s="8" t="s">
        <v>11</v>
      </c>
      <c r="L144" s="8" t="s">
        <v>17</v>
      </c>
      <c r="M144" s="8" t="s">
        <v>27</v>
      </c>
      <c r="N144" s="8" t="s">
        <v>7</v>
      </c>
      <c r="O144" s="40" t="s">
        <v>23</v>
      </c>
      <c r="P144" s="31"/>
      <c r="Q144" s="8" t="s">
        <v>40</v>
      </c>
      <c r="S144" t="str">
        <f t="shared" si="2"/>
        <v>CGPA</v>
      </c>
    </row>
    <row r="145" spans="5:19" ht="22.5">
      <c r="E145" s="13" t="s">
        <v>41</v>
      </c>
      <c r="F145" s="13" t="s">
        <v>170</v>
      </c>
      <c r="G145" s="11" t="s">
        <v>43</v>
      </c>
      <c r="H145" s="12" t="s">
        <v>171</v>
      </c>
      <c r="I145" s="12" t="s">
        <v>172</v>
      </c>
      <c r="J145" s="12" t="s">
        <v>173</v>
      </c>
      <c r="K145" s="12" t="s">
        <v>174</v>
      </c>
      <c r="L145" s="12" t="s">
        <v>131</v>
      </c>
      <c r="M145" s="12" t="s">
        <v>175</v>
      </c>
      <c r="N145" s="12" t="s">
        <v>176</v>
      </c>
      <c r="O145" s="30" t="s">
        <v>51</v>
      </c>
      <c r="P145" s="31"/>
      <c r="Q145" s="11" t="s">
        <v>37</v>
      </c>
      <c r="S145" t="str">
        <f t="shared" si="2"/>
        <v>Result: PASS</v>
      </c>
    </row>
    <row r="146" spans="5:19">
      <c r="E146" s="32" t="s">
        <v>177</v>
      </c>
      <c r="F146" s="33"/>
      <c r="G146" s="11" t="s">
        <v>53</v>
      </c>
      <c r="H146" s="12" t="s">
        <v>51</v>
      </c>
      <c r="I146" s="12" t="s">
        <v>51</v>
      </c>
      <c r="J146" s="12" t="s">
        <v>51</v>
      </c>
      <c r="K146" s="12" t="s">
        <v>51</v>
      </c>
      <c r="L146" s="12" t="s">
        <v>51</v>
      </c>
      <c r="M146" s="12" t="s">
        <v>51</v>
      </c>
      <c r="N146" s="12" t="s">
        <v>51</v>
      </c>
      <c r="O146" s="30" t="s">
        <v>178</v>
      </c>
      <c r="P146" s="31"/>
      <c r="Q146" s="11" t="s">
        <v>37</v>
      </c>
      <c r="S146" t="str">
        <f t="shared" si="2"/>
        <v>Class</v>
      </c>
    </row>
    <row r="147" spans="5:19">
      <c r="E147" s="34"/>
      <c r="F147" s="35"/>
      <c r="G147" s="11" t="s">
        <v>55</v>
      </c>
      <c r="H147" s="12" t="s">
        <v>37</v>
      </c>
      <c r="I147" s="12" t="s">
        <v>37</v>
      </c>
      <c r="J147" s="12" t="s">
        <v>37</v>
      </c>
      <c r="K147" s="12" t="s">
        <v>37</v>
      </c>
      <c r="L147" s="12" t="s">
        <v>37</v>
      </c>
      <c r="M147" s="12" t="s">
        <v>37</v>
      </c>
      <c r="N147" s="12" t="s">
        <v>37</v>
      </c>
      <c r="O147" s="30" t="s">
        <v>37</v>
      </c>
      <c r="P147" s="31"/>
      <c r="Q147" s="11">
        <v>0</v>
      </c>
      <c r="S147" t="str">
        <f t="shared" si="2"/>
        <v>Term Grade: AA+</v>
      </c>
    </row>
    <row r="148" spans="5:19">
      <c r="E148" s="36"/>
      <c r="F148" s="37"/>
      <c r="G148" s="11" t="s">
        <v>56</v>
      </c>
      <c r="H148" s="12">
        <v>4</v>
      </c>
      <c r="I148" s="12">
        <v>4</v>
      </c>
      <c r="J148" s="12">
        <v>4</v>
      </c>
      <c r="K148" s="12">
        <v>3</v>
      </c>
      <c r="L148" s="12">
        <v>3</v>
      </c>
      <c r="M148" s="12">
        <v>3</v>
      </c>
      <c r="N148" s="12">
        <v>2</v>
      </c>
      <c r="O148" s="30">
        <v>2</v>
      </c>
      <c r="P148" s="31"/>
      <c r="Q148" s="11">
        <v>25</v>
      </c>
      <c r="S148" t="str">
        <f t="shared" si="2"/>
        <v>M.C.No</v>
      </c>
    </row>
    <row r="149" spans="5:19">
      <c r="E149" s="13" t="s">
        <v>57</v>
      </c>
      <c r="F149" s="13">
        <v>7.74</v>
      </c>
      <c r="G149" s="11" t="s">
        <v>58</v>
      </c>
      <c r="H149" s="12">
        <v>7.5</v>
      </c>
      <c r="I149" s="12">
        <v>8.5</v>
      </c>
      <c r="J149" s="12">
        <v>8</v>
      </c>
      <c r="K149" s="12">
        <v>6</v>
      </c>
      <c r="L149" s="12">
        <v>6.5</v>
      </c>
      <c r="M149" s="12">
        <v>7</v>
      </c>
      <c r="N149" s="12">
        <v>10</v>
      </c>
      <c r="O149" s="30">
        <v>9.5</v>
      </c>
      <c r="P149" s="31"/>
      <c r="Q149" s="11" t="s">
        <v>37</v>
      </c>
      <c r="S149" t="str">
        <f t="shared" si="2"/>
        <v/>
      </c>
    </row>
    <row r="150" spans="5:19">
      <c r="E150" s="13" t="s">
        <v>59</v>
      </c>
      <c r="F150" s="14">
        <v>7.74</v>
      </c>
      <c r="G150" s="11" t="s">
        <v>60</v>
      </c>
      <c r="H150" s="12">
        <v>30</v>
      </c>
      <c r="I150" s="12">
        <v>34</v>
      </c>
      <c r="J150" s="12">
        <v>32</v>
      </c>
      <c r="K150" s="12">
        <v>18</v>
      </c>
      <c r="L150" s="12">
        <v>19.5</v>
      </c>
      <c r="M150" s="12">
        <v>21</v>
      </c>
      <c r="N150" s="12">
        <v>20</v>
      </c>
      <c r="O150" s="30">
        <v>19</v>
      </c>
      <c r="P150" s="31"/>
      <c r="Q150" s="11">
        <v>193.5</v>
      </c>
      <c r="S150">
        <f t="shared" si="2"/>
        <v>0</v>
      </c>
    </row>
    <row r="151" spans="5:19">
      <c r="E151" s="32" t="s">
        <v>61</v>
      </c>
      <c r="F151" s="31"/>
      <c r="G151" s="11" t="s">
        <v>40</v>
      </c>
      <c r="H151" s="12">
        <v>70</v>
      </c>
      <c r="I151" s="12">
        <v>84</v>
      </c>
      <c r="J151" s="12">
        <v>78</v>
      </c>
      <c r="K151" s="12">
        <v>55</v>
      </c>
      <c r="L151" s="12">
        <v>64</v>
      </c>
      <c r="M151" s="12">
        <v>66</v>
      </c>
      <c r="N151" s="12">
        <v>48</v>
      </c>
      <c r="O151" s="30">
        <v>47</v>
      </c>
      <c r="P151" s="31"/>
      <c r="Q151" s="11">
        <v>512</v>
      </c>
      <c r="S151">
        <f t="shared" si="2"/>
        <v>0</v>
      </c>
    </row>
    <row r="152" spans="5:19">
      <c r="E152" s="13" t="s">
        <v>62</v>
      </c>
      <c r="F152" s="13"/>
      <c r="G152" s="11" t="s">
        <v>63</v>
      </c>
      <c r="H152" s="12">
        <v>100</v>
      </c>
      <c r="I152" s="12">
        <v>100</v>
      </c>
      <c r="J152" s="12">
        <v>100</v>
      </c>
      <c r="K152" s="12">
        <v>100</v>
      </c>
      <c r="L152" s="12">
        <v>100</v>
      </c>
      <c r="M152" s="12">
        <v>100</v>
      </c>
      <c r="N152" s="12">
        <v>50</v>
      </c>
      <c r="O152" s="30">
        <v>50</v>
      </c>
      <c r="P152" s="31"/>
      <c r="Q152" s="11">
        <v>700</v>
      </c>
      <c r="S152" t="str">
        <f t="shared" si="2"/>
        <v>Dr. B.B. Hegde First Grade College, Kundapura, Udupi.</v>
      </c>
    </row>
    <row r="153" spans="5:19">
      <c r="E153" s="32" t="s">
        <v>64</v>
      </c>
      <c r="F153" s="31"/>
      <c r="G153" s="11" t="s">
        <v>65</v>
      </c>
      <c r="H153" s="12" t="s">
        <v>68</v>
      </c>
      <c r="I153" s="12" t="s">
        <v>70</v>
      </c>
      <c r="J153" s="12" t="s">
        <v>102</v>
      </c>
      <c r="K153" s="12" t="s">
        <v>103</v>
      </c>
      <c r="L153" s="12" t="s">
        <v>69</v>
      </c>
      <c r="M153" s="12" t="s">
        <v>66</v>
      </c>
      <c r="N153" s="12" t="s">
        <v>88</v>
      </c>
      <c r="O153" s="30" t="s">
        <v>71</v>
      </c>
      <c r="P153" s="31"/>
      <c r="Q153" s="11" t="s">
        <v>37</v>
      </c>
      <c r="S153" t="str">
        <f t="shared" si="2"/>
        <v>00011</v>
      </c>
    </row>
    <row r="154" spans="5:19">
      <c r="E154" s="15" t="s">
        <v>72</v>
      </c>
      <c r="F154" s="15" t="s">
        <v>179</v>
      </c>
      <c r="G154" s="11" t="s">
        <v>74</v>
      </c>
      <c r="H154" s="12" t="s">
        <v>75</v>
      </c>
      <c r="I154" s="12" t="s">
        <v>75</v>
      </c>
      <c r="J154" s="12" t="s">
        <v>75</v>
      </c>
      <c r="K154" s="12" t="s">
        <v>75</v>
      </c>
      <c r="L154" s="12" t="s">
        <v>75</v>
      </c>
      <c r="M154" s="12" t="s">
        <v>75</v>
      </c>
      <c r="N154" s="12" t="s">
        <v>75</v>
      </c>
      <c r="O154" s="30" t="s">
        <v>75</v>
      </c>
      <c r="P154" s="31"/>
      <c r="Q154" s="11" t="s">
        <v>37</v>
      </c>
      <c r="S154" t="str">
        <f t="shared" si="2"/>
        <v>USN</v>
      </c>
    </row>
    <row r="155" spans="5:19">
      <c r="E155" s="16" t="s">
        <v>37</v>
      </c>
      <c r="F155" s="16" t="s">
        <v>37</v>
      </c>
      <c r="G155" s="16" t="s">
        <v>37</v>
      </c>
      <c r="H155" s="17" t="s">
        <v>37</v>
      </c>
      <c r="I155" s="17" t="s">
        <v>37</v>
      </c>
      <c r="J155" s="17" t="s">
        <v>37</v>
      </c>
      <c r="K155" s="17" t="s">
        <v>37</v>
      </c>
      <c r="L155" s="17" t="s">
        <v>37</v>
      </c>
      <c r="M155" s="17" t="s">
        <v>37</v>
      </c>
      <c r="N155" s="17" t="s">
        <v>37</v>
      </c>
      <c r="O155" s="41" t="s">
        <v>37</v>
      </c>
      <c r="P155" s="28"/>
      <c r="Q155" s="17" t="s">
        <v>37</v>
      </c>
      <c r="S155" t="str">
        <f t="shared" si="2"/>
        <v>KAPIL M MALSEKAR</v>
      </c>
    </row>
    <row r="156" spans="5:19" ht="0" hidden="1" customHeight="1">
      <c r="S156">
        <f t="shared" si="2"/>
        <v>0</v>
      </c>
    </row>
    <row r="157" spans="5:19" ht="0.6" customHeight="1">
      <c r="S157">
        <f t="shared" si="2"/>
        <v>0</v>
      </c>
    </row>
    <row r="158" spans="5:19">
      <c r="E158" s="38" t="s">
        <v>35</v>
      </c>
      <c r="F158" s="31"/>
      <c r="G158" s="4" t="s">
        <v>36</v>
      </c>
      <c r="H158" s="6" t="s">
        <v>37</v>
      </c>
      <c r="I158" s="6" t="s">
        <v>37</v>
      </c>
      <c r="J158" s="6" t="s">
        <v>37</v>
      </c>
      <c r="K158" s="6" t="s">
        <v>37</v>
      </c>
      <c r="L158" s="6" t="s">
        <v>37</v>
      </c>
      <c r="M158" s="6" t="s">
        <v>37</v>
      </c>
      <c r="N158" s="6" t="s">
        <v>37</v>
      </c>
      <c r="O158" s="39" t="s">
        <v>37</v>
      </c>
      <c r="P158" s="28"/>
      <c r="Q158" s="6" t="s">
        <v>37</v>
      </c>
      <c r="S158" t="str">
        <f t="shared" si="2"/>
        <v>SGPA</v>
      </c>
    </row>
    <row r="159" spans="5:19" ht="21">
      <c r="E159" s="32" t="s">
        <v>180</v>
      </c>
      <c r="F159" s="31"/>
      <c r="G159" s="8" t="s">
        <v>39</v>
      </c>
      <c r="H159" s="8" t="s">
        <v>19</v>
      </c>
      <c r="I159" s="8" t="s">
        <v>9</v>
      </c>
      <c r="J159" s="8" t="s">
        <v>21</v>
      </c>
      <c r="K159" s="8" t="s">
        <v>11</v>
      </c>
      <c r="L159" s="8" t="s">
        <v>17</v>
      </c>
      <c r="M159" s="8" t="s">
        <v>27</v>
      </c>
      <c r="N159" s="8" t="s">
        <v>7</v>
      </c>
      <c r="O159" s="40" t="s">
        <v>23</v>
      </c>
      <c r="P159" s="31"/>
      <c r="Q159" s="8" t="s">
        <v>40</v>
      </c>
      <c r="S159" t="str">
        <f t="shared" si="2"/>
        <v>CGPA</v>
      </c>
    </row>
    <row r="160" spans="5:19" ht="22.5">
      <c r="E160" s="13" t="s">
        <v>41</v>
      </c>
      <c r="F160" s="13" t="s">
        <v>181</v>
      </c>
      <c r="G160" s="11" t="s">
        <v>43</v>
      </c>
      <c r="H160" s="12" t="s">
        <v>182</v>
      </c>
      <c r="I160" s="12" t="s">
        <v>183</v>
      </c>
      <c r="J160" s="12" t="s">
        <v>184</v>
      </c>
      <c r="K160" s="12" t="s">
        <v>121</v>
      </c>
      <c r="L160" s="12" t="s">
        <v>185</v>
      </c>
      <c r="M160" s="12" t="s">
        <v>186</v>
      </c>
      <c r="N160" s="12" t="s">
        <v>176</v>
      </c>
      <c r="O160" s="30" t="s">
        <v>51</v>
      </c>
      <c r="P160" s="31"/>
      <c r="Q160" s="11" t="s">
        <v>37</v>
      </c>
      <c r="S160" t="str">
        <f t="shared" si="2"/>
        <v>Result: PASS</v>
      </c>
    </row>
    <row r="161" spans="5:19">
      <c r="E161" s="32" t="s">
        <v>187</v>
      </c>
      <c r="F161" s="33"/>
      <c r="G161" s="11" t="s">
        <v>53</v>
      </c>
      <c r="H161" s="12" t="s">
        <v>51</v>
      </c>
      <c r="I161" s="12" t="s">
        <v>51</v>
      </c>
      <c r="J161" s="12" t="s">
        <v>51</v>
      </c>
      <c r="K161" s="12" t="s">
        <v>51</v>
      </c>
      <c r="L161" s="12" t="s">
        <v>51</v>
      </c>
      <c r="M161" s="12" t="s">
        <v>51</v>
      </c>
      <c r="N161" s="12" t="s">
        <v>51</v>
      </c>
      <c r="O161" s="30" t="s">
        <v>178</v>
      </c>
      <c r="P161" s="31"/>
      <c r="Q161" s="11" t="s">
        <v>37</v>
      </c>
      <c r="S161" t="str">
        <f t="shared" si="2"/>
        <v>Class</v>
      </c>
    </row>
    <row r="162" spans="5:19">
      <c r="E162" s="34"/>
      <c r="F162" s="35"/>
      <c r="G162" s="11" t="s">
        <v>55</v>
      </c>
      <c r="H162" s="12" t="s">
        <v>37</v>
      </c>
      <c r="I162" s="12" t="s">
        <v>37</v>
      </c>
      <c r="J162" s="12" t="s">
        <v>37</v>
      </c>
      <c r="K162" s="12" t="s">
        <v>37</v>
      </c>
      <c r="L162" s="12" t="s">
        <v>37</v>
      </c>
      <c r="M162" s="12" t="s">
        <v>37</v>
      </c>
      <c r="N162" s="12" t="s">
        <v>37</v>
      </c>
      <c r="O162" s="30" t="s">
        <v>37</v>
      </c>
      <c r="P162" s="31"/>
      <c r="Q162" s="11">
        <v>0</v>
      </c>
      <c r="S162" t="str">
        <f t="shared" si="2"/>
        <v>Term Grade: OA+</v>
      </c>
    </row>
    <row r="163" spans="5:19">
      <c r="E163" s="36"/>
      <c r="F163" s="37"/>
      <c r="G163" s="11" t="s">
        <v>56</v>
      </c>
      <c r="H163" s="12">
        <v>4</v>
      </c>
      <c r="I163" s="12">
        <v>4</v>
      </c>
      <c r="J163" s="12">
        <v>4</v>
      </c>
      <c r="K163" s="12">
        <v>3</v>
      </c>
      <c r="L163" s="12">
        <v>3</v>
      </c>
      <c r="M163" s="12">
        <v>3</v>
      </c>
      <c r="N163" s="12">
        <v>2</v>
      </c>
      <c r="O163" s="30">
        <v>2</v>
      </c>
      <c r="P163" s="31"/>
      <c r="Q163" s="11">
        <v>25</v>
      </c>
      <c r="S163" t="str">
        <f t="shared" si="2"/>
        <v>M.C.No</v>
      </c>
    </row>
    <row r="164" spans="5:19">
      <c r="E164" s="13" t="s">
        <v>57</v>
      </c>
      <c r="F164" s="13">
        <v>8.64</v>
      </c>
      <c r="G164" s="11" t="s">
        <v>58</v>
      </c>
      <c r="H164" s="12">
        <v>8</v>
      </c>
      <c r="I164" s="12">
        <v>9.5</v>
      </c>
      <c r="J164" s="12">
        <v>8</v>
      </c>
      <c r="K164" s="12">
        <v>7</v>
      </c>
      <c r="L164" s="12">
        <v>8.5</v>
      </c>
      <c r="M164" s="12">
        <v>9.5</v>
      </c>
      <c r="N164" s="12">
        <v>10</v>
      </c>
      <c r="O164" s="30">
        <v>9.5</v>
      </c>
      <c r="P164" s="31"/>
      <c r="Q164" s="11" t="s">
        <v>37</v>
      </c>
      <c r="S164" t="str">
        <f t="shared" si="2"/>
        <v/>
      </c>
    </row>
    <row r="165" spans="5:19">
      <c r="E165" s="13" t="s">
        <v>59</v>
      </c>
      <c r="F165" s="14">
        <v>8.64</v>
      </c>
      <c r="G165" s="11" t="s">
        <v>60</v>
      </c>
      <c r="H165" s="12">
        <v>32</v>
      </c>
      <c r="I165" s="12">
        <v>38</v>
      </c>
      <c r="J165" s="12">
        <v>32</v>
      </c>
      <c r="K165" s="12">
        <v>21</v>
      </c>
      <c r="L165" s="12">
        <v>25.5</v>
      </c>
      <c r="M165" s="12">
        <v>28.5</v>
      </c>
      <c r="N165" s="12">
        <v>20</v>
      </c>
      <c r="O165" s="30">
        <v>19</v>
      </c>
      <c r="P165" s="31"/>
      <c r="Q165" s="11">
        <v>216</v>
      </c>
      <c r="S165">
        <f t="shared" si="2"/>
        <v>0</v>
      </c>
    </row>
    <row r="166" spans="5:19">
      <c r="E166" s="32" t="s">
        <v>61</v>
      </c>
      <c r="F166" s="31"/>
      <c r="G166" s="11" t="s">
        <v>40</v>
      </c>
      <c r="H166" s="12">
        <v>79</v>
      </c>
      <c r="I166" s="12">
        <v>94</v>
      </c>
      <c r="J166" s="12">
        <v>77</v>
      </c>
      <c r="K166" s="12">
        <v>65</v>
      </c>
      <c r="L166" s="12">
        <v>82</v>
      </c>
      <c r="M166" s="12">
        <v>90</v>
      </c>
      <c r="N166" s="12">
        <v>48</v>
      </c>
      <c r="O166" s="30">
        <v>47</v>
      </c>
      <c r="P166" s="31"/>
      <c r="Q166" s="11">
        <v>582</v>
      </c>
      <c r="S166">
        <f t="shared" si="2"/>
        <v>0</v>
      </c>
    </row>
    <row r="167" spans="5:19">
      <c r="E167" s="13" t="s">
        <v>62</v>
      </c>
      <c r="F167" s="13"/>
      <c r="G167" s="11" t="s">
        <v>63</v>
      </c>
      <c r="H167" s="12">
        <v>100</v>
      </c>
      <c r="I167" s="12">
        <v>100</v>
      </c>
      <c r="J167" s="12">
        <v>100</v>
      </c>
      <c r="K167" s="12">
        <v>100</v>
      </c>
      <c r="L167" s="12">
        <v>100</v>
      </c>
      <c r="M167" s="12">
        <v>100</v>
      </c>
      <c r="N167" s="12">
        <v>50</v>
      </c>
      <c r="O167" s="30">
        <v>50</v>
      </c>
      <c r="P167" s="31"/>
      <c r="Q167" s="11">
        <v>700</v>
      </c>
      <c r="S167" t="str">
        <f t="shared" si="2"/>
        <v>Dr. B.B. Hegde First Grade College, Kundapura, Udupi.</v>
      </c>
    </row>
    <row r="168" spans="5:19">
      <c r="E168" s="32" t="s">
        <v>188</v>
      </c>
      <c r="F168" s="31"/>
      <c r="G168" s="11" t="s">
        <v>65</v>
      </c>
      <c r="H168" s="12" t="s">
        <v>102</v>
      </c>
      <c r="I168" s="12" t="s">
        <v>71</v>
      </c>
      <c r="J168" s="12" t="s">
        <v>102</v>
      </c>
      <c r="K168" s="12" t="s">
        <v>66</v>
      </c>
      <c r="L168" s="12" t="s">
        <v>70</v>
      </c>
      <c r="M168" s="12" t="s">
        <v>71</v>
      </c>
      <c r="N168" s="12" t="s">
        <v>88</v>
      </c>
      <c r="O168" s="30" t="s">
        <v>71</v>
      </c>
      <c r="P168" s="31"/>
      <c r="Q168" s="11" t="s">
        <v>37</v>
      </c>
      <c r="S168" t="str">
        <f t="shared" si="2"/>
        <v>00012</v>
      </c>
    </row>
    <row r="169" spans="5:19">
      <c r="E169" s="15" t="s">
        <v>72</v>
      </c>
      <c r="F169" s="15" t="s">
        <v>189</v>
      </c>
      <c r="G169" s="11" t="s">
        <v>74</v>
      </c>
      <c r="H169" s="12" t="s">
        <v>75</v>
      </c>
      <c r="I169" s="12" t="s">
        <v>75</v>
      </c>
      <c r="J169" s="12" t="s">
        <v>75</v>
      </c>
      <c r="K169" s="12" t="s">
        <v>75</v>
      </c>
      <c r="L169" s="12" t="s">
        <v>75</v>
      </c>
      <c r="M169" s="12" t="s">
        <v>75</v>
      </c>
      <c r="N169" s="12" t="s">
        <v>75</v>
      </c>
      <c r="O169" s="30" t="s">
        <v>75</v>
      </c>
      <c r="P169" s="31"/>
      <c r="Q169" s="11" t="s">
        <v>37</v>
      </c>
      <c r="S169" t="str">
        <f t="shared" si="2"/>
        <v>USN</v>
      </c>
    </row>
    <row r="170" spans="5:19">
      <c r="E170" s="16" t="s">
        <v>37</v>
      </c>
      <c r="F170" s="16" t="s">
        <v>37</v>
      </c>
      <c r="G170" s="16" t="s">
        <v>37</v>
      </c>
      <c r="H170" s="17" t="s">
        <v>37</v>
      </c>
      <c r="I170" s="17" t="s">
        <v>37</v>
      </c>
      <c r="J170" s="17" t="s">
        <v>37</v>
      </c>
      <c r="K170" s="17" t="s">
        <v>37</v>
      </c>
      <c r="L170" s="17" t="s">
        <v>37</v>
      </c>
      <c r="M170" s="17" t="s">
        <v>37</v>
      </c>
      <c r="N170" s="17" t="s">
        <v>37</v>
      </c>
      <c r="O170" s="41" t="s">
        <v>37</v>
      </c>
      <c r="P170" s="28"/>
      <c r="Q170" s="17" t="s">
        <v>37</v>
      </c>
      <c r="S170" t="str">
        <f t="shared" si="2"/>
        <v>SINCHANA</v>
      </c>
    </row>
    <row r="171" spans="5:19" ht="0" hidden="1" customHeight="1">
      <c r="S171">
        <f t="shared" si="2"/>
        <v>0</v>
      </c>
    </row>
    <row r="172" spans="5:19" ht="0.6" customHeight="1">
      <c r="S172">
        <f t="shared" si="2"/>
        <v>0</v>
      </c>
    </row>
    <row r="173" spans="5:19">
      <c r="E173" s="38" t="s">
        <v>35</v>
      </c>
      <c r="F173" s="31"/>
      <c r="G173" s="4" t="s">
        <v>36</v>
      </c>
      <c r="H173" s="6" t="s">
        <v>37</v>
      </c>
      <c r="I173" s="6" t="s">
        <v>37</v>
      </c>
      <c r="J173" s="6" t="s">
        <v>37</v>
      </c>
      <c r="K173" s="6" t="s">
        <v>37</v>
      </c>
      <c r="L173" s="6" t="s">
        <v>37</v>
      </c>
      <c r="M173" s="6" t="s">
        <v>37</v>
      </c>
      <c r="N173" s="6" t="s">
        <v>37</v>
      </c>
      <c r="O173" s="39" t="s">
        <v>37</v>
      </c>
      <c r="P173" s="28"/>
      <c r="Q173" s="6" t="s">
        <v>37</v>
      </c>
      <c r="S173" t="str">
        <f t="shared" si="2"/>
        <v>SGPA</v>
      </c>
    </row>
    <row r="174" spans="5:19" ht="21">
      <c r="E174" s="32" t="s">
        <v>190</v>
      </c>
      <c r="F174" s="31"/>
      <c r="G174" s="8" t="s">
        <v>39</v>
      </c>
      <c r="H174" s="8" t="s">
        <v>19</v>
      </c>
      <c r="I174" s="8" t="s">
        <v>9</v>
      </c>
      <c r="J174" s="8" t="s">
        <v>21</v>
      </c>
      <c r="K174" s="8" t="s">
        <v>11</v>
      </c>
      <c r="L174" s="8" t="s">
        <v>17</v>
      </c>
      <c r="M174" s="8" t="s">
        <v>27</v>
      </c>
      <c r="N174" s="8" t="s">
        <v>7</v>
      </c>
      <c r="O174" s="40" t="s">
        <v>23</v>
      </c>
      <c r="P174" s="31"/>
      <c r="Q174" s="8" t="s">
        <v>40</v>
      </c>
      <c r="S174" t="str">
        <f t="shared" si="2"/>
        <v>CGPA</v>
      </c>
    </row>
    <row r="175" spans="5:19" ht="22.5">
      <c r="E175" s="13" t="s">
        <v>41</v>
      </c>
      <c r="F175" s="13" t="s">
        <v>191</v>
      </c>
      <c r="G175" s="11" t="s">
        <v>43</v>
      </c>
      <c r="H175" s="12" t="s">
        <v>192</v>
      </c>
      <c r="I175" s="12" t="s">
        <v>172</v>
      </c>
      <c r="J175" s="12" t="s">
        <v>193</v>
      </c>
      <c r="K175" s="12" t="s">
        <v>194</v>
      </c>
      <c r="L175" s="12" t="s">
        <v>195</v>
      </c>
      <c r="M175" s="12" t="s">
        <v>196</v>
      </c>
      <c r="N175" s="12" t="s">
        <v>197</v>
      </c>
      <c r="O175" s="30" t="s">
        <v>51</v>
      </c>
      <c r="P175" s="31"/>
      <c r="Q175" s="11" t="s">
        <v>37</v>
      </c>
      <c r="S175" t="str">
        <f t="shared" si="2"/>
        <v>Result: PASS</v>
      </c>
    </row>
    <row r="176" spans="5:19">
      <c r="E176" s="32" t="s">
        <v>198</v>
      </c>
      <c r="F176" s="33"/>
      <c r="G176" s="11" t="s">
        <v>53</v>
      </c>
      <c r="H176" s="12" t="s">
        <v>51</v>
      </c>
      <c r="I176" s="12" t="s">
        <v>51</v>
      </c>
      <c r="J176" s="12" t="s">
        <v>51</v>
      </c>
      <c r="K176" s="12" t="s">
        <v>51</v>
      </c>
      <c r="L176" s="12" t="s">
        <v>51</v>
      </c>
      <c r="M176" s="12" t="s">
        <v>51</v>
      </c>
      <c r="N176" s="12" t="s">
        <v>51</v>
      </c>
      <c r="O176" s="30" t="s">
        <v>199</v>
      </c>
      <c r="P176" s="31"/>
      <c r="Q176" s="11" t="s">
        <v>37</v>
      </c>
      <c r="S176" t="str">
        <f t="shared" si="2"/>
        <v>Class</v>
      </c>
    </row>
    <row r="177" spans="5:19">
      <c r="E177" s="34"/>
      <c r="F177" s="35"/>
      <c r="G177" s="11" t="s">
        <v>55</v>
      </c>
      <c r="H177" s="12" t="s">
        <v>37</v>
      </c>
      <c r="I177" s="12" t="s">
        <v>37</v>
      </c>
      <c r="J177" s="12" t="s">
        <v>37</v>
      </c>
      <c r="K177" s="12" t="s">
        <v>37</v>
      </c>
      <c r="L177" s="12" t="s">
        <v>37</v>
      </c>
      <c r="M177" s="12" t="s">
        <v>37</v>
      </c>
      <c r="N177" s="12" t="s">
        <v>37</v>
      </c>
      <c r="O177" s="30" t="s">
        <v>37</v>
      </c>
      <c r="P177" s="31"/>
      <c r="Q177" s="11">
        <v>0</v>
      </c>
      <c r="S177" t="str">
        <f t="shared" si="2"/>
        <v>Term Grade: OA</v>
      </c>
    </row>
    <row r="178" spans="5:19">
      <c r="E178" s="36"/>
      <c r="F178" s="37"/>
      <c r="G178" s="11" t="s">
        <v>56</v>
      </c>
      <c r="H178" s="12">
        <v>4</v>
      </c>
      <c r="I178" s="12">
        <v>4</v>
      </c>
      <c r="J178" s="12">
        <v>4</v>
      </c>
      <c r="K178" s="12">
        <v>3</v>
      </c>
      <c r="L178" s="12">
        <v>3</v>
      </c>
      <c r="M178" s="12">
        <v>3</v>
      </c>
      <c r="N178" s="12">
        <v>2</v>
      </c>
      <c r="O178" s="30">
        <v>2</v>
      </c>
      <c r="P178" s="31"/>
      <c r="Q178" s="11">
        <v>25</v>
      </c>
      <c r="S178" t="str">
        <f t="shared" si="2"/>
        <v>M.C.No</v>
      </c>
    </row>
    <row r="179" spans="5:19">
      <c r="E179" s="13" t="s">
        <v>57</v>
      </c>
      <c r="F179" s="13">
        <v>8.14</v>
      </c>
      <c r="G179" s="11" t="s">
        <v>58</v>
      </c>
      <c r="H179" s="12">
        <v>8.5</v>
      </c>
      <c r="I179" s="12">
        <v>8.5</v>
      </c>
      <c r="J179" s="12">
        <v>7</v>
      </c>
      <c r="K179" s="12">
        <v>7.5</v>
      </c>
      <c r="L179" s="12">
        <v>9.5</v>
      </c>
      <c r="M179" s="12">
        <v>6.5</v>
      </c>
      <c r="N179" s="12">
        <v>8.5</v>
      </c>
      <c r="O179" s="30">
        <v>10</v>
      </c>
      <c r="P179" s="31"/>
      <c r="Q179" s="11" t="s">
        <v>37</v>
      </c>
      <c r="S179" t="str">
        <f t="shared" si="2"/>
        <v/>
      </c>
    </row>
    <row r="180" spans="5:19">
      <c r="E180" s="13" t="s">
        <v>59</v>
      </c>
      <c r="F180" s="14">
        <v>8.14</v>
      </c>
      <c r="G180" s="11" t="s">
        <v>60</v>
      </c>
      <c r="H180" s="12">
        <v>34</v>
      </c>
      <c r="I180" s="12">
        <v>34</v>
      </c>
      <c r="J180" s="12">
        <v>28</v>
      </c>
      <c r="K180" s="12">
        <v>22.5</v>
      </c>
      <c r="L180" s="12">
        <v>28.5</v>
      </c>
      <c r="M180" s="12">
        <v>19.5</v>
      </c>
      <c r="N180" s="12">
        <v>17</v>
      </c>
      <c r="O180" s="30">
        <v>20</v>
      </c>
      <c r="P180" s="31"/>
      <c r="Q180" s="11">
        <v>203.5</v>
      </c>
      <c r="S180">
        <f t="shared" si="2"/>
        <v>0</v>
      </c>
    </row>
    <row r="181" spans="5:19">
      <c r="E181" s="32" t="s">
        <v>61</v>
      </c>
      <c r="F181" s="31"/>
      <c r="G181" s="11" t="s">
        <v>40</v>
      </c>
      <c r="H181" s="12">
        <v>80</v>
      </c>
      <c r="I181" s="12">
        <v>84</v>
      </c>
      <c r="J181" s="12">
        <v>68</v>
      </c>
      <c r="K181" s="12">
        <v>72</v>
      </c>
      <c r="L181" s="12">
        <v>91</v>
      </c>
      <c r="M181" s="12">
        <v>61</v>
      </c>
      <c r="N181" s="12">
        <v>42</v>
      </c>
      <c r="O181" s="30">
        <v>49</v>
      </c>
      <c r="P181" s="31"/>
      <c r="Q181" s="11">
        <v>547</v>
      </c>
      <c r="S181">
        <f t="shared" si="2"/>
        <v>0</v>
      </c>
    </row>
    <row r="182" spans="5:19">
      <c r="E182" s="13" t="s">
        <v>62</v>
      </c>
      <c r="F182" s="13"/>
      <c r="G182" s="11" t="s">
        <v>63</v>
      </c>
      <c r="H182" s="12">
        <v>100</v>
      </c>
      <c r="I182" s="12">
        <v>100</v>
      </c>
      <c r="J182" s="12">
        <v>100</v>
      </c>
      <c r="K182" s="12">
        <v>100</v>
      </c>
      <c r="L182" s="12">
        <v>100</v>
      </c>
      <c r="M182" s="12">
        <v>100</v>
      </c>
      <c r="N182" s="12">
        <v>50</v>
      </c>
      <c r="O182" s="30">
        <v>50</v>
      </c>
      <c r="P182" s="31"/>
      <c r="Q182" s="11">
        <v>700</v>
      </c>
      <c r="S182" t="str">
        <f t="shared" si="2"/>
        <v>Dr. B.B. Hegde First Grade College, Kundapura, Udupi.</v>
      </c>
    </row>
    <row r="183" spans="5:19">
      <c r="E183" s="32" t="s">
        <v>200</v>
      </c>
      <c r="F183" s="31"/>
      <c r="G183" s="11" t="s">
        <v>65</v>
      </c>
      <c r="H183" s="12" t="s">
        <v>70</v>
      </c>
      <c r="I183" s="12" t="s">
        <v>70</v>
      </c>
      <c r="J183" s="12" t="s">
        <v>66</v>
      </c>
      <c r="K183" s="12" t="s">
        <v>68</v>
      </c>
      <c r="L183" s="12" t="s">
        <v>71</v>
      </c>
      <c r="M183" s="12" t="s">
        <v>69</v>
      </c>
      <c r="N183" s="12" t="s">
        <v>70</v>
      </c>
      <c r="O183" s="30" t="s">
        <v>88</v>
      </c>
      <c r="P183" s="31"/>
      <c r="Q183" s="11" t="s">
        <v>37</v>
      </c>
      <c r="S183" t="str">
        <f t="shared" si="2"/>
        <v>00013</v>
      </c>
    </row>
    <row r="184" spans="5:19">
      <c r="E184" s="15" t="s">
        <v>72</v>
      </c>
      <c r="F184" s="15" t="s">
        <v>201</v>
      </c>
      <c r="G184" s="11" t="s">
        <v>74</v>
      </c>
      <c r="H184" s="12" t="s">
        <v>75</v>
      </c>
      <c r="I184" s="12" t="s">
        <v>75</v>
      </c>
      <c r="J184" s="12" t="s">
        <v>75</v>
      </c>
      <c r="K184" s="12" t="s">
        <v>75</v>
      </c>
      <c r="L184" s="12" t="s">
        <v>75</v>
      </c>
      <c r="M184" s="12" t="s">
        <v>75</v>
      </c>
      <c r="N184" s="12" t="s">
        <v>75</v>
      </c>
      <c r="O184" s="30" t="s">
        <v>75</v>
      </c>
      <c r="P184" s="31"/>
      <c r="Q184" s="11" t="s">
        <v>37</v>
      </c>
      <c r="S184" t="str">
        <f t="shared" si="2"/>
        <v>USN</v>
      </c>
    </row>
    <row r="185" spans="5:19">
      <c r="E185" s="16" t="s">
        <v>37</v>
      </c>
      <c r="F185" s="16" t="s">
        <v>37</v>
      </c>
      <c r="G185" s="16" t="s">
        <v>37</v>
      </c>
      <c r="H185" s="17" t="s">
        <v>37</v>
      </c>
      <c r="I185" s="17" t="s">
        <v>37</v>
      </c>
      <c r="J185" s="17" t="s">
        <v>37</v>
      </c>
      <c r="K185" s="17" t="s">
        <v>37</v>
      </c>
      <c r="L185" s="17" t="s">
        <v>37</v>
      </c>
      <c r="M185" s="17" t="s">
        <v>37</v>
      </c>
      <c r="N185" s="17" t="s">
        <v>37</v>
      </c>
      <c r="O185" s="41" t="s">
        <v>37</v>
      </c>
      <c r="P185" s="28"/>
      <c r="Q185" s="17" t="s">
        <v>37</v>
      </c>
      <c r="S185" t="str">
        <f t="shared" si="2"/>
        <v>RACHANA</v>
      </c>
    </row>
    <row r="186" spans="5:19" ht="0" hidden="1" customHeight="1">
      <c r="S186">
        <f t="shared" si="2"/>
        <v>0</v>
      </c>
    </row>
    <row r="187" spans="5:19" ht="0.6" customHeight="1">
      <c r="S187">
        <f t="shared" si="2"/>
        <v>0</v>
      </c>
    </row>
    <row r="188" spans="5:19">
      <c r="E188" s="38" t="s">
        <v>35</v>
      </c>
      <c r="F188" s="31"/>
      <c r="G188" s="4" t="s">
        <v>36</v>
      </c>
      <c r="H188" s="6" t="s">
        <v>37</v>
      </c>
      <c r="I188" s="6" t="s">
        <v>37</v>
      </c>
      <c r="J188" s="6" t="s">
        <v>37</v>
      </c>
      <c r="K188" s="6" t="s">
        <v>37</v>
      </c>
      <c r="L188" s="6" t="s">
        <v>37</v>
      </c>
      <c r="M188" s="6" t="s">
        <v>37</v>
      </c>
      <c r="N188" s="6" t="s">
        <v>37</v>
      </c>
      <c r="O188" s="39" t="s">
        <v>37</v>
      </c>
      <c r="P188" s="28"/>
      <c r="Q188" s="6" t="s">
        <v>37</v>
      </c>
      <c r="S188" t="str">
        <f t="shared" si="2"/>
        <v>SGPA</v>
      </c>
    </row>
    <row r="189" spans="5:19" ht="21">
      <c r="E189" s="32" t="s">
        <v>202</v>
      </c>
      <c r="F189" s="31"/>
      <c r="G189" s="8" t="s">
        <v>39</v>
      </c>
      <c r="H189" s="8" t="s">
        <v>19</v>
      </c>
      <c r="I189" s="8" t="s">
        <v>9</v>
      </c>
      <c r="J189" s="8" t="s">
        <v>21</v>
      </c>
      <c r="K189" s="8" t="s">
        <v>11</v>
      </c>
      <c r="L189" s="8" t="s">
        <v>15</v>
      </c>
      <c r="M189" s="8" t="s">
        <v>27</v>
      </c>
      <c r="N189" s="8" t="s">
        <v>7</v>
      </c>
      <c r="O189" s="40" t="s">
        <v>33</v>
      </c>
      <c r="P189" s="31"/>
      <c r="Q189" s="8" t="s">
        <v>40</v>
      </c>
      <c r="S189" t="str">
        <f t="shared" si="2"/>
        <v>CGPA</v>
      </c>
    </row>
    <row r="190" spans="5:19" ht="22.5">
      <c r="E190" s="13" t="s">
        <v>41</v>
      </c>
      <c r="F190" s="13" t="s">
        <v>203</v>
      </c>
      <c r="G190" s="11" t="s">
        <v>43</v>
      </c>
      <c r="H190" s="12" t="s">
        <v>204</v>
      </c>
      <c r="I190" s="12" t="s">
        <v>205</v>
      </c>
      <c r="J190" s="12" t="s">
        <v>206</v>
      </c>
      <c r="K190" s="12" t="s">
        <v>207</v>
      </c>
      <c r="L190" s="12" t="s">
        <v>78</v>
      </c>
      <c r="M190" s="12" t="s">
        <v>208</v>
      </c>
      <c r="N190" s="12" t="s">
        <v>209</v>
      </c>
      <c r="O190" s="30" t="s">
        <v>51</v>
      </c>
      <c r="P190" s="31"/>
      <c r="Q190" s="11" t="s">
        <v>37</v>
      </c>
      <c r="S190" t="str">
        <f t="shared" si="2"/>
        <v>Result: PASS</v>
      </c>
    </row>
    <row r="191" spans="5:19">
      <c r="E191" s="32" t="s">
        <v>210</v>
      </c>
      <c r="F191" s="33"/>
      <c r="G191" s="11" t="s">
        <v>53</v>
      </c>
      <c r="H191" s="12" t="s">
        <v>51</v>
      </c>
      <c r="I191" s="12" t="s">
        <v>51</v>
      </c>
      <c r="J191" s="12" t="s">
        <v>51</v>
      </c>
      <c r="K191" s="12" t="s">
        <v>51</v>
      </c>
      <c r="L191" s="12" t="s">
        <v>51</v>
      </c>
      <c r="M191" s="12" t="s">
        <v>51</v>
      </c>
      <c r="N191" s="12" t="s">
        <v>51</v>
      </c>
      <c r="O191" s="30" t="s">
        <v>100</v>
      </c>
      <c r="P191" s="31"/>
      <c r="Q191" s="11" t="s">
        <v>37</v>
      </c>
      <c r="S191" t="str">
        <f t="shared" si="2"/>
        <v>Class</v>
      </c>
    </row>
    <row r="192" spans="5:19">
      <c r="E192" s="34"/>
      <c r="F192" s="35"/>
      <c r="G192" s="11" t="s">
        <v>55</v>
      </c>
      <c r="H192" s="12" t="s">
        <v>37</v>
      </c>
      <c r="I192" s="12" t="s">
        <v>37</v>
      </c>
      <c r="J192" s="12" t="s">
        <v>37</v>
      </c>
      <c r="K192" s="12" t="s">
        <v>37</v>
      </c>
      <c r="L192" s="12" t="s">
        <v>37</v>
      </c>
      <c r="M192" s="12" t="s">
        <v>37</v>
      </c>
      <c r="N192" s="12" t="s">
        <v>37</v>
      </c>
      <c r="O192" s="30" t="s">
        <v>37</v>
      </c>
      <c r="P192" s="31"/>
      <c r="Q192" s="11">
        <v>0</v>
      </c>
      <c r="S192" t="str">
        <f t="shared" si="2"/>
        <v>Term Grade: OA+</v>
      </c>
    </row>
    <row r="193" spans="5:19">
      <c r="E193" s="36"/>
      <c r="F193" s="37"/>
      <c r="G193" s="11" t="s">
        <v>56</v>
      </c>
      <c r="H193" s="12">
        <v>4</v>
      </c>
      <c r="I193" s="12">
        <v>4</v>
      </c>
      <c r="J193" s="12">
        <v>4</v>
      </c>
      <c r="K193" s="12">
        <v>3</v>
      </c>
      <c r="L193" s="12">
        <v>3</v>
      </c>
      <c r="M193" s="12">
        <v>3</v>
      </c>
      <c r="N193" s="12">
        <v>2</v>
      </c>
      <c r="O193" s="30">
        <v>2</v>
      </c>
      <c r="P193" s="31"/>
      <c r="Q193" s="11">
        <v>25</v>
      </c>
      <c r="S193" t="str">
        <f t="shared" si="2"/>
        <v>M.C.No</v>
      </c>
    </row>
    <row r="194" spans="5:19">
      <c r="E194" s="13" t="s">
        <v>57</v>
      </c>
      <c r="F194" s="13">
        <v>8.76</v>
      </c>
      <c r="G194" s="11" t="s">
        <v>58</v>
      </c>
      <c r="H194" s="12">
        <v>8.5</v>
      </c>
      <c r="I194" s="12">
        <v>9.5</v>
      </c>
      <c r="J194" s="12">
        <v>8</v>
      </c>
      <c r="K194" s="12">
        <v>7.5</v>
      </c>
      <c r="L194" s="12">
        <v>9</v>
      </c>
      <c r="M194" s="12">
        <v>8.5</v>
      </c>
      <c r="N194" s="12">
        <v>10</v>
      </c>
      <c r="O194" s="30">
        <v>10</v>
      </c>
      <c r="P194" s="31"/>
      <c r="Q194" s="11" t="s">
        <v>37</v>
      </c>
      <c r="S194" t="str">
        <f t="shared" si="2"/>
        <v/>
      </c>
    </row>
    <row r="195" spans="5:19">
      <c r="E195" s="13" t="s">
        <v>59</v>
      </c>
      <c r="F195" s="14">
        <v>8.76</v>
      </c>
      <c r="G195" s="11" t="s">
        <v>60</v>
      </c>
      <c r="H195" s="12">
        <v>34</v>
      </c>
      <c r="I195" s="12">
        <v>38</v>
      </c>
      <c r="J195" s="12">
        <v>32</v>
      </c>
      <c r="K195" s="12">
        <v>22.5</v>
      </c>
      <c r="L195" s="12">
        <v>27</v>
      </c>
      <c r="M195" s="12">
        <v>25.5</v>
      </c>
      <c r="N195" s="12">
        <v>20</v>
      </c>
      <c r="O195" s="30">
        <v>20</v>
      </c>
      <c r="P195" s="31"/>
      <c r="Q195" s="11">
        <v>219</v>
      </c>
      <c r="S195">
        <f t="shared" si="2"/>
        <v>0</v>
      </c>
    </row>
    <row r="196" spans="5:19">
      <c r="E196" s="32" t="s">
        <v>61</v>
      </c>
      <c r="F196" s="31"/>
      <c r="G196" s="11" t="s">
        <v>40</v>
      </c>
      <c r="H196" s="12">
        <v>82</v>
      </c>
      <c r="I196" s="12">
        <v>90</v>
      </c>
      <c r="J196" s="12">
        <v>76</v>
      </c>
      <c r="K196" s="12">
        <v>73</v>
      </c>
      <c r="L196" s="12">
        <v>86</v>
      </c>
      <c r="M196" s="12">
        <v>84</v>
      </c>
      <c r="N196" s="12">
        <v>50</v>
      </c>
      <c r="O196" s="30">
        <v>50</v>
      </c>
      <c r="P196" s="31"/>
      <c r="Q196" s="11">
        <v>591</v>
      </c>
      <c r="S196" t="str">
        <f t="shared" si="2"/>
        <v>Dr. B.B. Hegde First Grade College, Kundapura, Udupi.</v>
      </c>
    </row>
    <row r="197" spans="5:19">
      <c r="E197" s="13" t="s">
        <v>62</v>
      </c>
      <c r="F197" s="13"/>
      <c r="G197" s="11" t="s">
        <v>63</v>
      </c>
      <c r="H197" s="12">
        <v>100</v>
      </c>
      <c r="I197" s="12">
        <v>100</v>
      </c>
      <c r="J197" s="12">
        <v>100</v>
      </c>
      <c r="K197" s="12">
        <v>100</v>
      </c>
      <c r="L197" s="12">
        <v>100</v>
      </c>
      <c r="M197" s="12">
        <v>100</v>
      </c>
      <c r="N197" s="12">
        <v>50</v>
      </c>
      <c r="O197" s="30">
        <v>50</v>
      </c>
      <c r="P197" s="31"/>
      <c r="Q197" s="11">
        <v>700</v>
      </c>
      <c r="S197" t="str">
        <f t="shared" si="2"/>
        <v>00014</v>
      </c>
    </row>
    <row r="198" spans="5:19">
      <c r="E198" s="32" t="s">
        <v>188</v>
      </c>
      <c r="F198" s="31"/>
      <c r="G198" s="11" t="s">
        <v>65</v>
      </c>
      <c r="H198" s="12" t="s">
        <v>70</v>
      </c>
      <c r="I198" s="12" t="s">
        <v>71</v>
      </c>
      <c r="J198" s="12" t="s">
        <v>102</v>
      </c>
      <c r="K198" s="12" t="s">
        <v>68</v>
      </c>
      <c r="L198" s="12" t="s">
        <v>67</v>
      </c>
      <c r="M198" s="12" t="s">
        <v>70</v>
      </c>
      <c r="N198" s="12" t="s">
        <v>88</v>
      </c>
      <c r="O198" s="30" t="s">
        <v>88</v>
      </c>
      <c r="P198" s="31"/>
      <c r="Q198" s="11" t="s">
        <v>37</v>
      </c>
      <c r="S198" t="str">
        <f t="shared" si="2"/>
        <v>USN</v>
      </c>
    </row>
    <row r="199" spans="5:19">
      <c r="E199" s="15" t="s">
        <v>72</v>
      </c>
      <c r="F199" s="15" t="s">
        <v>211</v>
      </c>
      <c r="G199" s="11" t="s">
        <v>74</v>
      </c>
      <c r="H199" s="12" t="s">
        <v>75</v>
      </c>
      <c r="I199" s="12" t="s">
        <v>75</v>
      </c>
      <c r="J199" s="12" t="s">
        <v>75</v>
      </c>
      <c r="K199" s="12" t="s">
        <v>75</v>
      </c>
      <c r="L199" s="12" t="s">
        <v>75</v>
      </c>
      <c r="M199" s="12" t="s">
        <v>75</v>
      </c>
      <c r="N199" s="12" t="s">
        <v>75</v>
      </c>
      <c r="O199" s="30" t="s">
        <v>75</v>
      </c>
      <c r="P199" s="31"/>
      <c r="Q199" s="11" t="s">
        <v>37</v>
      </c>
      <c r="S199" t="str">
        <f t="shared" si="2"/>
        <v>SINCHANA</v>
      </c>
    </row>
    <row r="200" spans="5:19">
      <c r="E200" s="16" t="s">
        <v>37</v>
      </c>
      <c r="F200" s="16" t="s">
        <v>37</v>
      </c>
      <c r="G200" s="16" t="s">
        <v>37</v>
      </c>
      <c r="H200" s="17" t="s">
        <v>37</v>
      </c>
      <c r="I200" s="17" t="s">
        <v>37</v>
      </c>
      <c r="J200" s="17" t="s">
        <v>37</v>
      </c>
      <c r="K200" s="17" t="s">
        <v>37</v>
      </c>
      <c r="L200" s="17" t="s">
        <v>37</v>
      </c>
      <c r="M200" s="17" t="s">
        <v>37</v>
      </c>
      <c r="N200" s="17" t="s">
        <v>37</v>
      </c>
      <c r="O200" s="41" t="s">
        <v>37</v>
      </c>
      <c r="P200" s="28"/>
      <c r="Q200" s="17" t="s">
        <v>37</v>
      </c>
      <c r="S200">
        <f t="shared" si="2"/>
        <v>0</v>
      </c>
    </row>
    <row r="201" spans="5:19" ht="0.6" customHeight="1">
      <c r="S201">
        <f t="shared" si="2"/>
        <v>0</v>
      </c>
    </row>
    <row r="202" spans="5:19">
      <c r="E202" s="38" t="s">
        <v>35</v>
      </c>
      <c r="F202" s="31"/>
      <c r="G202" s="4" t="s">
        <v>36</v>
      </c>
      <c r="H202" s="6" t="s">
        <v>37</v>
      </c>
      <c r="I202" s="6" t="s">
        <v>37</v>
      </c>
      <c r="J202" s="6" t="s">
        <v>37</v>
      </c>
      <c r="K202" s="6" t="s">
        <v>37</v>
      </c>
      <c r="L202" s="6" t="s">
        <v>37</v>
      </c>
      <c r="M202" s="6" t="s">
        <v>37</v>
      </c>
      <c r="N202" s="6" t="s">
        <v>37</v>
      </c>
      <c r="O202" s="39" t="s">
        <v>37</v>
      </c>
      <c r="P202" s="28"/>
      <c r="Q202" s="6" t="s">
        <v>37</v>
      </c>
      <c r="S202" t="str">
        <f t="shared" si="2"/>
        <v>SGPA</v>
      </c>
    </row>
    <row r="203" spans="5:19" ht="21">
      <c r="E203" s="32" t="s">
        <v>212</v>
      </c>
      <c r="F203" s="31"/>
      <c r="G203" s="8" t="s">
        <v>39</v>
      </c>
      <c r="H203" s="8" t="s">
        <v>19</v>
      </c>
      <c r="I203" s="8" t="s">
        <v>9</v>
      </c>
      <c r="J203" s="8" t="s">
        <v>21</v>
      </c>
      <c r="K203" s="8" t="s">
        <v>11</v>
      </c>
      <c r="L203" s="8" t="s">
        <v>17</v>
      </c>
      <c r="M203" s="8" t="s">
        <v>27</v>
      </c>
      <c r="N203" s="8" t="s">
        <v>7</v>
      </c>
      <c r="O203" s="40" t="s">
        <v>25</v>
      </c>
      <c r="P203" s="31"/>
      <c r="Q203" s="8" t="s">
        <v>40</v>
      </c>
      <c r="S203" t="str">
        <f t="shared" si="2"/>
        <v>CGPA</v>
      </c>
    </row>
    <row r="204" spans="5:19" ht="22.5">
      <c r="E204" s="13" t="s">
        <v>41</v>
      </c>
      <c r="F204" s="13" t="s">
        <v>213</v>
      </c>
      <c r="G204" s="11" t="s">
        <v>43</v>
      </c>
      <c r="H204" s="12" t="s">
        <v>214</v>
      </c>
      <c r="I204" s="12" t="s">
        <v>172</v>
      </c>
      <c r="J204" s="12" t="s">
        <v>215</v>
      </c>
      <c r="K204" s="12" t="s">
        <v>121</v>
      </c>
      <c r="L204" s="12" t="s">
        <v>216</v>
      </c>
      <c r="M204" s="12" t="s">
        <v>217</v>
      </c>
      <c r="N204" s="12" t="s">
        <v>218</v>
      </c>
      <c r="O204" s="30" t="s">
        <v>51</v>
      </c>
      <c r="P204" s="31"/>
      <c r="Q204" s="11" t="s">
        <v>37</v>
      </c>
      <c r="S204" t="str">
        <f t="shared" ref="S204:S267" si="3">$E210</f>
        <v>Result: PASS</v>
      </c>
    </row>
    <row r="205" spans="5:19">
      <c r="E205" s="32" t="s">
        <v>198</v>
      </c>
      <c r="F205" s="33"/>
      <c r="G205" s="11" t="s">
        <v>53</v>
      </c>
      <c r="H205" s="12" t="s">
        <v>51</v>
      </c>
      <c r="I205" s="12" t="s">
        <v>51</v>
      </c>
      <c r="J205" s="12" t="s">
        <v>51</v>
      </c>
      <c r="K205" s="12" t="s">
        <v>51</v>
      </c>
      <c r="L205" s="12" t="s">
        <v>51</v>
      </c>
      <c r="M205" s="12" t="s">
        <v>51</v>
      </c>
      <c r="N205" s="12" t="s">
        <v>51</v>
      </c>
      <c r="O205" s="30" t="s">
        <v>54</v>
      </c>
      <c r="P205" s="31"/>
      <c r="Q205" s="11" t="s">
        <v>37</v>
      </c>
      <c r="S205" t="str">
        <f t="shared" si="3"/>
        <v>Class</v>
      </c>
    </row>
    <row r="206" spans="5:19">
      <c r="E206" s="34"/>
      <c r="F206" s="35"/>
      <c r="G206" s="11" t="s">
        <v>55</v>
      </c>
      <c r="H206" s="12" t="s">
        <v>37</v>
      </c>
      <c r="I206" s="12" t="s">
        <v>37</v>
      </c>
      <c r="J206" s="12" t="s">
        <v>37</v>
      </c>
      <c r="K206" s="12" t="s">
        <v>37</v>
      </c>
      <c r="L206" s="12" t="s">
        <v>37</v>
      </c>
      <c r="M206" s="12" t="s">
        <v>37</v>
      </c>
      <c r="N206" s="12" t="s">
        <v>37</v>
      </c>
      <c r="O206" s="30" t="s">
        <v>37</v>
      </c>
      <c r="P206" s="31"/>
      <c r="Q206" s="11">
        <v>0</v>
      </c>
      <c r="S206" t="str">
        <f t="shared" si="3"/>
        <v>Term Grade: AA+</v>
      </c>
    </row>
    <row r="207" spans="5:19">
      <c r="E207" s="36"/>
      <c r="F207" s="37"/>
      <c r="G207" s="11" t="s">
        <v>56</v>
      </c>
      <c r="H207" s="12">
        <v>4</v>
      </c>
      <c r="I207" s="12">
        <v>4</v>
      </c>
      <c r="J207" s="12">
        <v>4</v>
      </c>
      <c r="K207" s="12">
        <v>3</v>
      </c>
      <c r="L207" s="12">
        <v>3</v>
      </c>
      <c r="M207" s="12">
        <v>3</v>
      </c>
      <c r="N207" s="12">
        <v>2</v>
      </c>
      <c r="O207" s="30">
        <v>2</v>
      </c>
      <c r="P207" s="31"/>
      <c r="Q207" s="11">
        <v>25</v>
      </c>
      <c r="S207" t="str">
        <f t="shared" si="3"/>
        <v>M.C.No</v>
      </c>
    </row>
    <row r="208" spans="5:19">
      <c r="E208" s="13" t="s">
        <v>57</v>
      </c>
      <c r="F208" s="13">
        <v>7.9</v>
      </c>
      <c r="G208" s="11" t="s">
        <v>58</v>
      </c>
      <c r="H208" s="12">
        <v>7.5</v>
      </c>
      <c r="I208" s="12">
        <v>8.5</v>
      </c>
      <c r="J208" s="12">
        <v>7</v>
      </c>
      <c r="K208" s="12">
        <v>7</v>
      </c>
      <c r="L208" s="12">
        <v>8</v>
      </c>
      <c r="M208" s="12">
        <v>7.5</v>
      </c>
      <c r="N208" s="12">
        <v>9.5</v>
      </c>
      <c r="O208" s="30">
        <v>9.5</v>
      </c>
      <c r="P208" s="31"/>
      <c r="Q208" s="11" t="s">
        <v>37</v>
      </c>
      <c r="S208" t="str">
        <f t="shared" si="3"/>
        <v/>
      </c>
    </row>
    <row r="209" spans="5:19">
      <c r="E209" s="13" t="s">
        <v>59</v>
      </c>
      <c r="F209" s="14">
        <v>7.9</v>
      </c>
      <c r="G209" s="11" t="s">
        <v>60</v>
      </c>
      <c r="H209" s="12">
        <v>30</v>
      </c>
      <c r="I209" s="12">
        <v>34</v>
      </c>
      <c r="J209" s="12">
        <v>28</v>
      </c>
      <c r="K209" s="12">
        <v>21</v>
      </c>
      <c r="L209" s="12">
        <v>24</v>
      </c>
      <c r="M209" s="12">
        <v>22.5</v>
      </c>
      <c r="N209" s="12">
        <v>19</v>
      </c>
      <c r="O209" s="30">
        <v>19</v>
      </c>
      <c r="P209" s="31"/>
      <c r="Q209" s="11">
        <v>197.5</v>
      </c>
      <c r="S209">
        <f t="shared" si="3"/>
        <v>0</v>
      </c>
    </row>
    <row r="210" spans="5:19">
      <c r="E210" s="32" t="s">
        <v>61</v>
      </c>
      <c r="F210" s="31"/>
      <c r="G210" s="11" t="s">
        <v>40</v>
      </c>
      <c r="H210" s="12">
        <v>74</v>
      </c>
      <c r="I210" s="12">
        <v>84</v>
      </c>
      <c r="J210" s="12">
        <v>68</v>
      </c>
      <c r="K210" s="12">
        <v>65</v>
      </c>
      <c r="L210" s="12">
        <v>78</v>
      </c>
      <c r="M210" s="12">
        <v>72</v>
      </c>
      <c r="N210" s="12">
        <v>47</v>
      </c>
      <c r="O210" s="30">
        <v>45</v>
      </c>
      <c r="P210" s="31"/>
      <c r="Q210" s="11">
        <v>533</v>
      </c>
      <c r="S210">
        <f t="shared" si="3"/>
        <v>0</v>
      </c>
    </row>
    <row r="211" spans="5:19">
      <c r="E211" s="13" t="s">
        <v>62</v>
      </c>
      <c r="F211" s="13"/>
      <c r="G211" s="11" t="s">
        <v>63</v>
      </c>
      <c r="H211" s="12">
        <v>100</v>
      </c>
      <c r="I211" s="12">
        <v>100</v>
      </c>
      <c r="J211" s="12">
        <v>100</v>
      </c>
      <c r="K211" s="12">
        <v>100</v>
      </c>
      <c r="L211" s="12">
        <v>100</v>
      </c>
      <c r="M211" s="12">
        <v>100</v>
      </c>
      <c r="N211" s="12">
        <v>50</v>
      </c>
      <c r="O211" s="30">
        <v>50</v>
      </c>
      <c r="P211" s="31"/>
      <c r="Q211" s="11">
        <v>700</v>
      </c>
      <c r="S211" t="str">
        <f t="shared" si="3"/>
        <v>Dr. B.B. Hegde First Grade College, Kundapura, Udupi.</v>
      </c>
    </row>
    <row r="212" spans="5:19">
      <c r="E212" s="32" t="s">
        <v>64</v>
      </c>
      <c r="F212" s="31"/>
      <c r="G212" s="11" t="s">
        <v>65</v>
      </c>
      <c r="H212" s="12" t="s">
        <v>68</v>
      </c>
      <c r="I212" s="12" t="s">
        <v>70</v>
      </c>
      <c r="J212" s="12" t="s">
        <v>66</v>
      </c>
      <c r="K212" s="12" t="s">
        <v>66</v>
      </c>
      <c r="L212" s="12" t="s">
        <v>102</v>
      </c>
      <c r="M212" s="12" t="s">
        <v>68</v>
      </c>
      <c r="N212" s="12" t="s">
        <v>71</v>
      </c>
      <c r="O212" s="30" t="s">
        <v>71</v>
      </c>
      <c r="P212" s="31"/>
      <c r="Q212" s="11" t="s">
        <v>37</v>
      </c>
      <c r="S212" t="str">
        <f t="shared" si="3"/>
        <v>00015</v>
      </c>
    </row>
    <row r="213" spans="5:19">
      <c r="E213" s="15" t="s">
        <v>72</v>
      </c>
      <c r="F213" s="15" t="s">
        <v>219</v>
      </c>
      <c r="G213" s="11" t="s">
        <v>74</v>
      </c>
      <c r="H213" s="12" t="s">
        <v>75</v>
      </c>
      <c r="I213" s="12" t="s">
        <v>75</v>
      </c>
      <c r="J213" s="12" t="s">
        <v>75</v>
      </c>
      <c r="K213" s="12" t="s">
        <v>75</v>
      </c>
      <c r="L213" s="12" t="s">
        <v>75</v>
      </c>
      <c r="M213" s="12" t="s">
        <v>75</v>
      </c>
      <c r="N213" s="12" t="s">
        <v>75</v>
      </c>
      <c r="O213" s="30" t="s">
        <v>75</v>
      </c>
      <c r="P213" s="31"/>
      <c r="Q213" s="11" t="s">
        <v>37</v>
      </c>
      <c r="S213" t="str">
        <f t="shared" si="3"/>
        <v>USN</v>
      </c>
    </row>
    <row r="214" spans="5:19">
      <c r="E214" s="16" t="s">
        <v>37</v>
      </c>
      <c r="F214" s="16" t="s">
        <v>37</v>
      </c>
      <c r="G214" s="16" t="s">
        <v>37</v>
      </c>
      <c r="H214" s="17" t="s">
        <v>37</v>
      </c>
      <c r="I214" s="17" t="s">
        <v>37</v>
      </c>
      <c r="J214" s="17" t="s">
        <v>37</v>
      </c>
      <c r="K214" s="17" t="s">
        <v>37</v>
      </c>
      <c r="L214" s="17" t="s">
        <v>37</v>
      </c>
      <c r="M214" s="17" t="s">
        <v>37</v>
      </c>
      <c r="N214" s="17" t="s">
        <v>37</v>
      </c>
      <c r="O214" s="41" t="s">
        <v>37</v>
      </c>
      <c r="P214" s="28"/>
      <c r="Q214" s="17" t="s">
        <v>37</v>
      </c>
      <c r="S214" t="str">
        <f t="shared" si="3"/>
        <v>SHARVARI D</v>
      </c>
    </row>
    <row r="215" spans="5:19" ht="0" hidden="1" customHeight="1">
      <c r="S215">
        <f t="shared" si="3"/>
        <v>0</v>
      </c>
    </row>
    <row r="216" spans="5:19" ht="0.6" customHeight="1">
      <c r="S216">
        <f t="shared" si="3"/>
        <v>0</v>
      </c>
    </row>
    <row r="217" spans="5:19">
      <c r="E217" s="38" t="s">
        <v>35</v>
      </c>
      <c r="F217" s="31"/>
      <c r="G217" s="4" t="s">
        <v>36</v>
      </c>
      <c r="H217" s="6" t="s">
        <v>37</v>
      </c>
      <c r="I217" s="6" t="s">
        <v>37</v>
      </c>
      <c r="J217" s="6" t="s">
        <v>37</v>
      </c>
      <c r="K217" s="6" t="s">
        <v>37</v>
      </c>
      <c r="L217" s="6" t="s">
        <v>37</v>
      </c>
      <c r="M217" s="6" t="s">
        <v>37</v>
      </c>
      <c r="N217" s="6" t="s">
        <v>37</v>
      </c>
      <c r="O217" s="39" t="s">
        <v>37</v>
      </c>
      <c r="P217" s="28"/>
      <c r="Q217" s="6" t="s">
        <v>37</v>
      </c>
      <c r="S217" t="str">
        <f t="shared" si="3"/>
        <v>SGPA</v>
      </c>
    </row>
    <row r="218" spans="5:19" ht="21">
      <c r="E218" s="32" t="s">
        <v>220</v>
      </c>
      <c r="F218" s="31"/>
      <c r="G218" s="8" t="s">
        <v>39</v>
      </c>
      <c r="H218" s="8" t="s">
        <v>19</v>
      </c>
      <c r="I218" s="8" t="s">
        <v>9</v>
      </c>
      <c r="J218" s="8" t="s">
        <v>21</v>
      </c>
      <c r="K218" s="8" t="s">
        <v>11</v>
      </c>
      <c r="L218" s="8" t="s">
        <v>17</v>
      </c>
      <c r="M218" s="8" t="s">
        <v>27</v>
      </c>
      <c r="N218" s="8" t="s">
        <v>7</v>
      </c>
      <c r="O218" s="40" t="s">
        <v>25</v>
      </c>
      <c r="P218" s="31"/>
      <c r="Q218" s="8" t="s">
        <v>40</v>
      </c>
      <c r="S218" t="str">
        <f t="shared" si="3"/>
        <v>CGPA</v>
      </c>
    </row>
    <row r="219" spans="5:19" ht="22.5">
      <c r="E219" s="13" t="s">
        <v>41</v>
      </c>
      <c r="F219" s="13" t="s">
        <v>221</v>
      </c>
      <c r="G219" s="11" t="s">
        <v>43</v>
      </c>
      <c r="H219" s="12" t="s">
        <v>222</v>
      </c>
      <c r="I219" s="12" t="s">
        <v>223</v>
      </c>
      <c r="J219" s="12" t="s">
        <v>224</v>
      </c>
      <c r="K219" s="12" t="s">
        <v>225</v>
      </c>
      <c r="L219" s="12" t="s">
        <v>226</v>
      </c>
      <c r="M219" s="12" t="s">
        <v>227</v>
      </c>
      <c r="N219" s="12" t="s">
        <v>166</v>
      </c>
      <c r="O219" s="30" t="s">
        <v>51</v>
      </c>
      <c r="P219" s="31"/>
      <c r="Q219" s="11" t="s">
        <v>37</v>
      </c>
      <c r="S219" t="str">
        <f t="shared" si="3"/>
        <v>Result: PASS</v>
      </c>
    </row>
    <row r="220" spans="5:19">
      <c r="E220" s="32" t="s">
        <v>228</v>
      </c>
      <c r="F220" s="33"/>
      <c r="G220" s="11" t="s">
        <v>53</v>
      </c>
      <c r="H220" s="12" t="s">
        <v>51</v>
      </c>
      <c r="I220" s="12" t="s">
        <v>51</v>
      </c>
      <c r="J220" s="12" t="s">
        <v>51</v>
      </c>
      <c r="K220" s="12" t="s">
        <v>51</v>
      </c>
      <c r="L220" s="12" t="s">
        <v>51</v>
      </c>
      <c r="M220" s="12" t="s">
        <v>51</v>
      </c>
      <c r="N220" s="12" t="s">
        <v>51</v>
      </c>
      <c r="O220" s="30" t="s">
        <v>54</v>
      </c>
      <c r="P220" s="31"/>
      <c r="Q220" s="11" t="s">
        <v>37</v>
      </c>
      <c r="S220" t="str">
        <f t="shared" si="3"/>
        <v>Class</v>
      </c>
    </row>
    <row r="221" spans="5:19">
      <c r="E221" s="34"/>
      <c r="F221" s="35"/>
      <c r="G221" s="11" t="s">
        <v>55</v>
      </c>
      <c r="H221" s="12" t="s">
        <v>37</v>
      </c>
      <c r="I221" s="12" t="s">
        <v>37</v>
      </c>
      <c r="J221" s="12" t="s">
        <v>37</v>
      </c>
      <c r="K221" s="12" t="s">
        <v>37</v>
      </c>
      <c r="L221" s="12" t="s">
        <v>37</v>
      </c>
      <c r="M221" s="12" t="s">
        <v>37</v>
      </c>
      <c r="N221" s="12" t="s">
        <v>37</v>
      </c>
      <c r="O221" s="30" t="s">
        <v>37</v>
      </c>
      <c r="P221" s="31"/>
      <c r="Q221" s="11">
        <v>0</v>
      </c>
      <c r="S221" t="str">
        <f t="shared" si="3"/>
        <v>Term Grade: OA</v>
      </c>
    </row>
    <row r="222" spans="5:19">
      <c r="E222" s="36"/>
      <c r="F222" s="37"/>
      <c r="G222" s="11" t="s">
        <v>56</v>
      </c>
      <c r="H222" s="12">
        <v>4</v>
      </c>
      <c r="I222" s="12">
        <v>4</v>
      </c>
      <c r="J222" s="12">
        <v>4</v>
      </c>
      <c r="K222" s="12">
        <v>3</v>
      </c>
      <c r="L222" s="12">
        <v>3</v>
      </c>
      <c r="M222" s="12">
        <v>3</v>
      </c>
      <c r="N222" s="12">
        <v>2</v>
      </c>
      <c r="O222" s="30">
        <v>2</v>
      </c>
      <c r="P222" s="31"/>
      <c r="Q222" s="11">
        <v>25</v>
      </c>
      <c r="S222" t="str">
        <f t="shared" si="3"/>
        <v>M.C.No</v>
      </c>
    </row>
    <row r="223" spans="5:19">
      <c r="E223" s="13" t="s">
        <v>57</v>
      </c>
      <c r="F223" s="13">
        <v>8.36</v>
      </c>
      <c r="G223" s="11" t="s">
        <v>58</v>
      </c>
      <c r="H223" s="12">
        <v>8.5</v>
      </c>
      <c r="I223" s="12">
        <v>9.5</v>
      </c>
      <c r="J223" s="12">
        <v>8</v>
      </c>
      <c r="K223" s="12">
        <v>7</v>
      </c>
      <c r="L223" s="12">
        <v>7</v>
      </c>
      <c r="M223" s="12">
        <v>8</v>
      </c>
      <c r="N223" s="12">
        <v>10</v>
      </c>
      <c r="O223" s="30">
        <v>9.5</v>
      </c>
      <c r="P223" s="31"/>
      <c r="Q223" s="11" t="s">
        <v>37</v>
      </c>
      <c r="S223" t="str">
        <f t="shared" si="3"/>
        <v/>
      </c>
    </row>
    <row r="224" spans="5:19">
      <c r="E224" s="13" t="s">
        <v>59</v>
      </c>
      <c r="F224" s="14">
        <v>8.36</v>
      </c>
      <c r="G224" s="11" t="s">
        <v>60</v>
      </c>
      <c r="H224" s="12">
        <v>34</v>
      </c>
      <c r="I224" s="12">
        <v>38</v>
      </c>
      <c r="J224" s="12">
        <v>32</v>
      </c>
      <c r="K224" s="12">
        <v>21</v>
      </c>
      <c r="L224" s="12">
        <v>21</v>
      </c>
      <c r="M224" s="12">
        <v>24</v>
      </c>
      <c r="N224" s="12">
        <v>20</v>
      </c>
      <c r="O224" s="30">
        <v>19</v>
      </c>
      <c r="P224" s="31"/>
      <c r="Q224" s="11">
        <v>209</v>
      </c>
      <c r="S224">
        <f t="shared" si="3"/>
        <v>0</v>
      </c>
    </row>
    <row r="225" spans="5:19">
      <c r="E225" s="32" t="s">
        <v>61</v>
      </c>
      <c r="F225" s="31"/>
      <c r="G225" s="11" t="s">
        <v>40</v>
      </c>
      <c r="H225" s="12">
        <v>82</v>
      </c>
      <c r="I225" s="12">
        <v>93</v>
      </c>
      <c r="J225" s="12">
        <v>78</v>
      </c>
      <c r="K225" s="12">
        <v>69</v>
      </c>
      <c r="L225" s="12">
        <v>69</v>
      </c>
      <c r="M225" s="12">
        <v>79</v>
      </c>
      <c r="N225" s="12">
        <v>49</v>
      </c>
      <c r="O225" s="30">
        <v>45</v>
      </c>
      <c r="P225" s="31"/>
      <c r="Q225" s="11">
        <v>564</v>
      </c>
      <c r="S225">
        <f t="shared" si="3"/>
        <v>0</v>
      </c>
    </row>
    <row r="226" spans="5:19">
      <c r="E226" s="13" t="s">
        <v>62</v>
      </c>
      <c r="F226" s="13"/>
      <c r="G226" s="11" t="s">
        <v>63</v>
      </c>
      <c r="H226" s="12">
        <v>100</v>
      </c>
      <c r="I226" s="12">
        <v>100</v>
      </c>
      <c r="J226" s="12">
        <v>100</v>
      </c>
      <c r="K226" s="12">
        <v>100</v>
      </c>
      <c r="L226" s="12">
        <v>100</v>
      </c>
      <c r="M226" s="12">
        <v>100</v>
      </c>
      <c r="N226" s="12">
        <v>50</v>
      </c>
      <c r="O226" s="30">
        <v>50</v>
      </c>
      <c r="P226" s="31"/>
      <c r="Q226" s="11">
        <v>700</v>
      </c>
      <c r="S226" t="str">
        <f t="shared" si="3"/>
        <v>Dr. B.B. Hegde First Grade College, Kundapura, Udupi.</v>
      </c>
    </row>
    <row r="227" spans="5:19">
      <c r="E227" s="32" t="s">
        <v>200</v>
      </c>
      <c r="F227" s="31"/>
      <c r="G227" s="11" t="s">
        <v>65</v>
      </c>
      <c r="H227" s="12" t="s">
        <v>70</v>
      </c>
      <c r="I227" s="12" t="s">
        <v>71</v>
      </c>
      <c r="J227" s="12" t="s">
        <v>102</v>
      </c>
      <c r="K227" s="12" t="s">
        <v>66</v>
      </c>
      <c r="L227" s="12" t="s">
        <v>66</v>
      </c>
      <c r="M227" s="12" t="s">
        <v>102</v>
      </c>
      <c r="N227" s="12" t="s">
        <v>88</v>
      </c>
      <c r="O227" s="30" t="s">
        <v>71</v>
      </c>
      <c r="P227" s="31"/>
      <c r="Q227" s="11" t="s">
        <v>37</v>
      </c>
      <c r="S227" t="str">
        <f t="shared" si="3"/>
        <v>00016</v>
      </c>
    </row>
    <row r="228" spans="5:19">
      <c r="E228" s="15" t="s">
        <v>72</v>
      </c>
      <c r="F228" s="15" t="s">
        <v>229</v>
      </c>
      <c r="G228" s="11" t="s">
        <v>74</v>
      </c>
      <c r="H228" s="12" t="s">
        <v>75</v>
      </c>
      <c r="I228" s="12" t="s">
        <v>75</v>
      </c>
      <c r="J228" s="12" t="s">
        <v>75</v>
      </c>
      <c r="K228" s="12" t="s">
        <v>75</v>
      </c>
      <c r="L228" s="12" t="s">
        <v>75</v>
      </c>
      <c r="M228" s="12" t="s">
        <v>75</v>
      </c>
      <c r="N228" s="12" t="s">
        <v>75</v>
      </c>
      <c r="O228" s="30" t="s">
        <v>75</v>
      </c>
      <c r="P228" s="31"/>
      <c r="Q228" s="11" t="s">
        <v>37</v>
      </c>
      <c r="S228" t="str">
        <f t="shared" si="3"/>
        <v>USN</v>
      </c>
    </row>
    <row r="229" spans="5:19">
      <c r="E229" s="16" t="s">
        <v>37</v>
      </c>
      <c r="F229" s="16" t="s">
        <v>37</v>
      </c>
      <c r="G229" s="16" t="s">
        <v>37</v>
      </c>
      <c r="H229" s="17" t="s">
        <v>37</v>
      </c>
      <c r="I229" s="17" t="s">
        <v>37</v>
      </c>
      <c r="J229" s="17" t="s">
        <v>37</v>
      </c>
      <c r="K229" s="17" t="s">
        <v>37</v>
      </c>
      <c r="L229" s="17" t="s">
        <v>37</v>
      </c>
      <c r="M229" s="17" t="s">
        <v>37</v>
      </c>
      <c r="N229" s="17" t="s">
        <v>37</v>
      </c>
      <c r="O229" s="41" t="s">
        <v>37</v>
      </c>
      <c r="P229" s="28"/>
      <c r="Q229" s="17" t="s">
        <v>37</v>
      </c>
      <c r="S229" t="str">
        <f t="shared" si="3"/>
        <v>PRARTHANA H R</v>
      </c>
    </row>
    <row r="230" spans="5:19" ht="0" hidden="1" customHeight="1">
      <c r="S230">
        <f t="shared" si="3"/>
        <v>0</v>
      </c>
    </row>
    <row r="231" spans="5:19" ht="0.6" customHeight="1">
      <c r="S231">
        <f t="shared" si="3"/>
        <v>0</v>
      </c>
    </row>
    <row r="232" spans="5:19">
      <c r="E232" s="38" t="s">
        <v>35</v>
      </c>
      <c r="F232" s="31"/>
      <c r="G232" s="4" t="s">
        <v>36</v>
      </c>
      <c r="H232" s="6" t="s">
        <v>37</v>
      </c>
      <c r="I232" s="6" t="s">
        <v>37</v>
      </c>
      <c r="J232" s="6" t="s">
        <v>37</v>
      </c>
      <c r="K232" s="6" t="s">
        <v>37</v>
      </c>
      <c r="L232" s="6" t="s">
        <v>37</v>
      </c>
      <c r="M232" s="6" t="s">
        <v>37</v>
      </c>
      <c r="N232" s="6" t="s">
        <v>37</v>
      </c>
      <c r="O232" s="39" t="s">
        <v>37</v>
      </c>
      <c r="P232" s="28"/>
      <c r="Q232" s="6" t="s">
        <v>37</v>
      </c>
      <c r="S232" t="str">
        <f t="shared" si="3"/>
        <v>SGPA</v>
      </c>
    </row>
    <row r="233" spans="5:19" ht="21">
      <c r="E233" s="32" t="s">
        <v>230</v>
      </c>
      <c r="F233" s="31"/>
      <c r="G233" s="8" t="s">
        <v>39</v>
      </c>
      <c r="H233" s="8" t="s">
        <v>19</v>
      </c>
      <c r="I233" s="8" t="s">
        <v>9</v>
      </c>
      <c r="J233" s="8" t="s">
        <v>21</v>
      </c>
      <c r="K233" s="8" t="s">
        <v>11</v>
      </c>
      <c r="L233" s="8" t="s">
        <v>17</v>
      </c>
      <c r="M233" s="8" t="s">
        <v>27</v>
      </c>
      <c r="N233" s="8" t="s">
        <v>5</v>
      </c>
      <c r="O233" s="40" t="s">
        <v>7</v>
      </c>
      <c r="P233" s="31"/>
      <c r="Q233" s="8" t="s">
        <v>40</v>
      </c>
      <c r="S233" t="str">
        <f t="shared" si="3"/>
        <v>CGPA</v>
      </c>
    </row>
    <row r="234" spans="5:19" ht="22.5">
      <c r="E234" s="13" t="s">
        <v>41</v>
      </c>
      <c r="F234" s="13" t="s">
        <v>231</v>
      </c>
      <c r="G234" s="11" t="s">
        <v>43</v>
      </c>
      <c r="H234" s="12" t="s">
        <v>232</v>
      </c>
      <c r="I234" s="12" t="s">
        <v>233</v>
      </c>
      <c r="J234" s="12" t="s">
        <v>234</v>
      </c>
      <c r="K234" s="12" t="s">
        <v>235</v>
      </c>
      <c r="L234" s="12" t="s">
        <v>107</v>
      </c>
      <c r="M234" s="12" t="s">
        <v>236</v>
      </c>
      <c r="N234" s="12" t="s">
        <v>51</v>
      </c>
      <c r="O234" s="30" t="s">
        <v>112</v>
      </c>
      <c r="P234" s="31"/>
      <c r="Q234" s="11" t="s">
        <v>37</v>
      </c>
      <c r="S234" t="str">
        <f t="shared" si="3"/>
        <v>Result: PASS</v>
      </c>
    </row>
    <row r="235" spans="5:19">
      <c r="E235" s="32" t="s">
        <v>237</v>
      </c>
      <c r="F235" s="33"/>
      <c r="G235" s="11" t="s">
        <v>53</v>
      </c>
      <c r="H235" s="12" t="s">
        <v>51</v>
      </c>
      <c r="I235" s="12" t="s">
        <v>51</v>
      </c>
      <c r="J235" s="12" t="s">
        <v>51</v>
      </c>
      <c r="K235" s="12" t="s">
        <v>51</v>
      </c>
      <c r="L235" s="12" t="s">
        <v>51</v>
      </c>
      <c r="M235" s="12" t="s">
        <v>51</v>
      </c>
      <c r="N235" s="12" t="s">
        <v>100</v>
      </c>
      <c r="O235" s="30" t="s">
        <v>51</v>
      </c>
      <c r="P235" s="31"/>
      <c r="Q235" s="11" t="s">
        <v>37</v>
      </c>
      <c r="S235" t="str">
        <f t="shared" si="3"/>
        <v>Class</v>
      </c>
    </row>
    <row r="236" spans="5:19">
      <c r="E236" s="34"/>
      <c r="F236" s="35"/>
      <c r="G236" s="11" t="s">
        <v>55</v>
      </c>
      <c r="H236" s="12" t="s">
        <v>37</v>
      </c>
      <c r="I236" s="12" t="s">
        <v>37</v>
      </c>
      <c r="J236" s="12" t="s">
        <v>37</v>
      </c>
      <c r="K236" s="12" t="s">
        <v>37</v>
      </c>
      <c r="L236" s="12" t="s">
        <v>37</v>
      </c>
      <c r="M236" s="12" t="s">
        <v>37</v>
      </c>
      <c r="N236" s="12" t="s">
        <v>37</v>
      </c>
      <c r="O236" s="30" t="s">
        <v>37</v>
      </c>
      <c r="P236" s="31"/>
      <c r="Q236" s="11">
        <v>0</v>
      </c>
      <c r="S236" t="str">
        <f t="shared" si="3"/>
        <v>Term Grade: AA</v>
      </c>
    </row>
    <row r="237" spans="5:19">
      <c r="E237" s="36"/>
      <c r="F237" s="37"/>
      <c r="G237" s="11" t="s">
        <v>56</v>
      </c>
      <c r="H237" s="12">
        <v>4</v>
      </c>
      <c r="I237" s="12">
        <v>4</v>
      </c>
      <c r="J237" s="12">
        <v>4</v>
      </c>
      <c r="K237" s="12">
        <v>3</v>
      </c>
      <c r="L237" s="12">
        <v>3</v>
      </c>
      <c r="M237" s="12">
        <v>3</v>
      </c>
      <c r="N237" s="12">
        <v>2</v>
      </c>
      <c r="O237" s="30">
        <v>2</v>
      </c>
      <c r="P237" s="31"/>
      <c r="Q237" s="11">
        <v>25</v>
      </c>
      <c r="S237" t="str">
        <f t="shared" si="3"/>
        <v>M.C.No</v>
      </c>
    </row>
    <row r="238" spans="5:19">
      <c r="E238" s="13" t="s">
        <v>57</v>
      </c>
      <c r="F238" s="13">
        <v>7.08</v>
      </c>
      <c r="G238" s="11" t="s">
        <v>58</v>
      </c>
      <c r="H238" s="12">
        <v>7</v>
      </c>
      <c r="I238" s="12">
        <v>6.5</v>
      </c>
      <c r="J238" s="12">
        <v>7.5</v>
      </c>
      <c r="K238" s="12">
        <v>6</v>
      </c>
      <c r="L238" s="12">
        <v>7</v>
      </c>
      <c r="M238" s="12">
        <v>6</v>
      </c>
      <c r="N238" s="12">
        <v>10</v>
      </c>
      <c r="O238" s="30">
        <v>8</v>
      </c>
      <c r="P238" s="31"/>
      <c r="Q238" s="11" t="s">
        <v>37</v>
      </c>
      <c r="S238" t="str">
        <f t="shared" si="3"/>
        <v/>
      </c>
    </row>
    <row r="239" spans="5:19">
      <c r="E239" s="13" t="s">
        <v>59</v>
      </c>
      <c r="F239" s="14">
        <v>7.08</v>
      </c>
      <c r="G239" s="11" t="s">
        <v>60</v>
      </c>
      <c r="H239" s="12">
        <v>28</v>
      </c>
      <c r="I239" s="12">
        <v>26</v>
      </c>
      <c r="J239" s="12">
        <v>30</v>
      </c>
      <c r="K239" s="12">
        <v>18</v>
      </c>
      <c r="L239" s="12">
        <v>21</v>
      </c>
      <c r="M239" s="12">
        <v>18</v>
      </c>
      <c r="N239" s="12">
        <v>20</v>
      </c>
      <c r="O239" s="30">
        <v>16</v>
      </c>
      <c r="P239" s="31"/>
      <c r="Q239" s="11">
        <v>177</v>
      </c>
      <c r="S239">
        <f t="shared" si="3"/>
        <v>0</v>
      </c>
    </row>
    <row r="240" spans="5:19">
      <c r="E240" s="32" t="s">
        <v>61</v>
      </c>
      <c r="F240" s="31"/>
      <c r="G240" s="11" t="s">
        <v>40</v>
      </c>
      <c r="H240" s="12">
        <v>66</v>
      </c>
      <c r="I240" s="12">
        <v>60</v>
      </c>
      <c r="J240" s="12">
        <v>72</v>
      </c>
      <c r="K240" s="12">
        <v>58</v>
      </c>
      <c r="L240" s="12">
        <v>69</v>
      </c>
      <c r="M240" s="12">
        <v>56</v>
      </c>
      <c r="N240" s="12">
        <v>50</v>
      </c>
      <c r="O240" s="30">
        <v>38</v>
      </c>
      <c r="P240" s="31"/>
      <c r="Q240" s="11">
        <v>469</v>
      </c>
      <c r="S240">
        <f t="shared" si="3"/>
        <v>0</v>
      </c>
    </row>
    <row r="241" spans="5:19">
      <c r="E241" s="13" t="s">
        <v>62</v>
      </c>
      <c r="F241" s="13"/>
      <c r="G241" s="11" t="s">
        <v>63</v>
      </c>
      <c r="H241" s="12">
        <v>100</v>
      </c>
      <c r="I241" s="12">
        <v>100</v>
      </c>
      <c r="J241" s="12">
        <v>100</v>
      </c>
      <c r="K241" s="12">
        <v>100</v>
      </c>
      <c r="L241" s="12">
        <v>100</v>
      </c>
      <c r="M241" s="12">
        <v>100</v>
      </c>
      <c r="N241" s="12">
        <v>50</v>
      </c>
      <c r="O241" s="30">
        <v>50</v>
      </c>
      <c r="P241" s="31"/>
      <c r="Q241" s="11">
        <v>700</v>
      </c>
      <c r="S241" t="str">
        <f t="shared" si="3"/>
        <v>Dr. B.B. Hegde First Grade College, Kundapura, Udupi.</v>
      </c>
    </row>
    <row r="242" spans="5:19">
      <c r="E242" s="32" t="s">
        <v>101</v>
      </c>
      <c r="F242" s="31"/>
      <c r="G242" s="11" t="s">
        <v>65</v>
      </c>
      <c r="H242" s="12" t="s">
        <v>66</v>
      </c>
      <c r="I242" s="12" t="s">
        <v>69</v>
      </c>
      <c r="J242" s="12" t="s">
        <v>68</v>
      </c>
      <c r="K242" s="12" t="s">
        <v>103</v>
      </c>
      <c r="L242" s="12" t="s">
        <v>66</v>
      </c>
      <c r="M242" s="12" t="s">
        <v>103</v>
      </c>
      <c r="N242" s="12" t="s">
        <v>88</v>
      </c>
      <c r="O242" s="30" t="s">
        <v>102</v>
      </c>
      <c r="P242" s="31"/>
      <c r="Q242" s="11" t="s">
        <v>37</v>
      </c>
      <c r="S242" t="str">
        <f t="shared" si="3"/>
        <v>00017</v>
      </c>
    </row>
    <row r="243" spans="5:19">
      <c r="E243" s="15" t="s">
        <v>72</v>
      </c>
      <c r="F243" s="15" t="s">
        <v>238</v>
      </c>
      <c r="G243" s="11" t="s">
        <v>74</v>
      </c>
      <c r="H243" s="12" t="s">
        <v>75</v>
      </c>
      <c r="I243" s="12" t="s">
        <v>75</v>
      </c>
      <c r="J243" s="12" t="s">
        <v>75</v>
      </c>
      <c r="K243" s="12" t="s">
        <v>75</v>
      </c>
      <c r="L243" s="12" t="s">
        <v>75</v>
      </c>
      <c r="M243" s="12" t="s">
        <v>75</v>
      </c>
      <c r="N243" s="12" t="s">
        <v>75</v>
      </c>
      <c r="O243" s="30" t="s">
        <v>75</v>
      </c>
      <c r="P243" s="31"/>
      <c r="Q243" s="11" t="s">
        <v>37</v>
      </c>
      <c r="S243" t="str">
        <f t="shared" si="3"/>
        <v>USN</v>
      </c>
    </row>
    <row r="244" spans="5:19">
      <c r="E244" s="16" t="s">
        <v>37</v>
      </c>
      <c r="F244" s="16" t="s">
        <v>37</v>
      </c>
      <c r="G244" s="16" t="s">
        <v>37</v>
      </c>
      <c r="H244" s="17" t="s">
        <v>37</v>
      </c>
      <c r="I244" s="17" t="s">
        <v>37</v>
      </c>
      <c r="J244" s="17" t="s">
        <v>37</v>
      </c>
      <c r="K244" s="17" t="s">
        <v>37</v>
      </c>
      <c r="L244" s="17" t="s">
        <v>37</v>
      </c>
      <c r="M244" s="17" t="s">
        <v>37</v>
      </c>
      <c r="N244" s="17" t="s">
        <v>37</v>
      </c>
      <c r="O244" s="41" t="s">
        <v>37</v>
      </c>
      <c r="P244" s="28"/>
      <c r="Q244" s="17" t="s">
        <v>37</v>
      </c>
      <c r="S244" t="str">
        <f t="shared" si="3"/>
        <v>RAKSHITHA</v>
      </c>
    </row>
    <row r="245" spans="5:19" ht="0" hidden="1" customHeight="1">
      <c r="S245">
        <f t="shared" si="3"/>
        <v>0</v>
      </c>
    </row>
    <row r="246" spans="5:19" ht="0.6" customHeight="1">
      <c r="S246">
        <f t="shared" si="3"/>
        <v>0</v>
      </c>
    </row>
    <row r="247" spans="5:19">
      <c r="E247" s="38" t="s">
        <v>35</v>
      </c>
      <c r="F247" s="31"/>
      <c r="G247" s="4" t="s">
        <v>36</v>
      </c>
      <c r="H247" s="6" t="s">
        <v>37</v>
      </c>
      <c r="I247" s="6" t="s">
        <v>37</v>
      </c>
      <c r="J247" s="6" t="s">
        <v>37</v>
      </c>
      <c r="K247" s="6" t="s">
        <v>37</v>
      </c>
      <c r="L247" s="6" t="s">
        <v>37</v>
      </c>
      <c r="M247" s="6" t="s">
        <v>37</v>
      </c>
      <c r="N247" s="6" t="s">
        <v>37</v>
      </c>
      <c r="O247" s="39" t="s">
        <v>37</v>
      </c>
      <c r="P247" s="28"/>
      <c r="Q247" s="6" t="s">
        <v>37</v>
      </c>
      <c r="S247" t="str">
        <f t="shared" si="3"/>
        <v>SGPA</v>
      </c>
    </row>
    <row r="248" spans="5:19" ht="21">
      <c r="E248" s="32" t="s">
        <v>239</v>
      </c>
      <c r="F248" s="31"/>
      <c r="G248" s="8" t="s">
        <v>39</v>
      </c>
      <c r="H248" s="8" t="s">
        <v>19</v>
      </c>
      <c r="I248" s="8" t="s">
        <v>9</v>
      </c>
      <c r="J248" s="8" t="s">
        <v>21</v>
      </c>
      <c r="K248" s="8" t="s">
        <v>11</v>
      </c>
      <c r="L248" s="8" t="s">
        <v>17</v>
      </c>
      <c r="M248" s="8" t="s">
        <v>27</v>
      </c>
      <c r="N248" s="8" t="s">
        <v>5</v>
      </c>
      <c r="O248" s="40" t="s">
        <v>7</v>
      </c>
      <c r="P248" s="31"/>
      <c r="Q248" s="8" t="s">
        <v>40</v>
      </c>
      <c r="S248" t="str">
        <f t="shared" si="3"/>
        <v>CGPA</v>
      </c>
    </row>
    <row r="249" spans="5:19" ht="22.5">
      <c r="E249" s="13" t="s">
        <v>41</v>
      </c>
      <c r="F249" s="13" t="s">
        <v>240</v>
      </c>
      <c r="G249" s="11" t="s">
        <v>43</v>
      </c>
      <c r="H249" s="12" t="s">
        <v>241</v>
      </c>
      <c r="I249" s="12" t="s">
        <v>242</v>
      </c>
      <c r="J249" s="12" t="s">
        <v>243</v>
      </c>
      <c r="K249" s="12" t="s">
        <v>244</v>
      </c>
      <c r="L249" s="12" t="s">
        <v>245</v>
      </c>
      <c r="M249" s="12" t="s">
        <v>246</v>
      </c>
      <c r="N249" s="12" t="s">
        <v>51</v>
      </c>
      <c r="O249" s="30" t="s">
        <v>247</v>
      </c>
      <c r="P249" s="31"/>
      <c r="Q249" s="11" t="s">
        <v>37</v>
      </c>
      <c r="S249" t="str">
        <f t="shared" si="3"/>
        <v>Result: PASS</v>
      </c>
    </row>
    <row r="250" spans="5:19">
      <c r="E250" s="32" t="s">
        <v>248</v>
      </c>
      <c r="F250" s="33"/>
      <c r="G250" s="11" t="s">
        <v>53</v>
      </c>
      <c r="H250" s="12" t="s">
        <v>51</v>
      </c>
      <c r="I250" s="12" t="s">
        <v>51</v>
      </c>
      <c r="J250" s="12" t="s">
        <v>51</v>
      </c>
      <c r="K250" s="12" t="s">
        <v>51</v>
      </c>
      <c r="L250" s="12" t="s">
        <v>51</v>
      </c>
      <c r="M250" s="12" t="s">
        <v>51</v>
      </c>
      <c r="N250" s="12" t="s">
        <v>100</v>
      </c>
      <c r="O250" s="30" t="s">
        <v>51</v>
      </c>
      <c r="P250" s="31"/>
      <c r="Q250" s="11" t="s">
        <v>37</v>
      </c>
      <c r="S250" t="str">
        <f t="shared" si="3"/>
        <v>Class</v>
      </c>
    </row>
    <row r="251" spans="5:19">
      <c r="E251" s="34"/>
      <c r="F251" s="35"/>
      <c r="G251" s="11" t="s">
        <v>55</v>
      </c>
      <c r="H251" s="12" t="s">
        <v>37</v>
      </c>
      <c r="I251" s="12" t="s">
        <v>37</v>
      </c>
      <c r="J251" s="12" t="s">
        <v>37</v>
      </c>
      <c r="K251" s="12" t="s">
        <v>37</v>
      </c>
      <c r="L251" s="12" t="s">
        <v>37</v>
      </c>
      <c r="M251" s="12" t="s">
        <v>37</v>
      </c>
      <c r="N251" s="12" t="s">
        <v>37</v>
      </c>
      <c r="O251" s="30" t="s">
        <v>37</v>
      </c>
      <c r="P251" s="31"/>
      <c r="Q251" s="11">
        <v>0</v>
      </c>
      <c r="S251" t="str">
        <f t="shared" si="3"/>
        <v>Term Grade: OA</v>
      </c>
    </row>
    <row r="252" spans="5:19">
      <c r="E252" s="36"/>
      <c r="F252" s="37"/>
      <c r="G252" s="11" t="s">
        <v>56</v>
      </c>
      <c r="H252" s="12">
        <v>4</v>
      </c>
      <c r="I252" s="12">
        <v>4</v>
      </c>
      <c r="J252" s="12">
        <v>4</v>
      </c>
      <c r="K252" s="12">
        <v>3</v>
      </c>
      <c r="L252" s="12">
        <v>3</v>
      </c>
      <c r="M252" s="12">
        <v>3</v>
      </c>
      <c r="N252" s="12">
        <v>2</v>
      </c>
      <c r="O252" s="30">
        <v>2</v>
      </c>
      <c r="P252" s="31"/>
      <c r="Q252" s="11">
        <v>25</v>
      </c>
      <c r="S252" t="str">
        <f t="shared" si="3"/>
        <v>M.C.No</v>
      </c>
    </row>
    <row r="253" spans="5:19">
      <c r="E253" s="13" t="s">
        <v>57</v>
      </c>
      <c r="F253" s="13">
        <v>8.02</v>
      </c>
      <c r="G253" s="11" t="s">
        <v>58</v>
      </c>
      <c r="H253" s="12">
        <v>7.5</v>
      </c>
      <c r="I253" s="12">
        <v>7</v>
      </c>
      <c r="J253" s="12">
        <v>8</v>
      </c>
      <c r="K253" s="12">
        <v>7.5</v>
      </c>
      <c r="L253" s="12">
        <v>8.5</v>
      </c>
      <c r="M253" s="12">
        <v>8.5</v>
      </c>
      <c r="N253" s="12">
        <v>10</v>
      </c>
      <c r="O253" s="30">
        <v>8.5</v>
      </c>
      <c r="P253" s="31"/>
      <c r="Q253" s="11" t="s">
        <v>37</v>
      </c>
      <c r="S253" t="str">
        <f t="shared" si="3"/>
        <v/>
      </c>
    </row>
    <row r="254" spans="5:19">
      <c r="E254" s="13" t="s">
        <v>59</v>
      </c>
      <c r="F254" s="14">
        <v>8.02</v>
      </c>
      <c r="G254" s="11" t="s">
        <v>60</v>
      </c>
      <c r="H254" s="12">
        <v>30</v>
      </c>
      <c r="I254" s="12">
        <v>28</v>
      </c>
      <c r="J254" s="12">
        <v>32</v>
      </c>
      <c r="K254" s="12">
        <v>22.5</v>
      </c>
      <c r="L254" s="12">
        <v>25.5</v>
      </c>
      <c r="M254" s="12">
        <v>25.5</v>
      </c>
      <c r="N254" s="12">
        <v>20</v>
      </c>
      <c r="O254" s="30">
        <v>17</v>
      </c>
      <c r="P254" s="31"/>
      <c r="Q254" s="11">
        <v>200.5</v>
      </c>
      <c r="S254">
        <f t="shared" si="3"/>
        <v>0</v>
      </c>
    </row>
    <row r="255" spans="5:19">
      <c r="E255" s="32" t="s">
        <v>61</v>
      </c>
      <c r="F255" s="31"/>
      <c r="G255" s="11" t="s">
        <v>40</v>
      </c>
      <c r="H255" s="12">
        <v>74</v>
      </c>
      <c r="I255" s="12">
        <v>67</v>
      </c>
      <c r="J255" s="12">
        <v>79</v>
      </c>
      <c r="K255" s="12">
        <v>74</v>
      </c>
      <c r="L255" s="12">
        <v>80</v>
      </c>
      <c r="M255" s="12">
        <v>84</v>
      </c>
      <c r="N255" s="12">
        <v>50</v>
      </c>
      <c r="O255" s="30">
        <v>40</v>
      </c>
      <c r="P255" s="31"/>
      <c r="Q255" s="11">
        <v>548</v>
      </c>
      <c r="S255">
        <f t="shared" si="3"/>
        <v>0</v>
      </c>
    </row>
    <row r="256" spans="5:19">
      <c r="E256" s="13" t="s">
        <v>62</v>
      </c>
      <c r="F256" s="13"/>
      <c r="G256" s="11" t="s">
        <v>63</v>
      </c>
      <c r="H256" s="12">
        <v>100</v>
      </c>
      <c r="I256" s="12">
        <v>100</v>
      </c>
      <c r="J256" s="12">
        <v>100</v>
      </c>
      <c r="K256" s="12">
        <v>100</v>
      </c>
      <c r="L256" s="12">
        <v>100</v>
      </c>
      <c r="M256" s="12">
        <v>100</v>
      </c>
      <c r="N256" s="12">
        <v>50</v>
      </c>
      <c r="O256" s="30">
        <v>50</v>
      </c>
      <c r="P256" s="31"/>
      <c r="Q256" s="11">
        <v>700</v>
      </c>
      <c r="S256" t="str">
        <f t="shared" si="3"/>
        <v>Dr. B.B. Hegde First Grade College, Kundapura, Udupi.</v>
      </c>
    </row>
    <row r="257" spans="5:19">
      <c r="E257" s="32" t="s">
        <v>200</v>
      </c>
      <c r="F257" s="31"/>
      <c r="G257" s="11" t="s">
        <v>65</v>
      </c>
      <c r="H257" s="12" t="s">
        <v>68</v>
      </c>
      <c r="I257" s="12" t="s">
        <v>66</v>
      </c>
      <c r="J257" s="12" t="s">
        <v>102</v>
      </c>
      <c r="K257" s="12" t="s">
        <v>68</v>
      </c>
      <c r="L257" s="12" t="s">
        <v>70</v>
      </c>
      <c r="M257" s="12" t="s">
        <v>70</v>
      </c>
      <c r="N257" s="12" t="s">
        <v>88</v>
      </c>
      <c r="O257" s="30" t="s">
        <v>70</v>
      </c>
      <c r="P257" s="31"/>
      <c r="Q257" s="11" t="s">
        <v>37</v>
      </c>
      <c r="S257" t="str">
        <f t="shared" si="3"/>
        <v>00018</v>
      </c>
    </row>
    <row r="258" spans="5:19">
      <c r="E258" s="15" t="s">
        <v>72</v>
      </c>
      <c r="F258" s="15" t="s">
        <v>249</v>
      </c>
      <c r="G258" s="11" t="s">
        <v>74</v>
      </c>
      <c r="H258" s="12" t="s">
        <v>75</v>
      </c>
      <c r="I258" s="12" t="s">
        <v>75</v>
      </c>
      <c r="J258" s="12" t="s">
        <v>75</v>
      </c>
      <c r="K258" s="12" t="s">
        <v>75</v>
      </c>
      <c r="L258" s="12" t="s">
        <v>75</v>
      </c>
      <c r="M258" s="12" t="s">
        <v>75</v>
      </c>
      <c r="N258" s="12" t="s">
        <v>75</v>
      </c>
      <c r="O258" s="30" t="s">
        <v>75</v>
      </c>
      <c r="P258" s="31"/>
      <c r="Q258" s="11" t="s">
        <v>37</v>
      </c>
      <c r="S258" t="str">
        <f t="shared" si="3"/>
        <v>USN</v>
      </c>
    </row>
    <row r="259" spans="5:19">
      <c r="E259" s="16" t="s">
        <v>37</v>
      </c>
      <c r="F259" s="16" t="s">
        <v>37</v>
      </c>
      <c r="G259" s="16" t="s">
        <v>37</v>
      </c>
      <c r="H259" s="17" t="s">
        <v>37</v>
      </c>
      <c r="I259" s="17" t="s">
        <v>37</v>
      </c>
      <c r="J259" s="17" t="s">
        <v>37</v>
      </c>
      <c r="K259" s="17" t="s">
        <v>37</v>
      </c>
      <c r="L259" s="17" t="s">
        <v>37</v>
      </c>
      <c r="M259" s="17" t="s">
        <v>37</v>
      </c>
      <c r="N259" s="17" t="s">
        <v>37</v>
      </c>
      <c r="O259" s="41" t="s">
        <v>37</v>
      </c>
      <c r="P259" s="28"/>
      <c r="Q259" s="17" t="s">
        <v>37</v>
      </c>
      <c r="S259" t="str">
        <f t="shared" si="3"/>
        <v>PRAJWAL</v>
      </c>
    </row>
    <row r="260" spans="5:19" ht="0" hidden="1" customHeight="1">
      <c r="S260">
        <f t="shared" si="3"/>
        <v>0</v>
      </c>
    </row>
    <row r="261" spans="5:19" ht="0.6" customHeight="1">
      <c r="S261">
        <f t="shared" si="3"/>
        <v>0</v>
      </c>
    </row>
    <row r="262" spans="5:19">
      <c r="E262" s="38" t="s">
        <v>35</v>
      </c>
      <c r="F262" s="31"/>
      <c r="G262" s="4" t="s">
        <v>36</v>
      </c>
      <c r="H262" s="6" t="s">
        <v>37</v>
      </c>
      <c r="I262" s="6" t="s">
        <v>37</v>
      </c>
      <c r="J262" s="6" t="s">
        <v>37</v>
      </c>
      <c r="K262" s="6" t="s">
        <v>37</v>
      </c>
      <c r="L262" s="6" t="s">
        <v>37</v>
      </c>
      <c r="M262" s="6" t="s">
        <v>37</v>
      </c>
      <c r="N262" s="6" t="s">
        <v>37</v>
      </c>
      <c r="O262" s="39" t="s">
        <v>37</v>
      </c>
      <c r="P262" s="28"/>
      <c r="Q262" s="6" t="s">
        <v>37</v>
      </c>
      <c r="S262" t="str">
        <f t="shared" si="3"/>
        <v>SGPA</v>
      </c>
    </row>
    <row r="263" spans="5:19" ht="21">
      <c r="E263" s="32" t="s">
        <v>250</v>
      </c>
      <c r="F263" s="31"/>
      <c r="G263" s="8" t="s">
        <v>39</v>
      </c>
      <c r="H263" s="8" t="s">
        <v>19</v>
      </c>
      <c r="I263" s="8" t="s">
        <v>9</v>
      </c>
      <c r="J263" s="8" t="s">
        <v>21</v>
      </c>
      <c r="K263" s="8" t="s">
        <v>11</v>
      </c>
      <c r="L263" s="8" t="s">
        <v>17</v>
      </c>
      <c r="M263" s="8" t="s">
        <v>27</v>
      </c>
      <c r="N263" s="8" t="s">
        <v>7</v>
      </c>
      <c r="O263" s="40" t="s">
        <v>29</v>
      </c>
      <c r="P263" s="31"/>
      <c r="Q263" s="8" t="s">
        <v>40</v>
      </c>
      <c r="S263" t="str">
        <f t="shared" si="3"/>
        <v>CGPA</v>
      </c>
    </row>
    <row r="264" spans="5:19" ht="22.5">
      <c r="E264" s="13" t="s">
        <v>41</v>
      </c>
      <c r="F264" s="13" t="s">
        <v>251</v>
      </c>
      <c r="G264" s="11" t="s">
        <v>43</v>
      </c>
      <c r="H264" s="12" t="s">
        <v>252</v>
      </c>
      <c r="I264" s="12" t="s">
        <v>253</v>
      </c>
      <c r="J264" s="12" t="s">
        <v>252</v>
      </c>
      <c r="K264" s="12" t="s">
        <v>254</v>
      </c>
      <c r="L264" s="12" t="s">
        <v>255</v>
      </c>
      <c r="M264" s="12" t="s">
        <v>256</v>
      </c>
      <c r="N264" s="12" t="s">
        <v>257</v>
      </c>
      <c r="O264" s="30" t="s">
        <v>51</v>
      </c>
      <c r="P264" s="31"/>
      <c r="Q264" s="11" t="s">
        <v>37</v>
      </c>
      <c r="S264" t="str">
        <f t="shared" si="3"/>
        <v>Result: FAIL</v>
      </c>
    </row>
    <row r="265" spans="5:19">
      <c r="E265" s="32" t="s">
        <v>258</v>
      </c>
      <c r="F265" s="33"/>
      <c r="G265" s="11" t="s">
        <v>53</v>
      </c>
      <c r="H265" s="12" t="s">
        <v>51</v>
      </c>
      <c r="I265" s="12" t="s">
        <v>51</v>
      </c>
      <c r="J265" s="12" t="s">
        <v>51</v>
      </c>
      <c r="K265" s="12" t="s">
        <v>51</v>
      </c>
      <c r="L265" s="12" t="s">
        <v>51</v>
      </c>
      <c r="M265" s="12" t="s">
        <v>51</v>
      </c>
      <c r="N265" s="12" t="s">
        <v>51</v>
      </c>
      <c r="O265" s="30" t="s">
        <v>259</v>
      </c>
      <c r="P265" s="31"/>
      <c r="Q265" s="11" t="s">
        <v>37</v>
      </c>
      <c r="S265" t="str">
        <f t="shared" si="3"/>
        <v>Class</v>
      </c>
    </row>
    <row r="266" spans="5:19">
      <c r="E266" s="34"/>
      <c r="F266" s="35"/>
      <c r="G266" s="11" t="s">
        <v>55</v>
      </c>
      <c r="H266" s="12" t="s">
        <v>37</v>
      </c>
      <c r="I266" s="12" t="s">
        <v>37</v>
      </c>
      <c r="J266" s="12" t="s">
        <v>37</v>
      </c>
      <c r="K266" s="12" t="s">
        <v>37</v>
      </c>
      <c r="L266" s="12" t="s">
        <v>37</v>
      </c>
      <c r="M266" s="12" t="s">
        <v>37</v>
      </c>
      <c r="N266" s="12" t="s">
        <v>37</v>
      </c>
      <c r="O266" s="30" t="s">
        <v>37</v>
      </c>
      <c r="P266" s="31"/>
      <c r="Q266" s="11">
        <v>0</v>
      </c>
      <c r="S266" t="str">
        <f t="shared" si="3"/>
        <v>Term Grade: FF</v>
      </c>
    </row>
    <row r="267" spans="5:19">
      <c r="E267" s="36"/>
      <c r="F267" s="37"/>
      <c r="G267" s="11" t="s">
        <v>56</v>
      </c>
      <c r="H267" s="12">
        <v>4</v>
      </c>
      <c r="I267" s="12">
        <v>4</v>
      </c>
      <c r="J267" s="12">
        <v>4</v>
      </c>
      <c r="K267" s="12">
        <v>3</v>
      </c>
      <c r="L267" s="12">
        <v>3</v>
      </c>
      <c r="M267" s="12">
        <v>3</v>
      </c>
      <c r="N267" s="12">
        <v>2</v>
      </c>
      <c r="O267" s="30">
        <v>2</v>
      </c>
      <c r="P267" s="31"/>
      <c r="Q267" s="11">
        <v>15</v>
      </c>
      <c r="S267" t="str">
        <f t="shared" si="3"/>
        <v>M.C.No</v>
      </c>
    </row>
    <row r="268" spans="5:19">
      <c r="E268" s="13" t="s">
        <v>57</v>
      </c>
      <c r="F268" s="13">
        <v>3.46</v>
      </c>
      <c r="G268" s="11" t="s">
        <v>58</v>
      </c>
      <c r="H268" s="12">
        <v>5</v>
      </c>
      <c r="I268" s="12"/>
      <c r="J268" s="12">
        <v>5</v>
      </c>
      <c r="K268" s="12">
        <v>5.5</v>
      </c>
      <c r="L268" s="12"/>
      <c r="M268" s="12"/>
      <c r="N268" s="12">
        <v>6.5</v>
      </c>
      <c r="O268" s="30">
        <v>8.5</v>
      </c>
      <c r="P268" s="31"/>
      <c r="Q268" s="11" t="s">
        <v>37</v>
      </c>
      <c r="S268" t="str">
        <f t="shared" ref="S268:S331" si="4">$E274</f>
        <v/>
      </c>
    </row>
    <row r="269" spans="5:19">
      <c r="E269" s="13" t="s">
        <v>59</v>
      </c>
      <c r="F269" s="13"/>
      <c r="G269" s="11" t="s">
        <v>60</v>
      </c>
      <c r="H269" s="12">
        <v>20</v>
      </c>
      <c r="I269" s="12"/>
      <c r="J269" s="12">
        <v>20</v>
      </c>
      <c r="K269" s="12">
        <v>16.5</v>
      </c>
      <c r="L269" s="12"/>
      <c r="M269" s="12"/>
      <c r="N269" s="12">
        <v>13</v>
      </c>
      <c r="O269" s="30">
        <v>17</v>
      </c>
      <c r="P269" s="31"/>
      <c r="Q269" s="11">
        <v>86.5</v>
      </c>
      <c r="S269">
        <f t="shared" si="4"/>
        <v>0</v>
      </c>
    </row>
    <row r="270" spans="5:19">
      <c r="E270" s="32" t="s">
        <v>260</v>
      </c>
      <c r="F270" s="31"/>
      <c r="G270" s="11" t="s">
        <v>40</v>
      </c>
      <c r="H270" s="12">
        <v>47</v>
      </c>
      <c r="I270" s="12">
        <v>38</v>
      </c>
      <c r="J270" s="12">
        <v>47</v>
      </c>
      <c r="K270" s="12">
        <v>51</v>
      </c>
      <c r="L270" s="12">
        <v>39</v>
      </c>
      <c r="M270" s="12">
        <v>28</v>
      </c>
      <c r="N270" s="12">
        <v>30</v>
      </c>
      <c r="O270" s="30">
        <v>42</v>
      </c>
      <c r="P270" s="31"/>
      <c r="Q270" s="11">
        <v>322</v>
      </c>
      <c r="S270">
        <f t="shared" si="4"/>
        <v>0</v>
      </c>
    </row>
    <row r="271" spans="5:19">
      <c r="E271" s="13" t="s">
        <v>62</v>
      </c>
      <c r="F271" s="13"/>
      <c r="G271" s="11" t="s">
        <v>63</v>
      </c>
      <c r="H271" s="12">
        <v>100</v>
      </c>
      <c r="I271" s="12">
        <v>100</v>
      </c>
      <c r="J271" s="12">
        <v>100</v>
      </c>
      <c r="K271" s="12">
        <v>100</v>
      </c>
      <c r="L271" s="12">
        <v>100</v>
      </c>
      <c r="M271" s="12">
        <v>100</v>
      </c>
      <c r="N271" s="12">
        <v>50</v>
      </c>
      <c r="O271" s="30">
        <v>50</v>
      </c>
      <c r="P271" s="31"/>
      <c r="Q271" s="11">
        <v>700</v>
      </c>
      <c r="S271" t="str">
        <f t="shared" si="4"/>
        <v>Dr. B.B. Hegde First Grade College, Kundapura, Udupi.</v>
      </c>
    </row>
    <row r="272" spans="5:19">
      <c r="E272" s="32" t="s">
        <v>261</v>
      </c>
      <c r="F272" s="31"/>
      <c r="G272" s="11" t="s">
        <v>65</v>
      </c>
      <c r="H272" s="12" t="s">
        <v>127</v>
      </c>
      <c r="I272" s="12"/>
      <c r="J272" s="12" t="s">
        <v>127</v>
      </c>
      <c r="K272" s="12" t="s">
        <v>138</v>
      </c>
      <c r="L272" s="12"/>
      <c r="M272" s="12"/>
      <c r="N272" s="12" t="s">
        <v>69</v>
      </c>
      <c r="O272" s="30" t="s">
        <v>70</v>
      </c>
      <c r="P272" s="31"/>
      <c r="Q272" s="11" t="s">
        <v>37</v>
      </c>
      <c r="S272" t="str">
        <f t="shared" si="4"/>
        <v>00019</v>
      </c>
    </row>
    <row r="273" spans="5:19">
      <c r="E273" s="15" t="s">
        <v>72</v>
      </c>
      <c r="F273" s="15" t="s">
        <v>262</v>
      </c>
      <c r="G273" s="11" t="s">
        <v>74</v>
      </c>
      <c r="H273" s="12" t="s">
        <v>75</v>
      </c>
      <c r="I273" s="12" t="s">
        <v>263</v>
      </c>
      <c r="J273" s="12" t="s">
        <v>75</v>
      </c>
      <c r="K273" s="12" t="s">
        <v>75</v>
      </c>
      <c r="L273" s="12" t="s">
        <v>263</v>
      </c>
      <c r="M273" s="12" t="s">
        <v>263</v>
      </c>
      <c r="N273" s="12" t="s">
        <v>75</v>
      </c>
      <c r="O273" s="30" t="s">
        <v>75</v>
      </c>
      <c r="P273" s="31"/>
      <c r="Q273" s="11" t="s">
        <v>37</v>
      </c>
      <c r="S273" t="str">
        <f t="shared" si="4"/>
        <v>USN</v>
      </c>
    </row>
    <row r="274" spans="5:19">
      <c r="E274" s="16" t="s">
        <v>37</v>
      </c>
      <c r="F274" s="16" t="s">
        <v>37</v>
      </c>
      <c r="G274" s="16" t="s">
        <v>37</v>
      </c>
      <c r="H274" s="17" t="s">
        <v>37</v>
      </c>
      <c r="I274" s="17" t="s">
        <v>37</v>
      </c>
      <c r="J274" s="17" t="s">
        <v>37</v>
      </c>
      <c r="K274" s="17" t="s">
        <v>37</v>
      </c>
      <c r="L274" s="17" t="s">
        <v>37</v>
      </c>
      <c r="M274" s="17" t="s">
        <v>37</v>
      </c>
      <c r="N274" s="17" t="s">
        <v>37</v>
      </c>
      <c r="O274" s="41" t="s">
        <v>37</v>
      </c>
      <c r="P274" s="28"/>
      <c r="Q274" s="17" t="s">
        <v>37</v>
      </c>
      <c r="S274" t="str">
        <f t="shared" si="4"/>
        <v>SNEHA KHARVI</v>
      </c>
    </row>
    <row r="275" spans="5:19" ht="0" hidden="1" customHeight="1">
      <c r="S275">
        <f t="shared" si="4"/>
        <v>0</v>
      </c>
    </row>
    <row r="276" spans="5:19" ht="0.6" customHeight="1">
      <c r="S276">
        <f t="shared" si="4"/>
        <v>0</v>
      </c>
    </row>
    <row r="277" spans="5:19">
      <c r="E277" s="38" t="s">
        <v>35</v>
      </c>
      <c r="F277" s="31"/>
      <c r="G277" s="4" t="s">
        <v>36</v>
      </c>
      <c r="H277" s="6" t="s">
        <v>37</v>
      </c>
      <c r="I277" s="6" t="s">
        <v>37</v>
      </c>
      <c r="J277" s="6" t="s">
        <v>37</v>
      </c>
      <c r="K277" s="6" t="s">
        <v>37</v>
      </c>
      <c r="L277" s="6" t="s">
        <v>37</v>
      </c>
      <c r="M277" s="6" t="s">
        <v>37</v>
      </c>
      <c r="N277" s="6" t="s">
        <v>37</v>
      </c>
      <c r="O277" s="39" t="s">
        <v>37</v>
      </c>
      <c r="P277" s="28"/>
      <c r="Q277" s="6" t="s">
        <v>37</v>
      </c>
      <c r="S277" t="str">
        <f t="shared" si="4"/>
        <v>SGPA</v>
      </c>
    </row>
    <row r="278" spans="5:19" ht="21">
      <c r="E278" s="32" t="s">
        <v>264</v>
      </c>
      <c r="F278" s="31"/>
      <c r="G278" s="8" t="s">
        <v>39</v>
      </c>
      <c r="H278" s="8" t="s">
        <v>19</v>
      </c>
      <c r="I278" s="8" t="s">
        <v>9</v>
      </c>
      <c r="J278" s="8" t="s">
        <v>21</v>
      </c>
      <c r="K278" s="8" t="s">
        <v>11</v>
      </c>
      <c r="L278" s="8" t="s">
        <v>15</v>
      </c>
      <c r="M278" s="8" t="s">
        <v>27</v>
      </c>
      <c r="N278" s="8" t="s">
        <v>7</v>
      </c>
      <c r="O278" s="40" t="s">
        <v>13</v>
      </c>
      <c r="P278" s="31"/>
      <c r="Q278" s="8" t="s">
        <v>40</v>
      </c>
      <c r="S278" t="str">
        <f t="shared" si="4"/>
        <v>CGPA</v>
      </c>
    </row>
    <row r="279" spans="5:19" ht="22.5">
      <c r="E279" s="13" t="s">
        <v>41</v>
      </c>
      <c r="F279" s="13" t="s">
        <v>265</v>
      </c>
      <c r="G279" s="11" t="s">
        <v>43</v>
      </c>
      <c r="H279" s="12" t="s">
        <v>266</v>
      </c>
      <c r="I279" s="12" t="s">
        <v>267</v>
      </c>
      <c r="J279" s="12" t="s">
        <v>268</v>
      </c>
      <c r="K279" s="12" t="s">
        <v>269</v>
      </c>
      <c r="L279" s="12" t="s">
        <v>270</v>
      </c>
      <c r="M279" s="12" t="s">
        <v>122</v>
      </c>
      <c r="N279" s="12" t="s">
        <v>271</v>
      </c>
      <c r="O279" s="30" t="s">
        <v>51</v>
      </c>
      <c r="P279" s="31"/>
      <c r="Q279" s="11" t="s">
        <v>37</v>
      </c>
      <c r="S279" t="str">
        <f t="shared" si="4"/>
        <v>Result: PASS</v>
      </c>
    </row>
    <row r="280" spans="5:19">
      <c r="E280" s="32" t="s">
        <v>272</v>
      </c>
      <c r="F280" s="33"/>
      <c r="G280" s="11" t="s">
        <v>53</v>
      </c>
      <c r="H280" s="12" t="s">
        <v>51</v>
      </c>
      <c r="I280" s="12" t="s">
        <v>51</v>
      </c>
      <c r="J280" s="12" t="s">
        <v>51</v>
      </c>
      <c r="K280" s="12" t="s">
        <v>51</v>
      </c>
      <c r="L280" s="12" t="s">
        <v>51</v>
      </c>
      <c r="M280" s="12" t="s">
        <v>51</v>
      </c>
      <c r="N280" s="12" t="s">
        <v>51</v>
      </c>
      <c r="O280" s="30" t="s">
        <v>100</v>
      </c>
      <c r="P280" s="31"/>
      <c r="Q280" s="11" t="s">
        <v>37</v>
      </c>
      <c r="S280" t="str">
        <f t="shared" si="4"/>
        <v>Class</v>
      </c>
    </row>
    <row r="281" spans="5:19">
      <c r="E281" s="34"/>
      <c r="F281" s="35"/>
      <c r="G281" s="11" t="s">
        <v>55</v>
      </c>
      <c r="H281" s="12" t="s">
        <v>37</v>
      </c>
      <c r="I281" s="12" t="s">
        <v>37</v>
      </c>
      <c r="J281" s="12" t="s">
        <v>37</v>
      </c>
      <c r="K281" s="12" t="s">
        <v>37</v>
      </c>
      <c r="L281" s="12" t="s">
        <v>37</v>
      </c>
      <c r="M281" s="12" t="s">
        <v>37</v>
      </c>
      <c r="N281" s="12" t="s">
        <v>37</v>
      </c>
      <c r="O281" s="30" t="s">
        <v>37</v>
      </c>
      <c r="P281" s="31"/>
      <c r="Q281" s="11">
        <v>0</v>
      </c>
      <c r="S281" t="str">
        <f t="shared" si="4"/>
        <v>Term Grade: AB</v>
      </c>
    </row>
    <row r="282" spans="5:19">
      <c r="E282" s="36"/>
      <c r="F282" s="37"/>
      <c r="G282" s="11" t="s">
        <v>56</v>
      </c>
      <c r="H282" s="12">
        <v>4</v>
      </c>
      <c r="I282" s="12">
        <v>4</v>
      </c>
      <c r="J282" s="12">
        <v>4</v>
      </c>
      <c r="K282" s="12">
        <v>3</v>
      </c>
      <c r="L282" s="12">
        <v>3</v>
      </c>
      <c r="M282" s="12">
        <v>3</v>
      </c>
      <c r="N282" s="12">
        <v>2</v>
      </c>
      <c r="O282" s="30">
        <v>2</v>
      </c>
      <c r="P282" s="31"/>
      <c r="Q282" s="11">
        <v>25</v>
      </c>
      <c r="S282" t="str">
        <f t="shared" si="4"/>
        <v>M.C.No</v>
      </c>
    </row>
    <row r="283" spans="5:19">
      <c r="E283" s="13" t="s">
        <v>57</v>
      </c>
      <c r="F283" s="13">
        <v>6.28</v>
      </c>
      <c r="G283" s="11" t="s">
        <v>58</v>
      </c>
      <c r="H283" s="12">
        <v>5.5</v>
      </c>
      <c r="I283" s="12">
        <v>5</v>
      </c>
      <c r="J283" s="12">
        <v>6.5</v>
      </c>
      <c r="K283" s="12">
        <v>5.5</v>
      </c>
      <c r="L283" s="12">
        <v>6.5</v>
      </c>
      <c r="M283" s="12">
        <v>5</v>
      </c>
      <c r="N283" s="12">
        <v>9</v>
      </c>
      <c r="O283" s="30">
        <v>10</v>
      </c>
      <c r="P283" s="31"/>
      <c r="Q283" s="11" t="s">
        <v>37</v>
      </c>
      <c r="S283" t="str">
        <f t="shared" si="4"/>
        <v/>
      </c>
    </row>
    <row r="284" spans="5:19">
      <c r="E284" s="13" t="s">
        <v>59</v>
      </c>
      <c r="F284" s="14">
        <v>6.28</v>
      </c>
      <c r="G284" s="11" t="s">
        <v>60</v>
      </c>
      <c r="H284" s="12">
        <v>22</v>
      </c>
      <c r="I284" s="12">
        <v>20</v>
      </c>
      <c r="J284" s="12">
        <v>26</v>
      </c>
      <c r="K284" s="12">
        <v>16.5</v>
      </c>
      <c r="L284" s="12">
        <v>19.5</v>
      </c>
      <c r="M284" s="12">
        <v>15</v>
      </c>
      <c r="N284" s="12">
        <v>18</v>
      </c>
      <c r="O284" s="30">
        <v>20</v>
      </c>
      <c r="P284" s="31"/>
      <c r="Q284" s="11">
        <v>157</v>
      </c>
      <c r="S284">
        <f t="shared" si="4"/>
        <v>0</v>
      </c>
    </row>
    <row r="285" spans="5:19">
      <c r="E285" s="32" t="s">
        <v>61</v>
      </c>
      <c r="F285" s="31"/>
      <c r="G285" s="11" t="s">
        <v>40</v>
      </c>
      <c r="H285" s="12">
        <v>53</v>
      </c>
      <c r="I285" s="12">
        <v>48</v>
      </c>
      <c r="J285" s="12">
        <v>60</v>
      </c>
      <c r="K285" s="12">
        <v>51</v>
      </c>
      <c r="L285" s="12">
        <v>62</v>
      </c>
      <c r="M285" s="12">
        <v>46</v>
      </c>
      <c r="N285" s="12">
        <v>44</v>
      </c>
      <c r="O285" s="30">
        <v>50</v>
      </c>
      <c r="P285" s="31"/>
      <c r="Q285" s="11">
        <v>414</v>
      </c>
      <c r="S285">
        <f t="shared" si="4"/>
        <v>0</v>
      </c>
    </row>
    <row r="286" spans="5:19">
      <c r="E286" s="13" t="s">
        <v>62</v>
      </c>
      <c r="F286" s="13"/>
      <c r="G286" s="11" t="s">
        <v>63</v>
      </c>
      <c r="H286" s="12">
        <v>100</v>
      </c>
      <c r="I286" s="12">
        <v>100</v>
      </c>
      <c r="J286" s="12">
        <v>100</v>
      </c>
      <c r="K286" s="12">
        <v>100</v>
      </c>
      <c r="L286" s="12">
        <v>100</v>
      </c>
      <c r="M286" s="12">
        <v>100</v>
      </c>
      <c r="N286" s="12">
        <v>50</v>
      </c>
      <c r="O286" s="30">
        <v>50</v>
      </c>
      <c r="P286" s="31"/>
      <c r="Q286" s="11">
        <v>700</v>
      </c>
      <c r="S286" t="str">
        <f t="shared" si="4"/>
        <v>Dr. B.B. Hegde First Grade College, Kundapura, Udupi.</v>
      </c>
    </row>
    <row r="287" spans="5:19">
      <c r="E287" s="32" t="s">
        <v>273</v>
      </c>
      <c r="F287" s="31"/>
      <c r="G287" s="11" t="s">
        <v>65</v>
      </c>
      <c r="H287" s="12" t="s">
        <v>138</v>
      </c>
      <c r="I287" s="12" t="s">
        <v>127</v>
      </c>
      <c r="J287" s="12" t="s">
        <v>69</v>
      </c>
      <c r="K287" s="12" t="s">
        <v>138</v>
      </c>
      <c r="L287" s="12" t="s">
        <v>69</v>
      </c>
      <c r="M287" s="12" t="s">
        <v>127</v>
      </c>
      <c r="N287" s="12" t="s">
        <v>67</v>
      </c>
      <c r="O287" s="30" t="s">
        <v>88</v>
      </c>
      <c r="P287" s="31"/>
      <c r="Q287" s="11" t="s">
        <v>37</v>
      </c>
      <c r="S287" t="str">
        <f t="shared" si="4"/>
        <v>00020</v>
      </c>
    </row>
    <row r="288" spans="5:19">
      <c r="E288" s="15" t="s">
        <v>72</v>
      </c>
      <c r="F288" s="15" t="s">
        <v>274</v>
      </c>
      <c r="G288" s="11" t="s">
        <v>74</v>
      </c>
      <c r="H288" s="12" t="s">
        <v>75</v>
      </c>
      <c r="I288" s="12" t="s">
        <v>75</v>
      </c>
      <c r="J288" s="12" t="s">
        <v>75</v>
      </c>
      <c r="K288" s="12" t="s">
        <v>75</v>
      </c>
      <c r="L288" s="12" t="s">
        <v>75</v>
      </c>
      <c r="M288" s="12" t="s">
        <v>75</v>
      </c>
      <c r="N288" s="12" t="s">
        <v>75</v>
      </c>
      <c r="O288" s="30" t="s">
        <v>75</v>
      </c>
      <c r="P288" s="31"/>
      <c r="Q288" s="11" t="s">
        <v>37</v>
      </c>
      <c r="S288" t="str">
        <f t="shared" si="4"/>
        <v>USN</v>
      </c>
    </row>
    <row r="289" spans="5:19">
      <c r="E289" s="16" t="s">
        <v>37</v>
      </c>
      <c r="F289" s="16" t="s">
        <v>37</v>
      </c>
      <c r="G289" s="16" t="s">
        <v>37</v>
      </c>
      <c r="H289" s="17" t="s">
        <v>37</v>
      </c>
      <c r="I289" s="17" t="s">
        <v>37</v>
      </c>
      <c r="J289" s="17" t="s">
        <v>37</v>
      </c>
      <c r="K289" s="17" t="s">
        <v>37</v>
      </c>
      <c r="L289" s="17" t="s">
        <v>37</v>
      </c>
      <c r="M289" s="17" t="s">
        <v>37</v>
      </c>
      <c r="N289" s="17" t="s">
        <v>37</v>
      </c>
      <c r="O289" s="41" t="s">
        <v>37</v>
      </c>
      <c r="P289" s="28"/>
      <c r="Q289" s="17" t="s">
        <v>37</v>
      </c>
      <c r="S289" t="str">
        <f t="shared" si="4"/>
        <v>PRATHAM P BHANDARY</v>
      </c>
    </row>
    <row r="290" spans="5:19" ht="0" hidden="1" customHeight="1">
      <c r="S290">
        <f t="shared" si="4"/>
        <v>0</v>
      </c>
    </row>
    <row r="291" spans="5:19" ht="0.6" customHeight="1">
      <c r="S291">
        <f t="shared" si="4"/>
        <v>0</v>
      </c>
    </row>
    <row r="292" spans="5:19">
      <c r="E292" s="38" t="s">
        <v>35</v>
      </c>
      <c r="F292" s="31"/>
      <c r="G292" s="4" t="s">
        <v>36</v>
      </c>
      <c r="H292" s="6" t="s">
        <v>37</v>
      </c>
      <c r="I292" s="6" t="s">
        <v>37</v>
      </c>
      <c r="J292" s="6" t="s">
        <v>37</v>
      </c>
      <c r="K292" s="6" t="s">
        <v>37</v>
      </c>
      <c r="L292" s="6" t="s">
        <v>37</v>
      </c>
      <c r="M292" s="6" t="s">
        <v>37</v>
      </c>
      <c r="N292" s="6" t="s">
        <v>37</v>
      </c>
      <c r="O292" s="39" t="s">
        <v>37</v>
      </c>
      <c r="P292" s="28"/>
      <c r="Q292" s="6" t="s">
        <v>37</v>
      </c>
      <c r="S292" t="str">
        <f t="shared" si="4"/>
        <v>SGPA</v>
      </c>
    </row>
    <row r="293" spans="5:19" ht="21">
      <c r="E293" s="32" t="s">
        <v>275</v>
      </c>
      <c r="F293" s="31"/>
      <c r="G293" s="8" t="s">
        <v>39</v>
      </c>
      <c r="H293" s="8" t="s">
        <v>19</v>
      </c>
      <c r="I293" s="8" t="s">
        <v>9</v>
      </c>
      <c r="J293" s="8" t="s">
        <v>21</v>
      </c>
      <c r="K293" s="8" t="s">
        <v>11</v>
      </c>
      <c r="L293" s="8" t="s">
        <v>17</v>
      </c>
      <c r="M293" s="8" t="s">
        <v>27</v>
      </c>
      <c r="N293" s="8" t="s">
        <v>7</v>
      </c>
      <c r="O293" s="40" t="s">
        <v>13</v>
      </c>
      <c r="P293" s="31"/>
      <c r="Q293" s="8" t="s">
        <v>40</v>
      </c>
      <c r="S293" t="str">
        <f t="shared" si="4"/>
        <v>CGPA</v>
      </c>
    </row>
    <row r="294" spans="5:19" ht="22.5">
      <c r="E294" s="13" t="s">
        <v>41</v>
      </c>
      <c r="F294" s="13" t="s">
        <v>276</v>
      </c>
      <c r="G294" s="11" t="s">
        <v>43</v>
      </c>
      <c r="H294" s="12" t="s">
        <v>45</v>
      </c>
      <c r="I294" s="12" t="s">
        <v>83</v>
      </c>
      <c r="J294" s="12" t="s">
        <v>277</v>
      </c>
      <c r="K294" s="12" t="s">
        <v>278</v>
      </c>
      <c r="L294" s="12" t="s">
        <v>279</v>
      </c>
      <c r="M294" s="12" t="s">
        <v>280</v>
      </c>
      <c r="N294" s="12" t="s">
        <v>281</v>
      </c>
      <c r="O294" s="30" t="s">
        <v>51</v>
      </c>
      <c r="P294" s="31"/>
      <c r="Q294" s="11" t="s">
        <v>37</v>
      </c>
      <c r="S294" t="str">
        <f t="shared" si="4"/>
        <v>Result: PASS</v>
      </c>
    </row>
    <row r="295" spans="5:19">
      <c r="E295" s="32" t="s">
        <v>282</v>
      </c>
      <c r="F295" s="33"/>
      <c r="G295" s="11" t="s">
        <v>53</v>
      </c>
      <c r="H295" s="12" t="s">
        <v>51</v>
      </c>
      <c r="I295" s="12" t="s">
        <v>51</v>
      </c>
      <c r="J295" s="12" t="s">
        <v>51</v>
      </c>
      <c r="K295" s="12" t="s">
        <v>51</v>
      </c>
      <c r="L295" s="12" t="s">
        <v>51</v>
      </c>
      <c r="M295" s="12" t="s">
        <v>51</v>
      </c>
      <c r="N295" s="12" t="s">
        <v>51</v>
      </c>
      <c r="O295" s="30" t="s">
        <v>283</v>
      </c>
      <c r="P295" s="31"/>
      <c r="Q295" s="11" t="s">
        <v>37</v>
      </c>
      <c r="S295" t="str">
        <f t="shared" si="4"/>
        <v>Class</v>
      </c>
    </row>
    <row r="296" spans="5:19">
      <c r="E296" s="34"/>
      <c r="F296" s="35"/>
      <c r="G296" s="11" t="s">
        <v>55</v>
      </c>
      <c r="H296" s="12" t="s">
        <v>37</v>
      </c>
      <c r="I296" s="12" t="s">
        <v>37</v>
      </c>
      <c r="J296" s="12" t="s">
        <v>37</v>
      </c>
      <c r="K296" s="12" t="s">
        <v>37</v>
      </c>
      <c r="L296" s="12" t="s">
        <v>37</v>
      </c>
      <c r="M296" s="12" t="s">
        <v>37</v>
      </c>
      <c r="N296" s="12" t="s">
        <v>37</v>
      </c>
      <c r="O296" s="30" t="s">
        <v>37</v>
      </c>
      <c r="P296" s="31"/>
      <c r="Q296" s="11">
        <v>0</v>
      </c>
      <c r="S296" t="str">
        <f t="shared" si="4"/>
        <v>Term Grade: OA+</v>
      </c>
    </row>
    <row r="297" spans="5:19">
      <c r="E297" s="36"/>
      <c r="F297" s="37"/>
      <c r="G297" s="11" t="s">
        <v>56</v>
      </c>
      <c r="H297" s="12">
        <v>4</v>
      </c>
      <c r="I297" s="12">
        <v>4</v>
      </c>
      <c r="J297" s="12">
        <v>4</v>
      </c>
      <c r="K297" s="12">
        <v>3</v>
      </c>
      <c r="L297" s="12">
        <v>3</v>
      </c>
      <c r="M297" s="12">
        <v>3</v>
      </c>
      <c r="N297" s="12">
        <v>2</v>
      </c>
      <c r="O297" s="30">
        <v>2</v>
      </c>
      <c r="P297" s="31"/>
      <c r="Q297" s="11">
        <v>25</v>
      </c>
      <c r="S297" t="str">
        <f t="shared" si="4"/>
        <v>M.C.No</v>
      </c>
    </row>
    <row r="298" spans="5:19">
      <c r="E298" s="13" t="s">
        <v>57</v>
      </c>
      <c r="F298" s="13">
        <v>8.86</v>
      </c>
      <c r="G298" s="11" t="s">
        <v>58</v>
      </c>
      <c r="H298" s="12">
        <v>9</v>
      </c>
      <c r="I298" s="12">
        <v>10</v>
      </c>
      <c r="J298" s="12">
        <v>8</v>
      </c>
      <c r="K298" s="12">
        <v>7</v>
      </c>
      <c r="L298" s="12">
        <v>9.5</v>
      </c>
      <c r="M298" s="12">
        <v>9</v>
      </c>
      <c r="N298" s="12">
        <v>9.5</v>
      </c>
      <c r="O298" s="30">
        <v>9</v>
      </c>
      <c r="P298" s="31"/>
      <c r="Q298" s="11" t="s">
        <v>37</v>
      </c>
      <c r="S298" t="str">
        <f t="shared" si="4"/>
        <v/>
      </c>
    </row>
    <row r="299" spans="5:19">
      <c r="E299" s="13" t="s">
        <v>59</v>
      </c>
      <c r="F299" s="14">
        <v>8.86</v>
      </c>
      <c r="G299" s="11" t="s">
        <v>60</v>
      </c>
      <c r="H299" s="12">
        <v>36</v>
      </c>
      <c r="I299" s="12">
        <v>40</v>
      </c>
      <c r="J299" s="12">
        <v>32</v>
      </c>
      <c r="K299" s="12">
        <v>21</v>
      </c>
      <c r="L299" s="12">
        <v>28.5</v>
      </c>
      <c r="M299" s="12">
        <v>27</v>
      </c>
      <c r="N299" s="12">
        <v>19</v>
      </c>
      <c r="O299" s="30">
        <v>18</v>
      </c>
      <c r="P299" s="31"/>
      <c r="Q299" s="11">
        <v>221.5</v>
      </c>
      <c r="S299">
        <f t="shared" si="4"/>
        <v>0</v>
      </c>
    </row>
    <row r="300" spans="5:19">
      <c r="E300" s="32" t="s">
        <v>61</v>
      </c>
      <c r="F300" s="31"/>
      <c r="G300" s="11" t="s">
        <v>40</v>
      </c>
      <c r="H300" s="12">
        <v>89</v>
      </c>
      <c r="I300" s="12">
        <v>100</v>
      </c>
      <c r="J300" s="12">
        <v>76</v>
      </c>
      <c r="K300" s="12">
        <v>69</v>
      </c>
      <c r="L300" s="12">
        <v>91</v>
      </c>
      <c r="M300" s="12">
        <v>86</v>
      </c>
      <c r="N300" s="12">
        <v>47</v>
      </c>
      <c r="O300" s="30">
        <v>44</v>
      </c>
      <c r="P300" s="31"/>
      <c r="Q300" s="11">
        <v>602</v>
      </c>
      <c r="S300">
        <f t="shared" si="4"/>
        <v>0</v>
      </c>
    </row>
    <row r="301" spans="5:19">
      <c r="E301" s="13" t="s">
        <v>62</v>
      </c>
      <c r="F301" s="13"/>
      <c r="G301" s="11" t="s">
        <v>63</v>
      </c>
      <c r="H301" s="12">
        <v>100</v>
      </c>
      <c r="I301" s="12">
        <v>100</v>
      </c>
      <c r="J301" s="12">
        <v>100</v>
      </c>
      <c r="K301" s="12">
        <v>100</v>
      </c>
      <c r="L301" s="12">
        <v>100</v>
      </c>
      <c r="M301" s="12">
        <v>100</v>
      </c>
      <c r="N301" s="12">
        <v>50</v>
      </c>
      <c r="O301" s="30">
        <v>50</v>
      </c>
      <c r="P301" s="31"/>
      <c r="Q301" s="11">
        <v>700</v>
      </c>
      <c r="S301" t="str">
        <f t="shared" si="4"/>
        <v>Dr. B.B. Hegde First Grade College, Kundapura, Udupi.</v>
      </c>
    </row>
    <row r="302" spans="5:19">
      <c r="E302" s="32" t="s">
        <v>188</v>
      </c>
      <c r="F302" s="31"/>
      <c r="G302" s="11" t="s">
        <v>65</v>
      </c>
      <c r="H302" s="12" t="s">
        <v>67</v>
      </c>
      <c r="I302" s="12" t="s">
        <v>88</v>
      </c>
      <c r="J302" s="12" t="s">
        <v>102</v>
      </c>
      <c r="K302" s="12" t="s">
        <v>66</v>
      </c>
      <c r="L302" s="12" t="s">
        <v>71</v>
      </c>
      <c r="M302" s="12" t="s">
        <v>67</v>
      </c>
      <c r="N302" s="12" t="s">
        <v>71</v>
      </c>
      <c r="O302" s="30" t="s">
        <v>67</v>
      </c>
      <c r="P302" s="31"/>
      <c r="Q302" s="11" t="s">
        <v>37</v>
      </c>
      <c r="S302" t="str">
        <f t="shared" si="4"/>
        <v>00021</v>
      </c>
    </row>
    <row r="303" spans="5:19">
      <c r="E303" s="15" t="s">
        <v>72</v>
      </c>
      <c r="F303" s="15" t="s">
        <v>284</v>
      </c>
      <c r="G303" s="11" t="s">
        <v>74</v>
      </c>
      <c r="H303" s="12" t="s">
        <v>75</v>
      </c>
      <c r="I303" s="12" t="s">
        <v>75</v>
      </c>
      <c r="J303" s="12" t="s">
        <v>75</v>
      </c>
      <c r="K303" s="12" t="s">
        <v>75</v>
      </c>
      <c r="L303" s="12" t="s">
        <v>75</v>
      </c>
      <c r="M303" s="12" t="s">
        <v>75</v>
      </c>
      <c r="N303" s="12" t="s">
        <v>75</v>
      </c>
      <c r="O303" s="30" t="s">
        <v>75</v>
      </c>
      <c r="P303" s="31"/>
      <c r="Q303" s="11" t="s">
        <v>37</v>
      </c>
      <c r="S303" t="str">
        <f t="shared" si="4"/>
        <v>USN</v>
      </c>
    </row>
    <row r="304" spans="5:19">
      <c r="E304" s="16" t="s">
        <v>37</v>
      </c>
      <c r="F304" s="16" t="s">
        <v>37</v>
      </c>
      <c r="G304" s="16" t="s">
        <v>37</v>
      </c>
      <c r="H304" s="17" t="s">
        <v>37</v>
      </c>
      <c r="I304" s="17" t="s">
        <v>37</v>
      </c>
      <c r="J304" s="17" t="s">
        <v>37</v>
      </c>
      <c r="K304" s="17" t="s">
        <v>37</v>
      </c>
      <c r="L304" s="17" t="s">
        <v>37</v>
      </c>
      <c r="M304" s="17" t="s">
        <v>37</v>
      </c>
      <c r="N304" s="17" t="s">
        <v>37</v>
      </c>
      <c r="O304" s="41" t="s">
        <v>37</v>
      </c>
      <c r="P304" s="28"/>
      <c r="Q304" s="17" t="s">
        <v>37</v>
      </c>
      <c r="S304" t="str">
        <f t="shared" si="4"/>
        <v>SHRAVYA</v>
      </c>
    </row>
    <row r="305" spans="5:19" ht="0" hidden="1" customHeight="1">
      <c r="S305">
        <f t="shared" si="4"/>
        <v>0</v>
      </c>
    </row>
    <row r="306" spans="5:19" ht="0.6" customHeight="1">
      <c r="S306">
        <f t="shared" si="4"/>
        <v>0</v>
      </c>
    </row>
    <row r="307" spans="5:19">
      <c r="E307" s="38" t="s">
        <v>35</v>
      </c>
      <c r="F307" s="31"/>
      <c r="G307" s="4" t="s">
        <v>36</v>
      </c>
      <c r="H307" s="6" t="s">
        <v>37</v>
      </c>
      <c r="I307" s="6" t="s">
        <v>37</v>
      </c>
      <c r="J307" s="6" t="s">
        <v>37</v>
      </c>
      <c r="K307" s="6" t="s">
        <v>37</v>
      </c>
      <c r="L307" s="6" t="s">
        <v>37</v>
      </c>
      <c r="M307" s="6" t="s">
        <v>37</v>
      </c>
      <c r="N307" s="6" t="s">
        <v>37</v>
      </c>
      <c r="O307" s="39" t="s">
        <v>37</v>
      </c>
      <c r="P307" s="28"/>
      <c r="Q307" s="6" t="s">
        <v>37</v>
      </c>
      <c r="S307" t="str">
        <f t="shared" si="4"/>
        <v>SGPA</v>
      </c>
    </row>
    <row r="308" spans="5:19" ht="21">
      <c r="E308" s="32" t="s">
        <v>285</v>
      </c>
      <c r="F308" s="31"/>
      <c r="G308" s="8" t="s">
        <v>39</v>
      </c>
      <c r="H308" s="8" t="s">
        <v>19</v>
      </c>
      <c r="I308" s="8" t="s">
        <v>9</v>
      </c>
      <c r="J308" s="8" t="s">
        <v>21</v>
      </c>
      <c r="K308" s="8" t="s">
        <v>11</v>
      </c>
      <c r="L308" s="8" t="s">
        <v>17</v>
      </c>
      <c r="M308" s="8" t="s">
        <v>27</v>
      </c>
      <c r="N308" s="8" t="s">
        <v>7</v>
      </c>
      <c r="O308" s="40" t="s">
        <v>33</v>
      </c>
      <c r="P308" s="31"/>
      <c r="Q308" s="8" t="s">
        <v>40</v>
      </c>
      <c r="S308" t="str">
        <f t="shared" si="4"/>
        <v>CGPA</v>
      </c>
    </row>
    <row r="309" spans="5:19" ht="22.5">
      <c r="E309" s="13" t="s">
        <v>41</v>
      </c>
      <c r="F309" s="13" t="s">
        <v>286</v>
      </c>
      <c r="G309" s="11" t="s">
        <v>43</v>
      </c>
      <c r="H309" s="12" t="s">
        <v>287</v>
      </c>
      <c r="I309" s="12" t="s">
        <v>79</v>
      </c>
      <c r="J309" s="12" t="s">
        <v>288</v>
      </c>
      <c r="K309" s="12" t="s">
        <v>277</v>
      </c>
      <c r="L309" s="12" t="s">
        <v>289</v>
      </c>
      <c r="M309" s="12" t="s">
        <v>290</v>
      </c>
      <c r="N309" s="12" t="s">
        <v>209</v>
      </c>
      <c r="O309" s="30" t="s">
        <v>51</v>
      </c>
      <c r="P309" s="31"/>
      <c r="Q309" s="11" t="s">
        <v>37</v>
      </c>
      <c r="S309" t="str">
        <f t="shared" si="4"/>
        <v>Result: PASS</v>
      </c>
    </row>
    <row r="310" spans="5:19">
      <c r="E310" s="32" t="s">
        <v>291</v>
      </c>
      <c r="F310" s="33"/>
      <c r="G310" s="11" t="s">
        <v>53</v>
      </c>
      <c r="H310" s="12" t="s">
        <v>51</v>
      </c>
      <c r="I310" s="12" t="s">
        <v>51</v>
      </c>
      <c r="J310" s="12" t="s">
        <v>51</v>
      </c>
      <c r="K310" s="12" t="s">
        <v>51</v>
      </c>
      <c r="L310" s="12" t="s">
        <v>51</v>
      </c>
      <c r="M310" s="12" t="s">
        <v>51</v>
      </c>
      <c r="N310" s="12" t="s">
        <v>51</v>
      </c>
      <c r="O310" s="30" t="s">
        <v>125</v>
      </c>
      <c r="P310" s="31"/>
      <c r="Q310" s="11" t="s">
        <v>37</v>
      </c>
      <c r="S310" t="str">
        <f t="shared" si="4"/>
        <v>Class</v>
      </c>
    </row>
    <row r="311" spans="5:19">
      <c r="E311" s="34"/>
      <c r="F311" s="35"/>
      <c r="G311" s="11" t="s">
        <v>55</v>
      </c>
      <c r="H311" s="12" t="s">
        <v>37</v>
      </c>
      <c r="I311" s="12" t="s">
        <v>37</v>
      </c>
      <c r="J311" s="12" t="s">
        <v>37</v>
      </c>
      <c r="K311" s="12" t="s">
        <v>37</v>
      </c>
      <c r="L311" s="12" t="s">
        <v>37</v>
      </c>
      <c r="M311" s="12" t="s">
        <v>37</v>
      </c>
      <c r="N311" s="12" t="s">
        <v>37</v>
      </c>
      <c r="O311" s="30" t="s">
        <v>37</v>
      </c>
      <c r="P311" s="31"/>
      <c r="Q311" s="11">
        <v>0</v>
      </c>
      <c r="S311" t="str">
        <f t="shared" si="4"/>
        <v>Term Grade: OO</v>
      </c>
    </row>
    <row r="312" spans="5:19">
      <c r="E312" s="36"/>
      <c r="F312" s="37"/>
      <c r="G312" s="11" t="s">
        <v>56</v>
      </c>
      <c r="H312" s="12">
        <v>4</v>
      </c>
      <c r="I312" s="12">
        <v>4</v>
      </c>
      <c r="J312" s="12">
        <v>4</v>
      </c>
      <c r="K312" s="12">
        <v>3</v>
      </c>
      <c r="L312" s="12">
        <v>3</v>
      </c>
      <c r="M312" s="12">
        <v>3</v>
      </c>
      <c r="N312" s="12">
        <v>2</v>
      </c>
      <c r="O312" s="30">
        <v>2</v>
      </c>
      <c r="P312" s="31"/>
      <c r="Q312" s="11">
        <v>25</v>
      </c>
      <c r="S312" t="str">
        <f t="shared" si="4"/>
        <v>M.C.No</v>
      </c>
    </row>
    <row r="313" spans="5:19">
      <c r="E313" s="13" t="s">
        <v>57</v>
      </c>
      <c r="F313" s="13">
        <v>9.1</v>
      </c>
      <c r="G313" s="11" t="s">
        <v>58</v>
      </c>
      <c r="H313" s="12">
        <v>9</v>
      </c>
      <c r="I313" s="12">
        <v>10</v>
      </c>
      <c r="J313" s="12">
        <v>9</v>
      </c>
      <c r="K313" s="12">
        <v>8</v>
      </c>
      <c r="L313" s="12">
        <v>9</v>
      </c>
      <c r="M313" s="12">
        <v>8.5</v>
      </c>
      <c r="N313" s="12">
        <v>10</v>
      </c>
      <c r="O313" s="30">
        <v>9.5</v>
      </c>
      <c r="P313" s="31"/>
      <c r="Q313" s="11" t="s">
        <v>37</v>
      </c>
      <c r="S313" t="str">
        <f t="shared" si="4"/>
        <v/>
      </c>
    </row>
    <row r="314" spans="5:19">
      <c r="E314" s="13" t="s">
        <v>59</v>
      </c>
      <c r="F314" s="14">
        <v>9.1</v>
      </c>
      <c r="G314" s="11" t="s">
        <v>60</v>
      </c>
      <c r="H314" s="12">
        <v>36</v>
      </c>
      <c r="I314" s="12">
        <v>40</v>
      </c>
      <c r="J314" s="12">
        <v>36</v>
      </c>
      <c r="K314" s="12">
        <v>24</v>
      </c>
      <c r="L314" s="12">
        <v>27</v>
      </c>
      <c r="M314" s="12">
        <v>25.5</v>
      </c>
      <c r="N314" s="12">
        <v>20</v>
      </c>
      <c r="O314" s="30">
        <v>19</v>
      </c>
      <c r="P314" s="31"/>
      <c r="Q314" s="11">
        <v>227.5</v>
      </c>
      <c r="S314">
        <f t="shared" si="4"/>
        <v>0</v>
      </c>
    </row>
    <row r="315" spans="5:19">
      <c r="E315" s="32" t="s">
        <v>61</v>
      </c>
      <c r="F315" s="31"/>
      <c r="G315" s="11" t="s">
        <v>40</v>
      </c>
      <c r="H315" s="12">
        <v>88</v>
      </c>
      <c r="I315" s="12">
        <v>95</v>
      </c>
      <c r="J315" s="12">
        <v>85</v>
      </c>
      <c r="K315" s="12">
        <v>76</v>
      </c>
      <c r="L315" s="12">
        <v>89</v>
      </c>
      <c r="M315" s="12">
        <v>81</v>
      </c>
      <c r="N315" s="12">
        <v>50</v>
      </c>
      <c r="O315" s="30">
        <v>46</v>
      </c>
      <c r="P315" s="31"/>
      <c r="Q315" s="11">
        <v>610</v>
      </c>
      <c r="S315">
        <f t="shared" si="4"/>
        <v>0</v>
      </c>
    </row>
    <row r="316" spans="5:19">
      <c r="E316" s="13" t="s">
        <v>62</v>
      </c>
      <c r="F316" s="13"/>
      <c r="G316" s="11" t="s">
        <v>63</v>
      </c>
      <c r="H316" s="12">
        <v>100</v>
      </c>
      <c r="I316" s="12">
        <v>100</v>
      </c>
      <c r="J316" s="12">
        <v>100</v>
      </c>
      <c r="K316" s="12">
        <v>100</v>
      </c>
      <c r="L316" s="12">
        <v>100</v>
      </c>
      <c r="M316" s="12">
        <v>100</v>
      </c>
      <c r="N316" s="12">
        <v>50</v>
      </c>
      <c r="O316" s="30">
        <v>50</v>
      </c>
      <c r="P316" s="31"/>
      <c r="Q316" s="11">
        <v>700</v>
      </c>
      <c r="S316" t="str">
        <f t="shared" si="4"/>
        <v>Dr. B.B. Hegde First Grade College, Kundapura, Udupi.</v>
      </c>
    </row>
    <row r="317" spans="5:19">
      <c r="E317" s="32" t="s">
        <v>87</v>
      </c>
      <c r="F317" s="31"/>
      <c r="G317" s="11" t="s">
        <v>65</v>
      </c>
      <c r="H317" s="12" t="s">
        <v>67</v>
      </c>
      <c r="I317" s="12" t="s">
        <v>88</v>
      </c>
      <c r="J317" s="12" t="s">
        <v>67</v>
      </c>
      <c r="K317" s="12" t="s">
        <v>102</v>
      </c>
      <c r="L317" s="12" t="s">
        <v>67</v>
      </c>
      <c r="M317" s="12" t="s">
        <v>70</v>
      </c>
      <c r="N317" s="12" t="s">
        <v>88</v>
      </c>
      <c r="O317" s="30" t="s">
        <v>71</v>
      </c>
      <c r="P317" s="31"/>
      <c r="Q317" s="11" t="s">
        <v>37</v>
      </c>
      <c r="S317" t="str">
        <f t="shared" si="4"/>
        <v>00022</v>
      </c>
    </row>
    <row r="318" spans="5:19">
      <c r="E318" s="15" t="s">
        <v>72</v>
      </c>
      <c r="F318" s="15" t="s">
        <v>292</v>
      </c>
      <c r="G318" s="11" t="s">
        <v>74</v>
      </c>
      <c r="H318" s="12" t="s">
        <v>75</v>
      </c>
      <c r="I318" s="12" t="s">
        <v>75</v>
      </c>
      <c r="J318" s="12" t="s">
        <v>75</v>
      </c>
      <c r="K318" s="12" t="s">
        <v>75</v>
      </c>
      <c r="L318" s="12" t="s">
        <v>75</v>
      </c>
      <c r="M318" s="12" t="s">
        <v>75</v>
      </c>
      <c r="N318" s="12" t="s">
        <v>75</v>
      </c>
      <c r="O318" s="30" t="s">
        <v>75</v>
      </c>
      <c r="P318" s="31"/>
      <c r="Q318" s="11" t="s">
        <v>37</v>
      </c>
      <c r="S318" t="str">
        <f t="shared" si="4"/>
        <v>USN</v>
      </c>
    </row>
    <row r="319" spans="5:19">
      <c r="E319" s="16" t="s">
        <v>37</v>
      </c>
      <c r="F319" s="16" t="s">
        <v>37</v>
      </c>
      <c r="G319" s="16" t="s">
        <v>37</v>
      </c>
      <c r="H319" s="17" t="s">
        <v>37</v>
      </c>
      <c r="I319" s="17" t="s">
        <v>37</v>
      </c>
      <c r="J319" s="17" t="s">
        <v>37</v>
      </c>
      <c r="K319" s="17" t="s">
        <v>37</v>
      </c>
      <c r="L319" s="17" t="s">
        <v>37</v>
      </c>
      <c r="M319" s="17" t="s">
        <v>37</v>
      </c>
      <c r="N319" s="17" t="s">
        <v>37</v>
      </c>
      <c r="O319" s="41" t="s">
        <v>37</v>
      </c>
      <c r="P319" s="28"/>
      <c r="Q319" s="17" t="s">
        <v>37</v>
      </c>
      <c r="S319" t="str">
        <f t="shared" si="4"/>
        <v>KARTHIK</v>
      </c>
    </row>
    <row r="320" spans="5:19" ht="0" hidden="1" customHeight="1">
      <c r="S320">
        <f t="shared" si="4"/>
        <v>0</v>
      </c>
    </row>
    <row r="321" spans="5:19" ht="0.6" customHeight="1">
      <c r="S321">
        <f t="shared" si="4"/>
        <v>0</v>
      </c>
    </row>
    <row r="322" spans="5:19">
      <c r="E322" s="38" t="s">
        <v>35</v>
      </c>
      <c r="F322" s="31"/>
      <c r="G322" s="4" t="s">
        <v>36</v>
      </c>
      <c r="H322" s="6" t="s">
        <v>37</v>
      </c>
      <c r="I322" s="6" t="s">
        <v>37</v>
      </c>
      <c r="J322" s="6" t="s">
        <v>37</v>
      </c>
      <c r="K322" s="6" t="s">
        <v>37</v>
      </c>
      <c r="L322" s="6" t="s">
        <v>37</v>
      </c>
      <c r="M322" s="6" t="s">
        <v>37</v>
      </c>
      <c r="N322" s="6" t="s">
        <v>37</v>
      </c>
      <c r="O322" s="39" t="s">
        <v>37</v>
      </c>
      <c r="P322" s="28"/>
      <c r="Q322" s="6" t="s">
        <v>37</v>
      </c>
      <c r="S322" t="str">
        <f t="shared" si="4"/>
        <v>SGPA</v>
      </c>
    </row>
    <row r="323" spans="5:19" ht="21">
      <c r="E323" s="32" t="s">
        <v>293</v>
      </c>
      <c r="F323" s="31"/>
      <c r="G323" s="8" t="s">
        <v>39</v>
      </c>
      <c r="H323" s="8" t="s">
        <v>19</v>
      </c>
      <c r="I323" s="8" t="s">
        <v>9</v>
      </c>
      <c r="J323" s="8" t="s">
        <v>21</v>
      </c>
      <c r="K323" s="8" t="s">
        <v>11</v>
      </c>
      <c r="L323" s="8" t="s">
        <v>17</v>
      </c>
      <c r="M323" s="8" t="s">
        <v>27</v>
      </c>
      <c r="N323" s="8" t="s">
        <v>7</v>
      </c>
      <c r="O323" s="40" t="s">
        <v>29</v>
      </c>
      <c r="P323" s="31"/>
      <c r="Q323" s="8" t="s">
        <v>40</v>
      </c>
      <c r="S323" t="str">
        <f t="shared" si="4"/>
        <v>CGPA</v>
      </c>
    </row>
    <row r="324" spans="5:19" ht="22.5">
      <c r="E324" s="13" t="s">
        <v>41</v>
      </c>
      <c r="F324" s="13" t="s">
        <v>294</v>
      </c>
      <c r="G324" s="11" t="s">
        <v>43</v>
      </c>
      <c r="H324" s="12" t="s">
        <v>295</v>
      </c>
      <c r="I324" s="12" t="s">
        <v>296</v>
      </c>
      <c r="J324" s="12" t="s">
        <v>297</v>
      </c>
      <c r="K324" s="12" t="s">
        <v>298</v>
      </c>
      <c r="L324" s="12" t="s">
        <v>299</v>
      </c>
      <c r="M324" s="12" t="s">
        <v>300</v>
      </c>
      <c r="N324" s="12" t="s">
        <v>301</v>
      </c>
      <c r="O324" s="30" t="s">
        <v>51</v>
      </c>
      <c r="P324" s="31"/>
      <c r="Q324" s="11" t="s">
        <v>37</v>
      </c>
      <c r="S324" t="str">
        <f t="shared" si="4"/>
        <v>Result: PASS</v>
      </c>
    </row>
    <row r="325" spans="5:19">
      <c r="E325" s="32" t="s">
        <v>302</v>
      </c>
      <c r="F325" s="33"/>
      <c r="G325" s="11" t="s">
        <v>53</v>
      </c>
      <c r="H325" s="12" t="s">
        <v>51</v>
      </c>
      <c r="I325" s="12" t="s">
        <v>51</v>
      </c>
      <c r="J325" s="12" t="s">
        <v>51</v>
      </c>
      <c r="K325" s="12" t="s">
        <v>51</v>
      </c>
      <c r="L325" s="12" t="s">
        <v>51</v>
      </c>
      <c r="M325" s="12" t="s">
        <v>51</v>
      </c>
      <c r="N325" s="12" t="s">
        <v>51</v>
      </c>
      <c r="O325" s="30" t="s">
        <v>54</v>
      </c>
      <c r="P325" s="31"/>
      <c r="Q325" s="11" t="s">
        <v>37</v>
      </c>
      <c r="S325" t="str">
        <f t="shared" si="4"/>
        <v>Class</v>
      </c>
    </row>
    <row r="326" spans="5:19">
      <c r="E326" s="34"/>
      <c r="F326" s="35"/>
      <c r="G326" s="11" t="s">
        <v>55</v>
      </c>
      <c r="H326" s="12" t="s">
        <v>37</v>
      </c>
      <c r="I326" s="12" t="s">
        <v>37</v>
      </c>
      <c r="J326" s="12" t="s">
        <v>37</v>
      </c>
      <c r="K326" s="12" t="s">
        <v>37</v>
      </c>
      <c r="L326" s="12" t="s">
        <v>37</v>
      </c>
      <c r="M326" s="12" t="s">
        <v>37</v>
      </c>
      <c r="N326" s="12" t="s">
        <v>37</v>
      </c>
      <c r="O326" s="30" t="s">
        <v>37</v>
      </c>
      <c r="P326" s="31"/>
      <c r="Q326" s="11">
        <v>0</v>
      </c>
      <c r="S326" t="str">
        <f t="shared" si="4"/>
        <v>Term Grade: AB+</v>
      </c>
    </row>
    <row r="327" spans="5:19">
      <c r="E327" s="36"/>
      <c r="F327" s="37"/>
      <c r="G327" s="11" t="s">
        <v>56</v>
      </c>
      <c r="H327" s="12">
        <v>4</v>
      </c>
      <c r="I327" s="12">
        <v>4</v>
      </c>
      <c r="J327" s="12">
        <v>4</v>
      </c>
      <c r="K327" s="12">
        <v>3</v>
      </c>
      <c r="L327" s="12">
        <v>3</v>
      </c>
      <c r="M327" s="12">
        <v>3</v>
      </c>
      <c r="N327" s="12">
        <v>2</v>
      </c>
      <c r="O327" s="30">
        <v>2</v>
      </c>
      <c r="P327" s="31"/>
      <c r="Q327" s="11">
        <v>25</v>
      </c>
      <c r="S327" t="str">
        <f t="shared" si="4"/>
        <v>M.C.No</v>
      </c>
    </row>
    <row r="328" spans="5:19">
      <c r="E328" s="13" t="s">
        <v>57</v>
      </c>
      <c r="F328" s="13">
        <v>6.78</v>
      </c>
      <c r="G328" s="11" t="s">
        <v>58</v>
      </c>
      <c r="H328" s="12">
        <v>7.5</v>
      </c>
      <c r="I328" s="12">
        <v>6.5</v>
      </c>
      <c r="J328" s="12">
        <v>4.5</v>
      </c>
      <c r="K328" s="12">
        <v>6.5</v>
      </c>
      <c r="L328" s="12">
        <v>7.5</v>
      </c>
      <c r="M328" s="12">
        <v>5.5</v>
      </c>
      <c r="N328" s="12">
        <v>9</v>
      </c>
      <c r="O328" s="30">
        <v>9.5</v>
      </c>
      <c r="P328" s="31"/>
      <c r="Q328" s="11" t="s">
        <v>37</v>
      </c>
      <c r="S328" t="str">
        <f t="shared" si="4"/>
        <v/>
      </c>
    </row>
    <row r="329" spans="5:19">
      <c r="E329" s="13" t="s">
        <v>59</v>
      </c>
      <c r="F329" s="14">
        <v>6.78</v>
      </c>
      <c r="G329" s="11" t="s">
        <v>60</v>
      </c>
      <c r="H329" s="12">
        <v>30</v>
      </c>
      <c r="I329" s="12">
        <v>26</v>
      </c>
      <c r="J329" s="12">
        <v>18</v>
      </c>
      <c r="K329" s="12">
        <v>19.5</v>
      </c>
      <c r="L329" s="12">
        <v>22.5</v>
      </c>
      <c r="M329" s="12">
        <v>16.5</v>
      </c>
      <c r="N329" s="12">
        <v>18</v>
      </c>
      <c r="O329" s="30">
        <v>19</v>
      </c>
      <c r="P329" s="31"/>
      <c r="Q329" s="11">
        <v>169.5</v>
      </c>
      <c r="S329">
        <f t="shared" si="4"/>
        <v>0</v>
      </c>
    </row>
    <row r="330" spans="5:19">
      <c r="E330" s="32" t="s">
        <v>61</v>
      </c>
      <c r="F330" s="31"/>
      <c r="G330" s="11" t="s">
        <v>40</v>
      </c>
      <c r="H330" s="12">
        <v>71</v>
      </c>
      <c r="I330" s="12">
        <v>61</v>
      </c>
      <c r="J330" s="12">
        <v>44</v>
      </c>
      <c r="K330" s="12">
        <v>63</v>
      </c>
      <c r="L330" s="12">
        <v>73</v>
      </c>
      <c r="M330" s="12">
        <v>52</v>
      </c>
      <c r="N330" s="12">
        <v>43</v>
      </c>
      <c r="O330" s="30">
        <v>45</v>
      </c>
      <c r="P330" s="31"/>
      <c r="Q330" s="11">
        <v>452</v>
      </c>
      <c r="S330" t="str">
        <f t="shared" si="4"/>
        <v>Dr. B.B. Hegde First Grade College, Kundapura, Udupi.</v>
      </c>
    </row>
    <row r="331" spans="5:19">
      <c r="E331" s="13" t="s">
        <v>62</v>
      </c>
      <c r="F331" s="13"/>
      <c r="G331" s="11" t="s">
        <v>63</v>
      </c>
      <c r="H331" s="12">
        <v>100</v>
      </c>
      <c r="I331" s="12">
        <v>100</v>
      </c>
      <c r="J331" s="12">
        <v>100</v>
      </c>
      <c r="K331" s="12">
        <v>100</v>
      </c>
      <c r="L331" s="12">
        <v>100</v>
      </c>
      <c r="M331" s="12">
        <v>100</v>
      </c>
      <c r="N331" s="12">
        <v>50</v>
      </c>
      <c r="O331" s="30">
        <v>50</v>
      </c>
      <c r="P331" s="31"/>
      <c r="Q331" s="11">
        <v>700</v>
      </c>
      <c r="S331" t="str">
        <f t="shared" si="4"/>
        <v>00023</v>
      </c>
    </row>
    <row r="332" spans="5:19">
      <c r="E332" s="32" t="s">
        <v>126</v>
      </c>
      <c r="F332" s="31"/>
      <c r="G332" s="11" t="s">
        <v>65</v>
      </c>
      <c r="H332" s="12" t="s">
        <v>68</v>
      </c>
      <c r="I332" s="12" t="s">
        <v>69</v>
      </c>
      <c r="J332" s="12" t="s">
        <v>303</v>
      </c>
      <c r="K332" s="12" t="s">
        <v>69</v>
      </c>
      <c r="L332" s="12" t="s">
        <v>68</v>
      </c>
      <c r="M332" s="12" t="s">
        <v>138</v>
      </c>
      <c r="N332" s="12" t="s">
        <v>67</v>
      </c>
      <c r="O332" s="30" t="s">
        <v>71</v>
      </c>
      <c r="P332" s="31"/>
      <c r="Q332" s="11" t="s">
        <v>37</v>
      </c>
      <c r="S332" t="str">
        <f t="shared" ref="S332:S395" si="5">$E338</f>
        <v>USN</v>
      </c>
    </row>
    <row r="333" spans="5:19">
      <c r="E333" s="15" t="s">
        <v>72</v>
      </c>
      <c r="F333" s="15" t="s">
        <v>304</v>
      </c>
      <c r="G333" s="11" t="s">
        <v>74</v>
      </c>
      <c r="H333" s="12" t="s">
        <v>75</v>
      </c>
      <c r="I333" s="12" t="s">
        <v>75</v>
      </c>
      <c r="J333" s="12" t="s">
        <v>75</v>
      </c>
      <c r="K333" s="12" t="s">
        <v>75</v>
      </c>
      <c r="L333" s="12" t="s">
        <v>75</v>
      </c>
      <c r="M333" s="12" t="s">
        <v>75</v>
      </c>
      <c r="N333" s="12" t="s">
        <v>75</v>
      </c>
      <c r="O333" s="30" t="s">
        <v>75</v>
      </c>
      <c r="P333" s="31"/>
      <c r="Q333" s="11" t="s">
        <v>37</v>
      </c>
      <c r="S333" t="str">
        <f t="shared" si="5"/>
        <v>GAUTHAM KUMAR</v>
      </c>
    </row>
    <row r="334" spans="5:19">
      <c r="E334" s="16" t="s">
        <v>37</v>
      </c>
      <c r="F334" s="16" t="s">
        <v>37</v>
      </c>
      <c r="G334" s="16" t="s">
        <v>37</v>
      </c>
      <c r="H334" s="17" t="s">
        <v>37</v>
      </c>
      <c r="I334" s="17" t="s">
        <v>37</v>
      </c>
      <c r="J334" s="17" t="s">
        <v>37</v>
      </c>
      <c r="K334" s="17" t="s">
        <v>37</v>
      </c>
      <c r="L334" s="17" t="s">
        <v>37</v>
      </c>
      <c r="M334" s="17" t="s">
        <v>37</v>
      </c>
      <c r="N334" s="17" t="s">
        <v>37</v>
      </c>
      <c r="O334" s="41" t="s">
        <v>37</v>
      </c>
      <c r="P334" s="28"/>
      <c r="Q334" s="17" t="s">
        <v>37</v>
      </c>
      <c r="S334">
        <f t="shared" si="5"/>
        <v>0</v>
      </c>
    </row>
    <row r="335" spans="5:19" ht="0.6" customHeight="1">
      <c r="S335">
        <f t="shared" si="5"/>
        <v>0</v>
      </c>
    </row>
    <row r="336" spans="5:19">
      <c r="E336" s="38" t="s">
        <v>35</v>
      </c>
      <c r="F336" s="31"/>
      <c r="G336" s="4" t="s">
        <v>36</v>
      </c>
      <c r="H336" s="6" t="s">
        <v>37</v>
      </c>
      <c r="I336" s="6" t="s">
        <v>37</v>
      </c>
      <c r="J336" s="6" t="s">
        <v>37</v>
      </c>
      <c r="K336" s="6" t="s">
        <v>37</v>
      </c>
      <c r="L336" s="6" t="s">
        <v>37</v>
      </c>
      <c r="M336" s="6" t="s">
        <v>37</v>
      </c>
      <c r="N336" s="6" t="s">
        <v>37</v>
      </c>
      <c r="O336" s="39" t="s">
        <v>37</v>
      </c>
      <c r="P336" s="28"/>
      <c r="Q336" s="6" t="s">
        <v>37</v>
      </c>
      <c r="S336" t="str">
        <f t="shared" si="5"/>
        <v>SGPA</v>
      </c>
    </row>
    <row r="337" spans="5:19" ht="21">
      <c r="E337" s="32" t="s">
        <v>305</v>
      </c>
      <c r="F337" s="31"/>
      <c r="G337" s="8" t="s">
        <v>39</v>
      </c>
      <c r="H337" s="8" t="s">
        <v>19</v>
      </c>
      <c r="I337" s="8" t="s">
        <v>9</v>
      </c>
      <c r="J337" s="8" t="s">
        <v>21</v>
      </c>
      <c r="K337" s="8" t="s">
        <v>11</v>
      </c>
      <c r="L337" s="8" t="s">
        <v>17</v>
      </c>
      <c r="M337" s="8" t="s">
        <v>27</v>
      </c>
      <c r="N337" s="8" t="s">
        <v>7</v>
      </c>
      <c r="O337" s="40" t="s">
        <v>33</v>
      </c>
      <c r="P337" s="31"/>
      <c r="Q337" s="8" t="s">
        <v>40</v>
      </c>
      <c r="S337" t="str">
        <f t="shared" si="5"/>
        <v>CGPA</v>
      </c>
    </row>
    <row r="338" spans="5:19" ht="22.5">
      <c r="E338" s="13" t="s">
        <v>41</v>
      </c>
      <c r="F338" s="13" t="s">
        <v>306</v>
      </c>
      <c r="G338" s="11" t="s">
        <v>43</v>
      </c>
      <c r="H338" s="12" t="s">
        <v>193</v>
      </c>
      <c r="I338" s="12" t="s">
        <v>45</v>
      </c>
      <c r="J338" s="12" t="s">
        <v>307</v>
      </c>
      <c r="K338" s="12" t="s">
        <v>153</v>
      </c>
      <c r="L338" s="12" t="s">
        <v>308</v>
      </c>
      <c r="M338" s="12" t="s">
        <v>309</v>
      </c>
      <c r="N338" s="12" t="s">
        <v>310</v>
      </c>
      <c r="O338" s="30" t="s">
        <v>51</v>
      </c>
      <c r="P338" s="31"/>
      <c r="Q338" s="11" t="s">
        <v>37</v>
      </c>
      <c r="S338" t="str">
        <f t="shared" si="5"/>
        <v>Result: PASS</v>
      </c>
    </row>
    <row r="339" spans="5:19">
      <c r="E339" s="32" t="s">
        <v>311</v>
      </c>
      <c r="F339" s="33"/>
      <c r="G339" s="11" t="s">
        <v>53</v>
      </c>
      <c r="H339" s="12" t="s">
        <v>51</v>
      </c>
      <c r="I339" s="12" t="s">
        <v>51</v>
      </c>
      <c r="J339" s="12" t="s">
        <v>51</v>
      </c>
      <c r="K339" s="12" t="s">
        <v>51</v>
      </c>
      <c r="L339" s="12" t="s">
        <v>51</v>
      </c>
      <c r="M339" s="12" t="s">
        <v>51</v>
      </c>
      <c r="N339" s="12" t="s">
        <v>51</v>
      </c>
      <c r="O339" s="30" t="s">
        <v>54</v>
      </c>
      <c r="P339" s="31"/>
      <c r="Q339" s="11" t="s">
        <v>37</v>
      </c>
      <c r="S339" t="str">
        <f t="shared" si="5"/>
        <v>Class</v>
      </c>
    </row>
    <row r="340" spans="5:19">
      <c r="E340" s="34"/>
      <c r="F340" s="35"/>
      <c r="G340" s="11" t="s">
        <v>55</v>
      </c>
      <c r="H340" s="12" t="s">
        <v>37</v>
      </c>
      <c r="I340" s="12" t="s">
        <v>37</v>
      </c>
      <c r="J340" s="12" t="s">
        <v>37</v>
      </c>
      <c r="K340" s="12" t="s">
        <v>37</v>
      </c>
      <c r="L340" s="12" t="s">
        <v>37</v>
      </c>
      <c r="M340" s="12" t="s">
        <v>37</v>
      </c>
      <c r="N340" s="12" t="s">
        <v>37</v>
      </c>
      <c r="O340" s="30" t="s">
        <v>37</v>
      </c>
      <c r="P340" s="31"/>
      <c r="Q340" s="11">
        <v>0</v>
      </c>
      <c r="S340" t="str">
        <f t="shared" si="5"/>
        <v>Term Grade: AA+</v>
      </c>
    </row>
    <row r="341" spans="5:19">
      <c r="E341" s="36"/>
      <c r="F341" s="37"/>
      <c r="G341" s="11" t="s">
        <v>56</v>
      </c>
      <c r="H341" s="12">
        <v>4</v>
      </c>
      <c r="I341" s="12">
        <v>4</v>
      </c>
      <c r="J341" s="12">
        <v>4</v>
      </c>
      <c r="K341" s="12">
        <v>3</v>
      </c>
      <c r="L341" s="12">
        <v>3</v>
      </c>
      <c r="M341" s="12">
        <v>3</v>
      </c>
      <c r="N341" s="12">
        <v>2</v>
      </c>
      <c r="O341" s="30">
        <v>2</v>
      </c>
      <c r="P341" s="31"/>
      <c r="Q341" s="11">
        <v>25</v>
      </c>
      <c r="S341" t="str">
        <f t="shared" si="5"/>
        <v>M.C.No</v>
      </c>
    </row>
    <row r="342" spans="5:19">
      <c r="E342" s="13" t="s">
        <v>57</v>
      </c>
      <c r="F342" s="13">
        <v>7.76</v>
      </c>
      <c r="G342" s="11" t="s">
        <v>58</v>
      </c>
      <c r="H342" s="12">
        <v>7</v>
      </c>
      <c r="I342" s="12">
        <v>9</v>
      </c>
      <c r="J342" s="12">
        <v>6.5</v>
      </c>
      <c r="K342" s="12">
        <v>6.5</v>
      </c>
      <c r="L342" s="12">
        <v>9</v>
      </c>
      <c r="M342" s="12">
        <v>6.5</v>
      </c>
      <c r="N342" s="12">
        <v>9.5</v>
      </c>
      <c r="O342" s="30">
        <v>9.5</v>
      </c>
      <c r="P342" s="31"/>
      <c r="Q342" s="11" t="s">
        <v>37</v>
      </c>
      <c r="S342" t="str">
        <f t="shared" si="5"/>
        <v/>
      </c>
    </row>
    <row r="343" spans="5:19">
      <c r="E343" s="13" t="s">
        <v>59</v>
      </c>
      <c r="F343" s="14">
        <v>7.76</v>
      </c>
      <c r="G343" s="11" t="s">
        <v>60</v>
      </c>
      <c r="H343" s="12">
        <v>28</v>
      </c>
      <c r="I343" s="12">
        <v>36</v>
      </c>
      <c r="J343" s="12">
        <v>26</v>
      </c>
      <c r="K343" s="12">
        <v>19.5</v>
      </c>
      <c r="L343" s="12">
        <v>27</v>
      </c>
      <c r="M343" s="12">
        <v>19.5</v>
      </c>
      <c r="N343" s="12">
        <v>19</v>
      </c>
      <c r="O343" s="30">
        <v>19</v>
      </c>
      <c r="P343" s="31"/>
      <c r="Q343" s="11">
        <v>194</v>
      </c>
      <c r="S343">
        <f t="shared" si="5"/>
        <v>0</v>
      </c>
    </row>
    <row r="344" spans="5:19">
      <c r="E344" s="32" t="s">
        <v>61</v>
      </c>
      <c r="F344" s="31"/>
      <c r="G344" s="11" t="s">
        <v>40</v>
      </c>
      <c r="H344" s="12">
        <v>68</v>
      </c>
      <c r="I344" s="12">
        <v>89</v>
      </c>
      <c r="J344" s="12">
        <v>61</v>
      </c>
      <c r="K344" s="12">
        <v>64</v>
      </c>
      <c r="L344" s="12">
        <v>87</v>
      </c>
      <c r="M344" s="12">
        <v>63</v>
      </c>
      <c r="N344" s="12">
        <v>46</v>
      </c>
      <c r="O344" s="30">
        <v>45</v>
      </c>
      <c r="P344" s="31"/>
      <c r="Q344" s="11">
        <v>523</v>
      </c>
      <c r="S344">
        <f t="shared" si="5"/>
        <v>0</v>
      </c>
    </row>
    <row r="345" spans="5:19">
      <c r="E345" s="13" t="s">
        <v>62</v>
      </c>
      <c r="F345" s="13"/>
      <c r="G345" s="11" t="s">
        <v>63</v>
      </c>
      <c r="H345" s="12">
        <v>100</v>
      </c>
      <c r="I345" s="12">
        <v>100</v>
      </c>
      <c r="J345" s="12">
        <v>100</v>
      </c>
      <c r="K345" s="12">
        <v>100</v>
      </c>
      <c r="L345" s="12">
        <v>100</v>
      </c>
      <c r="M345" s="12">
        <v>100</v>
      </c>
      <c r="N345" s="12">
        <v>50</v>
      </c>
      <c r="O345" s="30">
        <v>50</v>
      </c>
      <c r="P345" s="31"/>
      <c r="Q345" s="11">
        <v>700</v>
      </c>
      <c r="S345" t="str">
        <f t="shared" si="5"/>
        <v>Dr. B.B. Hegde First Grade College, Kundapura, Udupi.</v>
      </c>
    </row>
    <row r="346" spans="5:19">
      <c r="E346" s="32" t="s">
        <v>64</v>
      </c>
      <c r="F346" s="31"/>
      <c r="G346" s="11" t="s">
        <v>65</v>
      </c>
      <c r="H346" s="12" t="s">
        <v>66</v>
      </c>
      <c r="I346" s="12" t="s">
        <v>67</v>
      </c>
      <c r="J346" s="12" t="s">
        <v>69</v>
      </c>
      <c r="K346" s="12" t="s">
        <v>69</v>
      </c>
      <c r="L346" s="12" t="s">
        <v>67</v>
      </c>
      <c r="M346" s="12" t="s">
        <v>69</v>
      </c>
      <c r="N346" s="12" t="s">
        <v>71</v>
      </c>
      <c r="O346" s="30" t="s">
        <v>71</v>
      </c>
      <c r="P346" s="31"/>
      <c r="Q346" s="11" t="s">
        <v>37</v>
      </c>
      <c r="S346" t="str">
        <f t="shared" si="5"/>
        <v>00024</v>
      </c>
    </row>
    <row r="347" spans="5:19">
      <c r="E347" s="15" t="s">
        <v>72</v>
      </c>
      <c r="F347" s="15" t="s">
        <v>312</v>
      </c>
      <c r="G347" s="11" t="s">
        <v>74</v>
      </c>
      <c r="H347" s="12" t="s">
        <v>75</v>
      </c>
      <c r="I347" s="12" t="s">
        <v>75</v>
      </c>
      <c r="J347" s="12" t="s">
        <v>75</v>
      </c>
      <c r="K347" s="12" t="s">
        <v>75</v>
      </c>
      <c r="L347" s="12" t="s">
        <v>75</v>
      </c>
      <c r="M347" s="12" t="s">
        <v>75</v>
      </c>
      <c r="N347" s="12" t="s">
        <v>75</v>
      </c>
      <c r="O347" s="30" t="s">
        <v>75</v>
      </c>
      <c r="P347" s="31"/>
      <c r="Q347" s="11" t="s">
        <v>37</v>
      </c>
      <c r="S347" t="str">
        <f t="shared" si="5"/>
        <v>USN</v>
      </c>
    </row>
    <row r="348" spans="5:19">
      <c r="E348" s="16" t="s">
        <v>37</v>
      </c>
      <c r="F348" s="16" t="s">
        <v>37</v>
      </c>
      <c r="G348" s="16" t="s">
        <v>37</v>
      </c>
      <c r="H348" s="17" t="s">
        <v>37</v>
      </c>
      <c r="I348" s="17" t="s">
        <v>37</v>
      </c>
      <c r="J348" s="17" t="s">
        <v>37</v>
      </c>
      <c r="K348" s="17" t="s">
        <v>37</v>
      </c>
      <c r="L348" s="17" t="s">
        <v>37</v>
      </c>
      <c r="M348" s="17" t="s">
        <v>37</v>
      </c>
      <c r="N348" s="17" t="s">
        <v>37</v>
      </c>
      <c r="O348" s="41" t="s">
        <v>37</v>
      </c>
      <c r="P348" s="28"/>
      <c r="Q348" s="17" t="s">
        <v>37</v>
      </c>
      <c r="S348" t="str">
        <f t="shared" si="5"/>
        <v>SAMEEKSHA</v>
      </c>
    </row>
    <row r="349" spans="5:19" ht="0" hidden="1" customHeight="1">
      <c r="S349">
        <f t="shared" si="5"/>
        <v>0</v>
      </c>
    </row>
    <row r="350" spans="5:19" ht="0.6" customHeight="1">
      <c r="S350">
        <f t="shared" si="5"/>
        <v>0</v>
      </c>
    </row>
    <row r="351" spans="5:19">
      <c r="E351" s="38" t="s">
        <v>35</v>
      </c>
      <c r="F351" s="31"/>
      <c r="G351" s="4" t="s">
        <v>36</v>
      </c>
      <c r="H351" s="6" t="s">
        <v>37</v>
      </c>
      <c r="I351" s="6" t="s">
        <v>37</v>
      </c>
      <c r="J351" s="6" t="s">
        <v>37</v>
      </c>
      <c r="K351" s="6" t="s">
        <v>37</v>
      </c>
      <c r="L351" s="6" t="s">
        <v>37</v>
      </c>
      <c r="M351" s="6" t="s">
        <v>37</v>
      </c>
      <c r="N351" s="6" t="s">
        <v>37</v>
      </c>
      <c r="O351" s="39" t="s">
        <v>37</v>
      </c>
      <c r="P351" s="28"/>
      <c r="Q351" s="6" t="s">
        <v>37</v>
      </c>
      <c r="S351" t="str">
        <f t="shared" si="5"/>
        <v>SGPA</v>
      </c>
    </row>
    <row r="352" spans="5:19" ht="21">
      <c r="E352" s="32" t="s">
        <v>313</v>
      </c>
      <c r="F352" s="31"/>
      <c r="G352" s="8" t="s">
        <v>39</v>
      </c>
      <c r="H352" s="8" t="s">
        <v>19</v>
      </c>
      <c r="I352" s="8" t="s">
        <v>9</v>
      </c>
      <c r="J352" s="8" t="s">
        <v>21</v>
      </c>
      <c r="K352" s="8" t="s">
        <v>11</v>
      </c>
      <c r="L352" s="8" t="s">
        <v>17</v>
      </c>
      <c r="M352" s="8" t="s">
        <v>27</v>
      </c>
      <c r="N352" s="8" t="s">
        <v>7</v>
      </c>
      <c r="O352" s="40" t="s">
        <v>33</v>
      </c>
      <c r="P352" s="31"/>
      <c r="Q352" s="8" t="s">
        <v>40</v>
      </c>
      <c r="S352" t="str">
        <f t="shared" si="5"/>
        <v>CGPA</v>
      </c>
    </row>
    <row r="353" spans="5:19" ht="22.5">
      <c r="E353" s="13" t="s">
        <v>41</v>
      </c>
      <c r="F353" s="13" t="s">
        <v>314</v>
      </c>
      <c r="G353" s="11" t="s">
        <v>43</v>
      </c>
      <c r="H353" s="12" t="s">
        <v>78</v>
      </c>
      <c r="I353" s="12" t="s">
        <v>183</v>
      </c>
      <c r="J353" s="12" t="s">
        <v>288</v>
      </c>
      <c r="K353" s="12" t="s">
        <v>315</v>
      </c>
      <c r="L353" s="12" t="s">
        <v>316</v>
      </c>
      <c r="M353" s="12" t="s">
        <v>317</v>
      </c>
      <c r="N353" s="12" t="s">
        <v>318</v>
      </c>
      <c r="O353" s="30" t="s">
        <v>51</v>
      </c>
      <c r="P353" s="31"/>
      <c r="Q353" s="11" t="s">
        <v>37</v>
      </c>
      <c r="S353" t="str">
        <f t="shared" si="5"/>
        <v>Result: PASS</v>
      </c>
    </row>
    <row r="354" spans="5:19">
      <c r="E354" s="32" t="s">
        <v>319</v>
      </c>
      <c r="F354" s="33"/>
      <c r="G354" s="11" t="s">
        <v>53</v>
      </c>
      <c r="H354" s="12" t="s">
        <v>51</v>
      </c>
      <c r="I354" s="12" t="s">
        <v>51</v>
      </c>
      <c r="J354" s="12" t="s">
        <v>51</v>
      </c>
      <c r="K354" s="12" t="s">
        <v>51</v>
      </c>
      <c r="L354" s="12" t="s">
        <v>51</v>
      </c>
      <c r="M354" s="12" t="s">
        <v>51</v>
      </c>
      <c r="N354" s="12" t="s">
        <v>51</v>
      </c>
      <c r="O354" s="30" t="s">
        <v>199</v>
      </c>
      <c r="P354" s="31"/>
      <c r="Q354" s="11" t="s">
        <v>37</v>
      </c>
      <c r="S354" t="str">
        <f t="shared" si="5"/>
        <v>Class</v>
      </c>
    </row>
    <row r="355" spans="5:19">
      <c r="E355" s="34"/>
      <c r="F355" s="35"/>
      <c r="G355" s="11" t="s">
        <v>55</v>
      </c>
      <c r="H355" s="12" t="s">
        <v>37</v>
      </c>
      <c r="I355" s="12" t="s">
        <v>37</v>
      </c>
      <c r="J355" s="12" t="s">
        <v>37</v>
      </c>
      <c r="K355" s="12" t="s">
        <v>37</v>
      </c>
      <c r="L355" s="12" t="s">
        <v>37</v>
      </c>
      <c r="M355" s="12" t="s">
        <v>37</v>
      </c>
      <c r="N355" s="12" t="s">
        <v>37</v>
      </c>
      <c r="O355" s="30" t="s">
        <v>37</v>
      </c>
      <c r="P355" s="31"/>
      <c r="Q355" s="11">
        <v>0</v>
      </c>
      <c r="S355" t="str">
        <f t="shared" si="5"/>
        <v>Term Grade: OO</v>
      </c>
    </row>
    <row r="356" spans="5:19">
      <c r="E356" s="36"/>
      <c r="F356" s="37"/>
      <c r="G356" s="11" t="s">
        <v>56</v>
      </c>
      <c r="H356" s="12">
        <v>4</v>
      </c>
      <c r="I356" s="12">
        <v>4</v>
      </c>
      <c r="J356" s="12">
        <v>4</v>
      </c>
      <c r="K356" s="12">
        <v>3</v>
      </c>
      <c r="L356" s="12">
        <v>3</v>
      </c>
      <c r="M356" s="12">
        <v>3</v>
      </c>
      <c r="N356" s="12">
        <v>2</v>
      </c>
      <c r="O356" s="30">
        <v>2</v>
      </c>
      <c r="P356" s="31"/>
      <c r="Q356" s="11">
        <v>25</v>
      </c>
      <c r="S356" t="str">
        <f t="shared" si="5"/>
        <v>M.C.No</v>
      </c>
    </row>
    <row r="357" spans="5:19">
      <c r="E357" s="13" t="s">
        <v>57</v>
      </c>
      <c r="F357" s="13">
        <v>9.06</v>
      </c>
      <c r="G357" s="11" t="s">
        <v>58</v>
      </c>
      <c r="H357" s="12">
        <v>9</v>
      </c>
      <c r="I357" s="12">
        <v>9.5</v>
      </c>
      <c r="J357" s="12">
        <v>9</v>
      </c>
      <c r="K357" s="12">
        <v>8</v>
      </c>
      <c r="L357" s="12">
        <v>9</v>
      </c>
      <c r="M357" s="12">
        <v>8.5</v>
      </c>
      <c r="N357" s="12">
        <v>10</v>
      </c>
      <c r="O357" s="30">
        <v>10</v>
      </c>
      <c r="P357" s="31"/>
      <c r="Q357" s="11" t="s">
        <v>37</v>
      </c>
      <c r="S357" t="str">
        <f t="shared" si="5"/>
        <v/>
      </c>
    </row>
    <row r="358" spans="5:19">
      <c r="E358" s="13" t="s">
        <v>59</v>
      </c>
      <c r="F358" s="14">
        <v>9.06</v>
      </c>
      <c r="G358" s="11" t="s">
        <v>60</v>
      </c>
      <c r="H358" s="12">
        <v>36</v>
      </c>
      <c r="I358" s="12">
        <v>38</v>
      </c>
      <c r="J358" s="12">
        <v>36</v>
      </c>
      <c r="K358" s="12">
        <v>24</v>
      </c>
      <c r="L358" s="12">
        <v>27</v>
      </c>
      <c r="M358" s="12">
        <v>25.5</v>
      </c>
      <c r="N358" s="12">
        <v>20</v>
      </c>
      <c r="O358" s="30">
        <v>20</v>
      </c>
      <c r="P358" s="31"/>
      <c r="Q358" s="11">
        <v>226.5</v>
      </c>
      <c r="S358">
        <f t="shared" si="5"/>
        <v>0</v>
      </c>
    </row>
    <row r="359" spans="5:19">
      <c r="E359" s="32" t="s">
        <v>61</v>
      </c>
      <c r="F359" s="31"/>
      <c r="G359" s="11" t="s">
        <v>40</v>
      </c>
      <c r="H359" s="12">
        <v>86</v>
      </c>
      <c r="I359" s="12">
        <v>94</v>
      </c>
      <c r="J359" s="12">
        <v>85</v>
      </c>
      <c r="K359" s="12">
        <v>77</v>
      </c>
      <c r="L359" s="12">
        <v>86</v>
      </c>
      <c r="M359" s="12">
        <v>82</v>
      </c>
      <c r="N359" s="12">
        <v>49</v>
      </c>
      <c r="O359" s="30">
        <v>49</v>
      </c>
      <c r="P359" s="31"/>
      <c r="Q359" s="11">
        <v>608</v>
      </c>
      <c r="S359">
        <f t="shared" si="5"/>
        <v>0</v>
      </c>
    </row>
    <row r="360" spans="5:19">
      <c r="E360" s="13" t="s">
        <v>62</v>
      </c>
      <c r="F360" s="13"/>
      <c r="G360" s="11" t="s">
        <v>63</v>
      </c>
      <c r="H360" s="12">
        <v>100</v>
      </c>
      <c r="I360" s="12">
        <v>100</v>
      </c>
      <c r="J360" s="12">
        <v>100</v>
      </c>
      <c r="K360" s="12">
        <v>100</v>
      </c>
      <c r="L360" s="12">
        <v>100</v>
      </c>
      <c r="M360" s="12">
        <v>100</v>
      </c>
      <c r="N360" s="12">
        <v>50</v>
      </c>
      <c r="O360" s="30">
        <v>50</v>
      </c>
      <c r="P360" s="31"/>
      <c r="Q360" s="11">
        <v>700</v>
      </c>
      <c r="S360" t="str">
        <f t="shared" si="5"/>
        <v>Dr. B.B. Hegde First Grade College, Kundapura, Udupi.</v>
      </c>
    </row>
    <row r="361" spans="5:19">
      <c r="E361" s="32" t="s">
        <v>87</v>
      </c>
      <c r="F361" s="31"/>
      <c r="G361" s="11" t="s">
        <v>65</v>
      </c>
      <c r="H361" s="12" t="s">
        <v>67</v>
      </c>
      <c r="I361" s="12" t="s">
        <v>71</v>
      </c>
      <c r="J361" s="12" t="s">
        <v>67</v>
      </c>
      <c r="K361" s="12" t="s">
        <v>102</v>
      </c>
      <c r="L361" s="12" t="s">
        <v>67</v>
      </c>
      <c r="M361" s="12" t="s">
        <v>70</v>
      </c>
      <c r="N361" s="12" t="s">
        <v>88</v>
      </c>
      <c r="O361" s="30" t="s">
        <v>88</v>
      </c>
      <c r="P361" s="31"/>
      <c r="Q361" s="11" t="s">
        <v>37</v>
      </c>
      <c r="S361" t="str">
        <f t="shared" si="5"/>
        <v>00025</v>
      </c>
    </row>
    <row r="362" spans="5:19">
      <c r="E362" s="15" t="s">
        <v>72</v>
      </c>
      <c r="F362" s="15" t="s">
        <v>320</v>
      </c>
      <c r="G362" s="11" t="s">
        <v>74</v>
      </c>
      <c r="H362" s="12" t="s">
        <v>75</v>
      </c>
      <c r="I362" s="12" t="s">
        <v>75</v>
      </c>
      <c r="J362" s="12" t="s">
        <v>75</v>
      </c>
      <c r="K362" s="12" t="s">
        <v>75</v>
      </c>
      <c r="L362" s="12" t="s">
        <v>75</v>
      </c>
      <c r="M362" s="12" t="s">
        <v>75</v>
      </c>
      <c r="N362" s="12" t="s">
        <v>75</v>
      </c>
      <c r="O362" s="30" t="s">
        <v>75</v>
      </c>
      <c r="P362" s="31"/>
      <c r="Q362" s="11" t="s">
        <v>37</v>
      </c>
      <c r="S362" t="str">
        <f t="shared" si="5"/>
        <v>USN</v>
      </c>
    </row>
    <row r="363" spans="5:19">
      <c r="E363" s="16" t="s">
        <v>37</v>
      </c>
      <c r="F363" s="16" t="s">
        <v>37</v>
      </c>
      <c r="G363" s="16" t="s">
        <v>37</v>
      </c>
      <c r="H363" s="17" t="s">
        <v>37</v>
      </c>
      <c r="I363" s="17" t="s">
        <v>37</v>
      </c>
      <c r="J363" s="17" t="s">
        <v>37</v>
      </c>
      <c r="K363" s="17" t="s">
        <v>37</v>
      </c>
      <c r="L363" s="17" t="s">
        <v>37</v>
      </c>
      <c r="M363" s="17" t="s">
        <v>37</v>
      </c>
      <c r="N363" s="17" t="s">
        <v>37</v>
      </c>
      <c r="O363" s="41" t="s">
        <v>37</v>
      </c>
      <c r="P363" s="28"/>
      <c r="Q363" s="17" t="s">
        <v>37</v>
      </c>
      <c r="S363" t="str">
        <f t="shared" si="5"/>
        <v>KAVYA ISHWAR NAIK</v>
      </c>
    </row>
    <row r="364" spans="5:19" ht="0" hidden="1" customHeight="1">
      <c r="S364">
        <f t="shared" si="5"/>
        <v>0</v>
      </c>
    </row>
    <row r="365" spans="5:19" ht="0.6" customHeight="1">
      <c r="S365">
        <f t="shared" si="5"/>
        <v>0</v>
      </c>
    </row>
    <row r="366" spans="5:19">
      <c r="E366" s="38" t="s">
        <v>35</v>
      </c>
      <c r="F366" s="31"/>
      <c r="G366" s="4" t="s">
        <v>36</v>
      </c>
      <c r="H366" s="6" t="s">
        <v>37</v>
      </c>
      <c r="I366" s="6" t="s">
        <v>37</v>
      </c>
      <c r="J366" s="6" t="s">
        <v>37</v>
      </c>
      <c r="K366" s="6" t="s">
        <v>37</v>
      </c>
      <c r="L366" s="6" t="s">
        <v>37</v>
      </c>
      <c r="M366" s="6" t="s">
        <v>37</v>
      </c>
      <c r="N366" s="6" t="s">
        <v>37</v>
      </c>
      <c r="O366" s="39" t="s">
        <v>37</v>
      </c>
      <c r="P366" s="28"/>
      <c r="Q366" s="6" t="s">
        <v>37</v>
      </c>
      <c r="S366" t="str">
        <f t="shared" si="5"/>
        <v>SGPA</v>
      </c>
    </row>
    <row r="367" spans="5:19" ht="21">
      <c r="E367" s="32" t="s">
        <v>321</v>
      </c>
      <c r="F367" s="31"/>
      <c r="G367" s="8" t="s">
        <v>39</v>
      </c>
      <c r="H367" s="8" t="s">
        <v>19</v>
      </c>
      <c r="I367" s="8" t="s">
        <v>9</v>
      </c>
      <c r="J367" s="8" t="s">
        <v>21</v>
      </c>
      <c r="K367" s="8" t="s">
        <v>11</v>
      </c>
      <c r="L367" s="8" t="s">
        <v>17</v>
      </c>
      <c r="M367" s="8" t="s">
        <v>27</v>
      </c>
      <c r="N367" s="8" t="s">
        <v>7</v>
      </c>
      <c r="O367" s="40" t="s">
        <v>29</v>
      </c>
      <c r="P367" s="31"/>
      <c r="Q367" s="8" t="s">
        <v>40</v>
      </c>
      <c r="S367" t="str">
        <f t="shared" si="5"/>
        <v>CGPA</v>
      </c>
    </row>
    <row r="368" spans="5:19" ht="22.5">
      <c r="E368" s="13" t="s">
        <v>41</v>
      </c>
      <c r="F368" s="13" t="s">
        <v>322</v>
      </c>
      <c r="G368" s="11" t="s">
        <v>43</v>
      </c>
      <c r="H368" s="12" t="s">
        <v>323</v>
      </c>
      <c r="I368" s="12" t="s">
        <v>172</v>
      </c>
      <c r="J368" s="12" t="s">
        <v>324</v>
      </c>
      <c r="K368" s="12" t="s">
        <v>214</v>
      </c>
      <c r="L368" s="12" t="s">
        <v>289</v>
      </c>
      <c r="M368" s="12" t="s">
        <v>325</v>
      </c>
      <c r="N368" s="12" t="s">
        <v>326</v>
      </c>
      <c r="O368" s="30" t="s">
        <v>51</v>
      </c>
      <c r="P368" s="31"/>
      <c r="Q368" s="11" t="s">
        <v>37</v>
      </c>
      <c r="S368" t="str">
        <f t="shared" si="5"/>
        <v>Result: PASS</v>
      </c>
    </row>
    <row r="369" spans="5:19">
      <c r="E369" s="32" t="s">
        <v>327</v>
      </c>
      <c r="F369" s="33"/>
      <c r="G369" s="11" t="s">
        <v>53</v>
      </c>
      <c r="H369" s="12" t="s">
        <v>51</v>
      </c>
      <c r="I369" s="12" t="s">
        <v>51</v>
      </c>
      <c r="J369" s="12" t="s">
        <v>51</v>
      </c>
      <c r="K369" s="12" t="s">
        <v>51</v>
      </c>
      <c r="L369" s="12" t="s">
        <v>51</v>
      </c>
      <c r="M369" s="12" t="s">
        <v>51</v>
      </c>
      <c r="N369" s="12" t="s">
        <v>51</v>
      </c>
      <c r="O369" s="30" t="s">
        <v>54</v>
      </c>
      <c r="P369" s="31"/>
      <c r="Q369" s="11" t="s">
        <v>37</v>
      </c>
      <c r="S369" t="str">
        <f t="shared" si="5"/>
        <v>Class</v>
      </c>
    </row>
    <row r="370" spans="5:19">
      <c r="E370" s="34"/>
      <c r="F370" s="35"/>
      <c r="G370" s="11" t="s">
        <v>55</v>
      </c>
      <c r="H370" s="12" t="s">
        <v>37</v>
      </c>
      <c r="I370" s="12" t="s">
        <v>37</v>
      </c>
      <c r="J370" s="12" t="s">
        <v>37</v>
      </c>
      <c r="K370" s="12" t="s">
        <v>37</v>
      </c>
      <c r="L370" s="12" t="s">
        <v>37</v>
      </c>
      <c r="M370" s="12" t="s">
        <v>37</v>
      </c>
      <c r="N370" s="12" t="s">
        <v>37</v>
      </c>
      <c r="O370" s="30" t="s">
        <v>37</v>
      </c>
      <c r="P370" s="31"/>
      <c r="Q370" s="11">
        <v>0</v>
      </c>
      <c r="S370" t="str">
        <f t="shared" si="5"/>
        <v>Term Grade: OA+</v>
      </c>
    </row>
    <row r="371" spans="5:19">
      <c r="E371" s="36"/>
      <c r="F371" s="37"/>
      <c r="G371" s="11" t="s">
        <v>56</v>
      </c>
      <c r="H371" s="12">
        <v>4</v>
      </c>
      <c r="I371" s="12">
        <v>4</v>
      </c>
      <c r="J371" s="12">
        <v>4</v>
      </c>
      <c r="K371" s="12">
        <v>3</v>
      </c>
      <c r="L371" s="12">
        <v>3</v>
      </c>
      <c r="M371" s="12">
        <v>3</v>
      </c>
      <c r="N371" s="12">
        <v>2</v>
      </c>
      <c r="O371" s="30">
        <v>2</v>
      </c>
      <c r="P371" s="31"/>
      <c r="Q371" s="11">
        <v>25</v>
      </c>
      <c r="S371" t="str">
        <f t="shared" si="5"/>
        <v>M.C.No</v>
      </c>
    </row>
    <row r="372" spans="5:19">
      <c r="E372" s="13" t="s">
        <v>57</v>
      </c>
      <c r="F372" s="13">
        <v>8.6</v>
      </c>
      <c r="G372" s="11" t="s">
        <v>58</v>
      </c>
      <c r="H372" s="12">
        <v>9</v>
      </c>
      <c r="I372" s="12">
        <v>8.5</v>
      </c>
      <c r="J372" s="12">
        <v>8</v>
      </c>
      <c r="K372" s="12">
        <v>7.5</v>
      </c>
      <c r="L372" s="12">
        <v>9</v>
      </c>
      <c r="M372" s="12">
        <v>8.5</v>
      </c>
      <c r="N372" s="12">
        <v>9.5</v>
      </c>
      <c r="O372" s="30">
        <v>9.5</v>
      </c>
      <c r="P372" s="31"/>
      <c r="Q372" s="11" t="s">
        <v>37</v>
      </c>
      <c r="S372" t="str">
        <f t="shared" si="5"/>
        <v/>
      </c>
    </row>
    <row r="373" spans="5:19">
      <c r="E373" s="13" t="s">
        <v>59</v>
      </c>
      <c r="F373" s="14">
        <v>8.6</v>
      </c>
      <c r="G373" s="11" t="s">
        <v>60</v>
      </c>
      <c r="H373" s="12">
        <v>36</v>
      </c>
      <c r="I373" s="12">
        <v>34</v>
      </c>
      <c r="J373" s="12">
        <v>32</v>
      </c>
      <c r="K373" s="12">
        <v>22.5</v>
      </c>
      <c r="L373" s="12">
        <v>27</v>
      </c>
      <c r="M373" s="12">
        <v>25.5</v>
      </c>
      <c r="N373" s="12">
        <v>19</v>
      </c>
      <c r="O373" s="30">
        <v>19</v>
      </c>
      <c r="P373" s="31"/>
      <c r="Q373" s="11">
        <v>215</v>
      </c>
      <c r="S373">
        <f t="shared" si="5"/>
        <v>0</v>
      </c>
    </row>
    <row r="374" spans="5:19">
      <c r="E374" s="32" t="s">
        <v>61</v>
      </c>
      <c r="F374" s="31"/>
      <c r="G374" s="11" t="s">
        <v>40</v>
      </c>
      <c r="H374" s="12">
        <v>85</v>
      </c>
      <c r="I374" s="12">
        <v>84</v>
      </c>
      <c r="J374" s="12">
        <v>79</v>
      </c>
      <c r="K374" s="12">
        <v>74</v>
      </c>
      <c r="L374" s="12">
        <v>89</v>
      </c>
      <c r="M374" s="12">
        <v>84</v>
      </c>
      <c r="N374" s="12">
        <v>47</v>
      </c>
      <c r="O374" s="30">
        <v>45</v>
      </c>
      <c r="P374" s="31"/>
      <c r="Q374" s="11">
        <v>587</v>
      </c>
      <c r="S374">
        <f t="shared" si="5"/>
        <v>0</v>
      </c>
    </row>
    <row r="375" spans="5:19">
      <c r="E375" s="13" t="s">
        <v>62</v>
      </c>
      <c r="F375" s="13"/>
      <c r="G375" s="11" t="s">
        <v>63</v>
      </c>
      <c r="H375" s="12">
        <v>100</v>
      </c>
      <c r="I375" s="12">
        <v>100</v>
      </c>
      <c r="J375" s="12">
        <v>100</v>
      </c>
      <c r="K375" s="12">
        <v>100</v>
      </c>
      <c r="L375" s="12">
        <v>100</v>
      </c>
      <c r="M375" s="12">
        <v>100</v>
      </c>
      <c r="N375" s="12">
        <v>50</v>
      </c>
      <c r="O375" s="30">
        <v>50</v>
      </c>
      <c r="P375" s="31"/>
      <c r="Q375" s="11">
        <v>700</v>
      </c>
      <c r="S375" t="str">
        <f t="shared" si="5"/>
        <v>Dr. B.B. Hegde First Grade College, Kundapura, Udupi.</v>
      </c>
    </row>
    <row r="376" spans="5:19">
      <c r="E376" s="32" t="s">
        <v>188</v>
      </c>
      <c r="F376" s="31"/>
      <c r="G376" s="11" t="s">
        <v>65</v>
      </c>
      <c r="H376" s="12" t="s">
        <v>67</v>
      </c>
      <c r="I376" s="12" t="s">
        <v>70</v>
      </c>
      <c r="J376" s="12" t="s">
        <v>102</v>
      </c>
      <c r="K376" s="12" t="s">
        <v>68</v>
      </c>
      <c r="L376" s="12" t="s">
        <v>67</v>
      </c>
      <c r="M376" s="12" t="s">
        <v>70</v>
      </c>
      <c r="N376" s="12" t="s">
        <v>71</v>
      </c>
      <c r="O376" s="30" t="s">
        <v>71</v>
      </c>
      <c r="P376" s="31"/>
      <c r="Q376" s="11" t="s">
        <v>37</v>
      </c>
      <c r="S376" t="str">
        <f t="shared" si="5"/>
        <v>00026</v>
      </c>
    </row>
    <row r="377" spans="5:19">
      <c r="E377" s="15" t="s">
        <v>72</v>
      </c>
      <c r="F377" s="15" t="s">
        <v>328</v>
      </c>
      <c r="G377" s="11" t="s">
        <v>74</v>
      </c>
      <c r="H377" s="12" t="s">
        <v>75</v>
      </c>
      <c r="I377" s="12" t="s">
        <v>75</v>
      </c>
      <c r="J377" s="12" t="s">
        <v>75</v>
      </c>
      <c r="K377" s="12" t="s">
        <v>75</v>
      </c>
      <c r="L377" s="12" t="s">
        <v>75</v>
      </c>
      <c r="M377" s="12" t="s">
        <v>75</v>
      </c>
      <c r="N377" s="12" t="s">
        <v>75</v>
      </c>
      <c r="O377" s="30" t="s">
        <v>75</v>
      </c>
      <c r="P377" s="31"/>
      <c r="Q377" s="11" t="s">
        <v>37</v>
      </c>
      <c r="S377" t="str">
        <f t="shared" si="5"/>
        <v>USN</v>
      </c>
    </row>
    <row r="378" spans="5:19">
      <c r="E378" s="16" t="s">
        <v>37</v>
      </c>
      <c r="F378" s="16" t="s">
        <v>37</v>
      </c>
      <c r="G378" s="16" t="s">
        <v>37</v>
      </c>
      <c r="H378" s="17" t="s">
        <v>37</v>
      </c>
      <c r="I378" s="17" t="s">
        <v>37</v>
      </c>
      <c r="J378" s="17" t="s">
        <v>37</v>
      </c>
      <c r="K378" s="17" t="s">
        <v>37</v>
      </c>
      <c r="L378" s="17" t="s">
        <v>37</v>
      </c>
      <c r="M378" s="17" t="s">
        <v>37</v>
      </c>
      <c r="N378" s="17" t="s">
        <v>37</v>
      </c>
      <c r="O378" s="41" t="s">
        <v>37</v>
      </c>
      <c r="P378" s="28"/>
      <c r="Q378" s="17" t="s">
        <v>37</v>
      </c>
      <c r="S378" t="str">
        <f t="shared" si="5"/>
        <v>SACHIN</v>
      </c>
    </row>
    <row r="379" spans="5:19" ht="0" hidden="1" customHeight="1">
      <c r="S379">
        <f t="shared" si="5"/>
        <v>0</v>
      </c>
    </row>
    <row r="380" spans="5:19" ht="0.6" customHeight="1">
      <c r="S380">
        <f t="shared" si="5"/>
        <v>0</v>
      </c>
    </row>
    <row r="381" spans="5:19">
      <c r="E381" s="38" t="s">
        <v>35</v>
      </c>
      <c r="F381" s="31"/>
      <c r="G381" s="4" t="s">
        <v>36</v>
      </c>
      <c r="H381" s="6" t="s">
        <v>37</v>
      </c>
      <c r="I381" s="6" t="s">
        <v>37</v>
      </c>
      <c r="J381" s="6" t="s">
        <v>37</v>
      </c>
      <c r="K381" s="6" t="s">
        <v>37</v>
      </c>
      <c r="L381" s="6" t="s">
        <v>37</v>
      </c>
      <c r="M381" s="6" t="s">
        <v>37</v>
      </c>
      <c r="N381" s="6" t="s">
        <v>37</v>
      </c>
      <c r="O381" s="39" t="s">
        <v>37</v>
      </c>
      <c r="P381" s="28"/>
      <c r="Q381" s="6" t="s">
        <v>37</v>
      </c>
      <c r="S381" t="str">
        <f t="shared" si="5"/>
        <v>SGPA</v>
      </c>
    </row>
    <row r="382" spans="5:19" ht="21">
      <c r="E382" s="32" t="s">
        <v>329</v>
      </c>
      <c r="F382" s="31"/>
      <c r="G382" s="8" t="s">
        <v>39</v>
      </c>
      <c r="H382" s="8" t="s">
        <v>19</v>
      </c>
      <c r="I382" s="8" t="s">
        <v>9</v>
      </c>
      <c r="J382" s="8" t="s">
        <v>21</v>
      </c>
      <c r="K382" s="8" t="s">
        <v>11</v>
      </c>
      <c r="L382" s="8" t="s">
        <v>17</v>
      </c>
      <c r="M382" s="8" t="s">
        <v>27</v>
      </c>
      <c r="N382" s="8" t="s">
        <v>7</v>
      </c>
      <c r="O382" s="40" t="s">
        <v>25</v>
      </c>
      <c r="P382" s="31"/>
      <c r="Q382" s="8" t="s">
        <v>40</v>
      </c>
      <c r="S382" t="str">
        <f t="shared" si="5"/>
        <v>CGPA</v>
      </c>
    </row>
    <row r="383" spans="5:19" ht="22.5">
      <c r="E383" s="13" t="s">
        <v>41</v>
      </c>
      <c r="F383" s="13" t="s">
        <v>330</v>
      </c>
      <c r="G383" s="11" t="s">
        <v>43</v>
      </c>
      <c r="H383" s="12" t="s">
        <v>331</v>
      </c>
      <c r="I383" s="12" t="s">
        <v>332</v>
      </c>
      <c r="J383" s="12" t="s">
        <v>333</v>
      </c>
      <c r="K383" s="12" t="s">
        <v>334</v>
      </c>
      <c r="L383" s="12" t="s">
        <v>335</v>
      </c>
      <c r="M383" s="12" t="s">
        <v>336</v>
      </c>
      <c r="N383" s="12" t="s">
        <v>337</v>
      </c>
      <c r="O383" s="30" t="s">
        <v>51</v>
      </c>
      <c r="P383" s="31"/>
      <c r="Q383" s="11" t="s">
        <v>37</v>
      </c>
      <c r="S383" t="str">
        <f t="shared" si="5"/>
        <v>Result: FAIL</v>
      </c>
    </row>
    <row r="384" spans="5:19">
      <c r="E384" s="32" t="s">
        <v>338</v>
      </c>
      <c r="F384" s="33"/>
      <c r="G384" s="11" t="s">
        <v>53</v>
      </c>
      <c r="H384" s="12" t="s">
        <v>51</v>
      </c>
      <c r="I384" s="12" t="s">
        <v>51</v>
      </c>
      <c r="J384" s="12" t="s">
        <v>51</v>
      </c>
      <c r="K384" s="12" t="s">
        <v>51</v>
      </c>
      <c r="L384" s="12" t="s">
        <v>51</v>
      </c>
      <c r="M384" s="12" t="s">
        <v>51</v>
      </c>
      <c r="N384" s="12" t="s">
        <v>51</v>
      </c>
      <c r="O384" s="30" t="s">
        <v>54</v>
      </c>
      <c r="P384" s="31"/>
      <c r="Q384" s="11" t="s">
        <v>37</v>
      </c>
      <c r="S384" t="str">
        <f t="shared" si="5"/>
        <v>Class</v>
      </c>
    </row>
    <row r="385" spans="5:19">
      <c r="E385" s="34"/>
      <c r="F385" s="35"/>
      <c r="G385" s="11" t="s">
        <v>55</v>
      </c>
      <c r="H385" s="12" t="s">
        <v>37</v>
      </c>
      <c r="I385" s="12" t="s">
        <v>37</v>
      </c>
      <c r="J385" s="12" t="s">
        <v>37</v>
      </c>
      <c r="K385" s="12" t="s">
        <v>37</v>
      </c>
      <c r="L385" s="12" t="s">
        <v>37</v>
      </c>
      <c r="M385" s="12" t="s">
        <v>37</v>
      </c>
      <c r="N385" s="12" t="s">
        <v>37</v>
      </c>
      <c r="O385" s="30" t="s">
        <v>37</v>
      </c>
      <c r="P385" s="31"/>
      <c r="Q385" s="11">
        <v>0</v>
      </c>
      <c r="S385" t="str">
        <f t="shared" si="5"/>
        <v>Term Grade: BB</v>
      </c>
    </row>
    <row r="386" spans="5:19">
      <c r="E386" s="36"/>
      <c r="F386" s="37"/>
      <c r="G386" s="11" t="s">
        <v>56</v>
      </c>
      <c r="H386" s="12">
        <v>4</v>
      </c>
      <c r="I386" s="12">
        <v>4</v>
      </c>
      <c r="J386" s="12">
        <v>4</v>
      </c>
      <c r="K386" s="12">
        <v>3</v>
      </c>
      <c r="L386" s="12">
        <v>3</v>
      </c>
      <c r="M386" s="12">
        <v>3</v>
      </c>
      <c r="N386" s="12">
        <v>2</v>
      </c>
      <c r="O386" s="30">
        <v>2</v>
      </c>
      <c r="P386" s="31"/>
      <c r="Q386" s="11">
        <v>21</v>
      </c>
      <c r="S386" t="str">
        <f t="shared" si="5"/>
        <v>M.C.No</v>
      </c>
    </row>
    <row r="387" spans="5:19">
      <c r="E387" s="13" t="s">
        <v>57</v>
      </c>
      <c r="F387" s="13">
        <v>5.14</v>
      </c>
      <c r="G387" s="11" t="s">
        <v>58</v>
      </c>
      <c r="H387" s="12">
        <v>5.5</v>
      </c>
      <c r="I387" s="12">
        <v>6</v>
      </c>
      <c r="J387" s="12"/>
      <c r="K387" s="12">
        <v>4.5</v>
      </c>
      <c r="L387" s="12">
        <v>7</v>
      </c>
      <c r="M387" s="12">
        <v>5</v>
      </c>
      <c r="N387" s="12">
        <v>7</v>
      </c>
      <c r="O387" s="30">
        <v>9.5</v>
      </c>
      <c r="P387" s="31"/>
      <c r="Q387" s="11" t="s">
        <v>37</v>
      </c>
      <c r="S387" t="str">
        <f t="shared" si="5"/>
        <v/>
      </c>
    </row>
    <row r="388" spans="5:19">
      <c r="E388" s="13" t="s">
        <v>59</v>
      </c>
      <c r="F388" s="13"/>
      <c r="G388" s="11" t="s">
        <v>60</v>
      </c>
      <c r="H388" s="12">
        <v>22</v>
      </c>
      <c r="I388" s="12">
        <v>24</v>
      </c>
      <c r="J388" s="12"/>
      <c r="K388" s="12">
        <v>13.5</v>
      </c>
      <c r="L388" s="12">
        <v>21</v>
      </c>
      <c r="M388" s="12">
        <v>15</v>
      </c>
      <c r="N388" s="12">
        <v>14</v>
      </c>
      <c r="O388" s="30">
        <v>19</v>
      </c>
      <c r="P388" s="31"/>
      <c r="Q388" s="11">
        <v>128.5</v>
      </c>
      <c r="S388">
        <f t="shared" si="5"/>
        <v>0</v>
      </c>
    </row>
    <row r="389" spans="5:19">
      <c r="E389" s="32" t="s">
        <v>260</v>
      </c>
      <c r="F389" s="31"/>
      <c r="G389" s="11" t="s">
        <v>40</v>
      </c>
      <c r="H389" s="12">
        <v>50</v>
      </c>
      <c r="I389" s="12">
        <v>59</v>
      </c>
      <c r="J389" s="12">
        <v>37</v>
      </c>
      <c r="K389" s="12">
        <v>40</v>
      </c>
      <c r="L389" s="12">
        <v>66</v>
      </c>
      <c r="M389" s="12">
        <v>45</v>
      </c>
      <c r="N389" s="12">
        <v>34</v>
      </c>
      <c r="O389" s="30">
        <v>45</v>
      </c>
      <c r="P389" s="31"/>
      <c r="Q389" s="11">
        <v>376</v>
      </c>
      <c r="S389">
        <f t="shared" si="5"/>
        <v>0</v>
      </c>
    </row>
    <row r="390" spans="5:19">
      <c r="E390" s="13" t="s">
        <v>62</v>
      </c>
      <c r="F390" s="13"/>
      <c r="G390" s="11" t="s">
        <v>63</v>
      </c>
      <c r="H390" s="12">
        <v>100</v>
      </c>
      <c r="I390" s="12">
        <v>100</v>
      </c>
      <c r="J390" s="12">
        <v>100</v>
      </c>
      <c r="K390" s="12">
        <v>100</v>
      </c>
      <c r="L390" s="12">
        <v>100</v>
      </c>
      <c r="M390" s="12">
        <v>100</v>
      </c>
      <c r="N390" s="12">
        <v>50</v>
      </c>
      <c r="O390" s="30">
        <v>50</v>
      </c>
      <c r="P390" s="31"/>
      <c r="Q390" s="11">
        <v>700</v>
      </c>
      <c r="S390" t="str">
        <f t="shared" si="5"/>
        <v>Dr. B.B. Hegde First Grade College, Kundapura, Udupi.</v>
      </c>
    </row>
    <row r="391" spans="5:19">
      <c r="E391" s="32" t="s">
        <v>339</v>
      </c>
      <c r="F391" s="31"/>
      <c r="G391" s="11" t="s">
        <v>65</v>
      </c>
      <c r="H391" s="12" t="s">
        <v>138</v>
      </c>
      <c r="I391" s="12" t="s">
        <v>103</v>
      </c>
      <c r="J391" s="12"/>
      <c r="K391" s="12" t="s">
        <v>303</v>
      </c>
      <c r="L391" s="12" t="s">
        <v>66</v>
      </c>
      <c r="M391" s="12" t="s">
        <v>127</v>
      </c>
      <c r="N391" s="12" t="s">
        <v>66</v>
      </c>
      <c r="O391" s="30" t="s">
        <v>71</v>
      </c>
      <c r="P391" s="31"/>
      <c r="Q391" s="11" t="s">
        <v>37</v>
      </c>
      <c r="S391" t="str">
        <f t="shared" si="5"/>
        <v>00027</v>
      </c>
    </row>
    <row r="392" spans="5:19">
      <c r="E392" s="15" t="s">
        <v>72</v>
      </c>
      <c r="F392" s="15" t="s">
        <v>340</v>
      </c>
      <c r="G392" s="11" t="s">
        <v>74</v>
      </c>
      <c r="H392" s="12" t="s">
        <v>75</v>
      </c>
      <c r="I392" s="12" t="s">
        <v>75</v>
      </c>
      <c r="J392" s="12" t="s">
        <v>263</v>
      </c>
      <c r="K392" s="12" t="s">
        <v>75</v>
      </c>
      <c r="L392" s="12" t="s">
        <v>75</v>
      </c>
      <c r="M392" s="12" t="s">
        <v>75</v>
      </c>
      <c r="N392" s="12" t="s">
        <v>75</v>
      </c>
      <c r="O392" s="30" t="s">
        <v>75</v>
      </c>
      <c r="P392" s="31"/>
      <c r="Q392" s="11" t="s">
        <v>37</v>
      </c>
      <c r="S392" t="str">
        <f t="shared" si="5"/>
        <v>USN</v>
      </c>
    </row>
    <row r="393" spans="5:19">
      <c r="E393" s="16" t="s">
        <v>37</v>
      </c>
      <c r="F393" s="16" t="s">
        <v>37</v>
      </c>
      <c r="G393" s="16" t="s">
        <v>37</v>
      </c>
      <c r="H393" s="17" t="s">
        <v>37</v>
      </c>
      <c r="I393" s="17" t="s">
        <v>37</v>
      </c>
      <c r="J393" s="17" t="s">
        <v>37</v>
      </c>
      <c r="K393" s="17" t="s">
        <v>37</v>
      </c>
      <c r="L393" s="17" t="s">
        <v>37</v>
      </c>
      <c r="M393" s="17" t="s">
        <v>37</v>
      </c>
      <c r="N393" s="17" t="s">
        <v>37</v>
      </c>
      <c r="O393" s="41" t="s">
        <v>37</v>
      </c>
      <c r="P393" s="28"/>
      <c r="Q393" s="17" t="s">
        <v>37</v>
      </c>
      <c r="S393" t="str">
        <f t="shared" si="5"/>
        <v>PAVAN</v>
      </c>
    </row>
    <row r="394" spans="5:19" ht="0" hidden="1" customHeight="1">
      <c r="S394">
        <f t="shared" si="5"/>
        <v>0</v>
      </c>
    </row>
    <row r="395" spans="5:19" ht="0.6" customHeight="1">
      <c r="S395">
        <f t="shared" si="5"/>
        <v>0</v>
      </c>
    </row>
    <row r="396" spans="5:19">
      <c r="E396" s="38" t="s">
        <v>35</v>
      </c>
      <c r="F396" s="31"/>
      <c r="G396" s="4" t="s">
        <v>36</v>
      </c>
      <c r="H396" s="6" t="s">
        <v>37</v>
      </c>
      <c r="I396" s="6" t="s">
        <v>37</v>
      </c>
      <c r="J396" s="6" t="s">
        <v>37</v>
      </c>
      <c r="K396" s="6" t="s">
        <v>37</v>
      </c>
      <c r="L396" s="6" t="s">
        <v>37</v>
      </c>
      <c r="M396" s="6" t="s">
        <v>37</v>
      </c>
      <c r="N396" s="6" t="s">
        <v>37</v>
      </c>
      <c r="O396" s="39" t="s">
        <v>37</v>
      </c>
      <c r="P396" s="28"/>
      <c r="Q396" s="6" t="s">
        <v>37</v>
      </c>
      <c r="S396" t="str">
        <f t="shared" ref="S396:S459" si="6">$E402</f>
        <v>SGPA</v>
      </c>
    </row>
    <row r="397" spans="5:19" ht="21">
      <c r="E397" s="32" t="s">
        <v>341</v>
      </c>
      <c r="F397" s="31"/>
      <c r="G397" s="8" t="s">
        <v>39</v>
      </c>
      <c r="H397" s="8" t="s">
        <v>19</v>
      </c>
      <c r="I397" s="8" t="s">
        <v>9</v>
      </c>
      <c r="J397" s="8" t="s">
        <v>21</v>
      </c>
      <c r="K397" s="8" t="s">
        <v>11</v>
      </c>
      <c r="L397" s="8" t="s">
        <v>17</v>
      </c>
      <c r="M397" s="8" t="s">
        <v>27</v>
      </c>
      <c r="N397" s="8" t="s">
        <v>7</v>
      </c>
      <c r="O397" s="40" t="s">
        <v>25</v>
      </c>
      <c r="P397" s="31"/>
      <c r="Q397" s="8" t="s">
        <v>40</v>
      </c>
      <c r="S397" t="str">
        <f t="shared" si="6"/>
        <v>CGPA</v>
      </c>
    </row>
    <row r="398" spans="5:19" ht="22.5">
      <c r="E398" s="13" t="s">
        <v>41</v>
      </c>
      <c r="F398" s="13" t="s">
        <v>342</v>
      </c>
      <c r="G398" s="11" t="s">
        <v>43</v>
      </c>
      <c r="H398" s="12" t="s">
        <v>343</v>
      </c>
      <c r="I398" s="12" t="s">
        <v>323</v>
      </c>
      <c r="J398" s="12" t="s">
        <v>344</v>
      </c>
      <c r="K398" s="12" t="s">
        <v>345</v>
      </c>
      <c r="L398" s="12" t="s">
        <v>335</v>
      </c>
      <c r="M398" s="12" t="s">
        <v>346</v>
      </c>
      <c r="N398" s="12" t="s">
        <v>347</v>
      </c>
      <c r="O398" s="30" t="s">
        <v>51</v>
      </c>
      <c r="P398" s="31"/>
      <c r="Q398" s="11" t="s">
        <v>37</v>
      </c>
      <c r="S398" t="str">
        <f t="shared" si="6"/>
        <v>Result: PASS</v>
      </c>
    </row>
    <row r="399" spans="5:19">
      <c r="E399" s="32" t="s">
        <v>348</v>
      </c>
      <c r="F399" s="33"/>
      <c r="G399" s="11" t="s">
        <v>53</v>
      </c>
      <c r="H399" s="12" t="s">
        <v>51</v>
      </c>
      <c r="I399" s="12" t="s">
        <v>51</v>
      </c>
      <c r="J399" s="12" t="s">
        <v>51</v>
      </c>
      <c r="K399" s="12" t="s">
        <v>51</v>
      </c>
      <c r="L399" s="12" t="s">
        <v>51</v>
      </c>
      <c r="M399" s="12" t="s">
        <v>51</v>
      </c>
      <c r="N399" s="12" t="s">
        <v>51</v>
      </c>
      <c r="O399" s="30" t="s">
        <v>54</v>
      </c>
      <c r="P399" s="31"/>
      <c r="Q399" s="11" t="s">
        <v>37</v>
      </c>
      <c r="S399" t="str">
        <f t="shared" si="6"/>
        <v>Class</v>
      </c>
    </row>
    <row r="400" spans="5:19">
      <c r="E400" s="34"/>
      <c r="F400" s="35"/>
      <c r="G400" s="11" t="s">
        <v>55</v>
      </c>
      <c r="H400" s="12" t="s">
        <v>37</v>
      </c>
      <c r="I400" s="12" t="s">
        <v>37</v>
      </c>
      <c r="J400" s="12" t="s">
        <v>37</v>
      </c>
      <c r="K400" s="12" t="s">
        <v>37</v>
      </c>
      <c r="L400" s="12" t="s">
        <v>37</v>
      </c>
      <c r="M400" s="12" t="s">
        <v>37</v>
      </c>
      <c r="N400" s="12" t="s">
        <v>37</v>
      </c>
      <c r="O400" s="30" t="s">
        <v>37</v>
      </c>
      <c r="P400" s="31"/>
      <c r="Q400" s="11">
        <v>0</v>
      </c>
      <c r="S400" t="str">
        <f t="shared" si="6"/>
        <v>Term Grade: AA+</v>
      </c>
    </row>
    <row r="401" spans="5:19">
      <c r="E401" s="36"/>
      <c r="F401" s="37"/>
      <c r="G401" s="11" t="s">
        <v>56</v>
      </c>
      <c r="H401" s="12">
        <v>4</v>
      </c>
      <c r="I401" s="12">
        <v>4</v>
      </c>
      <c r="J401" s="12">
        <v>4</v>
      </c>
      <c r="K401" s="12">
        <v>3</v>
      </c>
      <c r="L401" s="12">
        <v>3</v>
      </c>
      <c r="M401" s="12">
        <v>3</v>
      </c>
      <c r="N401" s="12">
        <v>2</v>
      </c>
      <c r="O401" s="30">
        <v>2</v>
      </c>
      <c r="P401" s="31"/>
      <c r="Q401" s="11">
        <v>25</v>
      </c>
      <c r="S401" t="str">
        <f t="shared" si="6"/>
        <v>M.C.No</v>
      </c>
    </row>
    <row r="402" spans="5:19">
      <c r="E402" s="13" t="s">
        <v>57</v>
      </c>
      <c r="F402" s="13">
        <v>7.68</v>
      </c>
      <c r="G402" s="11" t="s">
        <v>58</v>
      </c>
      <c r="H402" s="12">
        <v>7.5</v>
      </c>
      <c r="I402" s="12">
        <v>9</v>
      </c>
      <c r="J402" s="12">
        <v>7</v>
      </c>
      <c r="K402" s="12">
        <v>6.5</v>
      </c>
      <c r="L402" s="12">
        <v>7</v>
      </c>
      <c r="M402" s="12">
        <v>7.5</v>
      </c>
      <c r="N402" s="12">
        <v>8</v>
      </c>
      <c r="O402" s="30">
        <v>9.5</v>
      </c>
      <c r="P402" s="31"/>
      <c r="Q402" s="11" t="s">
        <v>37</v>
      </c>
      <c r="S402" t="str">
        <f t="shared" si="6"/>
        <v/>
      </c>
    </row>
    <row r="403" spans="5:19">
      <c r="E403" s="13" t="s">
        <v>59</v>
      </c>
      <c r="F403" s="14">
        <v>7.68</v>
      </c>
      <c r="G403" s="11" t="s">
        <v>60</v>
      </c>
      <c r="H403" s="12">
        <v>30</v>
      </c>
      <c r="I403" s="12">
        <v>36</v>
      </c>
      <c r="J403" s="12">
        <v>28</v>
      </c>
      <c r="K403" s="12">
        <v>19.5</v>
      </c>
      <c r="L403" s="12">
        <v>21</v>
      </c>
      <c r="M403" s="12">
        <v>22.5</v>
      </c>
      <c r="N403" s="12">
        <v>16</v>
      </c>
      <c r="O403" s="30">
        <v>19</v>
      </c>
      <c r="P403" s="31"/>
      <c r="Q403" s="11">
        <v>192</v>
      </c>
      <c r="S403">
        <f t="shared" si="6"/>
        <v>0</v>
      </c>
    </row>
    <row r="404" spans="5:19">
      <c r="E404" s="32" t="s">
        <v>61</v>
      </c>
      <c r="F404" s="31"/>
      <c r="G404" s="11" t="s">
        <v>40</v>
      </c>
      <c r="H404" s="12">
        <v>71</v>
      </c>
      <c r="I404" s="12">
        <v>85</v>
      </c>
      <c r="J404" s="12">
        <v>67</v>
      </c>
      <c r="K404" s="12">
        <v>60</v>
      </c>
      <c r="L404" s="12">
        <v>66</v>
      </c>
      <c r="M404" s="12">
        <v>70</v>
      </c>
      <c r="N404" s="12">
        <v>39</v>
      </c>
      <c r="O404" s="30">
        <v>45</v>
      </c>
      <c r="P404" s="31"/>
      <c r="Q404" s="11">
        <v>503</v>
      </c>
      <c r="S404">
        <f t="shared" si="6"/>
        <v>0</v>
      </c>
    </row>
    <row r="405" spans="5:19">
      <c r="E405" s="13" t="s">
        <v>62</v>
      </c>
      <c r="F405" s="13"/>
      <c r="G405" s="11" t="s">
        <v>63</v>
      </c>
      <c r="H405" s="12">
        <v>100</v>
      </c>
      <c r="I405" s="12">
        <v>100</v>
      </c>
      <c r="J405" s="12">
        <v>100</v>
      </c>
      <c r="K405" s="12">
        <v>100</v>
      </c>
      <c r="L405" s="12">
        <v>100</v>
      </c>
      <c r="M405" s="12">
        <v>100</v>
      </c>
      <c r="N405" s="12">
        <v>50</v>
      </c>
      <c r="O405" s="30">
        <v>50</v>
      </c>
      <c r="P405" s="31"/>
      <c r="Q405" s="11">
        <v>700</v>
      </c>
      <c r="S405" t="str">
        <f t="shared" si="6"/>
        <v>Dr. B.B. Hegde First Grade College, Kundapura, Udupi.</v>
      </c>
    </row>
    <row r="406" spans="5:19">
      <c r="E406" s="32" t="s">
        <v>64</v>
      </c>
      <c r="F406" s="31"/>
      <c r="G406" s="11" t="s">
        <v>65</v>
      </c>
      <c r="H406" s="12" t="s">
        <v>68</v>
      </c>
      <c r="I406" s="12" t="s">
        <v>67</v>
      </c>
      <c r="J406" s="12" t="s">
        <v>66</v>
      </c>
      <c r="K406" s="12" t="s">
        <v>69</v>
      </c>
      <c r="L406" s="12" t="s">
        <v>66</v>
      </c>
      <c r="M406" s="12" t="s">
        <v>68</v>
      </c>
      <c r="N406" s="12" t="s">
        <v>102</v>
      </c>
      <c r="O406" s="30" t="s">
        <v>71</v>
      </c>
      <c r="P406" s="31"/>
      <c r="Q406" s="11" t="s">
        <v>37</v>
      </c>
      <c r="S406" t="str">
        <f t="shared" si="6"/>
        <v>00028</v>
      </c>
    </row>
    <row r="407" spans="5:19">
      <c r="E407" s="15" t="s">
        <v>72</v>
      </c>
      <c r="F407" s="15" t="s">
        <v>349</v>
      </c>
      <c r="G407" s="11" t="s">
        <v>74</v>
      </c>
      <c r="H407" s="12" t="s">
        <v>75</v>
      </c>
      <c r="I407" s="12" t="s">
        <v>75</v>
      </c>
      <c r="J407" s="12" t="s">
        <v>75</v>
      </c>
      <c r="K407" s="12" t="s">
        <v>75</v>
      </c>
      <c r="L407" s="12" t="s">
        <v>75</v>
      </c>
      <c r="M407" s="12" t="s">
        <v>75</v>
      </c>
      <c r="N407" s="12" t="s">
        <v>75</v>
      </c>
      <c r="O407" s="30" t="s">
        <v>75</v>
      </c>
      <c r="P407" s="31"/>
      <c r="Q407" s="11" t="s">
        <v>37</v>
      </c>
      <c r="S407" t="str">
        <f t="shared" si="6"/>
        <v>USN</v>
      </c>
    </row>
    <row r="408" spans="5:19">
      <c r="E408" s="16" t="s">
        <v>37</v>
      </c>
      <c r="F408" s="16" t="s">
        <v>37</v>
      </c>
      <c r="G408" s="16" t="s">
        <v>37</v>
      </c>
      <c r="H408" s="17" t="s">
        <v>37</v>
      </c>
      <c r="I408" s="17" t="s">
        <v>37</v>
      </c>
      <c r="J408" s="17" t="s">
        <v>37</v>
      </c>
      <c r="K408" s="17" t="s">
        <v>37</v>
      </c>
      <c r="L408" s="17" t="s">
        <v>37</v>
      </c>
      <c r="M408" s="17" t="s">
        <v>37</v>
      </c>
      <c r="N408" s="17" t="s">
        <v>37</v>
      </c>
      <c r="O408" s="41" t="s">
        <v>37</v>
      </c>
      <c r="P408" s="28"/>
      <c r="Q408" s="17" t="s">
        <v>37</v>
      </c>
      <c r="S408" t="str">
        <f t="shared" si="6"/>
        <v>KEERTHAN</v>
      </c>
    </row>
    <row r="409" spans="5:19" ht="0" hidden="1" customHeight="1">
      <c r="S409">
        <f t="shared" si="6"/>
        <v>0</v>
      </c>
    </row>
    <row r="410" spans="5:19" ht="0.6" customHeight="1">
      <c r="S410">
        <f t="shared" si="6"/>
        <v>0</v>
      </c>
    </row>
    <row r="411" spans="5:19">
      <c r="E411" s="38" t="s">
        <v>35</v>
      </c>
      <c r="F411" s="31"/>
      <c r="G411" s="4" t="s">
        <v>36</v>
      </c>
      <c r="H411" s="6" t="s">
        <v>37</v>
      </c>
      <c r="I411" s="6" t="s">
        <v>37</v>
      </c>
      <c r="J411" s="6" t="s">
        <v>37</v>
      </c>
      <c r="K411" s="6" t="s">
        <v>37</v>
      </c>
      <c r="L411" s="6" t="s">
        <v>37</v>
      </c>
      <c r="M411" s="6" t="s">
        <v>37</v>
      </c>
      <c r="N411" s="6" t="s">
        <v>37</v>
      </c>
      <c r="O411" s="39" t="s">
        <v>37</v>
      </c>
      <c r="P411" s="28"/>
      <c r="Q411" s="6" t="s">
        <v>37</v>
      </c>
      <c r="S411" t="str">
        <f t="shared" si="6"/>
        <v>SGPA</v>
      </c>
    </row>
    <row r="412" spans="5:19" ht="21">
      <c r="E412" s="32" t="s">
        <v>350</v>
      </c>
      <c r="F412" s="31"/>
      <c r="G412" s="8" t="s">
        <v>39</v>
      </c>
      <c r="H412" s="8" t="s">
        <v>19</v>
      </c>
      <c r="I412" s="8" t="s">
        <v>9</v>
      </c>
      <c r="J412" s="8" t="s">
        <v>21</v>
      </c>
      <c r="K412" s="8" t="s">
        <v>11</v>
      </c>
      <c r="L412" s="8" t="s">
        <v>17</v>
      </c>
      <c r="M412" s="8" t="s">
        <v>27</v>
      </c>
      <c r="N412" s="8" t="s">
        <v>7</v>
      </c>
      <c r="O412" s="40" t="s">
        <v>25</v>
      </c>
      <c r="P412" s="31"/>
      <c r="Q412" s="8" t="s">
        <v>40</v>
      </c>
      <c r="S412" t="str">
        <f t="shared" si="6"/>
        <v>CGPA</v>
      </c>
    </row>
    <row r="413" spans="5:19" ht="22.5">
      <c r="E413" s="13" t="s">
        <v>41</v>
      </c>
      <c r="F413" s="13" t="s">
        <v>351</v>
      </c>
      <c r="G413" s="11" t="s">
        <v>43</v>
      </c>
      <c r="H413" s="12" t="s">
        <v>243</v>
      </c>
      <c r="I413" s="12" t="s">
        <v>352</v>
      </c>
      <c r="J413" s="12" t="s">
        <v>184</v>
      </c>
      <c r="K413" s="12" t="s">
        <v>353</v>
      </c>
      <c r="L413" s="12" t="s">
        <v>354</v>
      </c>
      <c r="M413" s="12" t="s">
        <v>94</v>
      </c>
      <c r="N413" s="12" t="s">
        <v>176</v>
      </c>
      <c r="O413" s="30" t="s">
        <v>51</v>
      </c>
      <c r="P413" s="31"/>
      <c r="Q413" s="11" t="s">
        <v>37</v>
      </c>
      <c r="S413" t="str">
        <f t="shared" si="6"/>
        <v>Result: PASS</v>
      </c>
    </row>
    <row r="414" spans="5:19">
      <c r="E414" s="32" t="s">
        <v>355</v>
      </c>
      <c r="F414" s="33"/>
      <c r="G414" s="11" t="s">
        <v>53</v>
      </c>
      <c r="H414" s="12" t="s">
        <v>51</v>
      </c>
      <c r="I414" s="12" t="s">
        <v>51</v>
      </c>
      <c r="J414" s="12" t="s">
        <v>51</v>
      </c>
      <c r="K414" s="12" t="s">
        <v>51</v>
      </c>
      <c r="L414" s="12" t="s">
        <v>51</v>
      </c>
      <c r="M414" s="12" t="s">
        <v>51</v>
      </c>
      <c r="N414" s="12" t="s">
        <v>51</v>
      </c>
      <c r="O414" s="30" t="s">
        <v>54</v>
      </c>
      <c r="P414" s="31"/>
      <c r="Q414" s="11" t="s">
        <v>37</v>
      </c>
      <c r="S414" t="str">
        <f t="shared" si="6"/>
        <v>Class</v>
      </c>
    </row>
    <row r="415" spans="5:19">
      <c r="E415" s="34"/>
      <c r="F415" s="35"/>
      <c r="G415" s="11" t="s">
        <v>55</v>
      </c>
      <c r="H415" s="12" t="s">
        <v>37</v>
      </c>
      <c r="I415" s="12" t="s">
        <v>37</v>
      </c>
      <c r="J415" s="12" t="s">
        <v>37</v>
      </c>
      <c r="K415" s="12" t="s">
        <v>37</v>
      </c>
      <c r="L415" s="12" t="s">
        <v>37</v>
      </c>
      <c r="M415" s="12" t="s">
        <v>37</v>
      </c>
      <c r="N415" s="12" t="s">
        <v>37</v>
      </c>
      <c r="O415" s="30" t="s">
        <v>37</v>
      </c>
      <c r="P415" s="31"/>
      <c r="Q415" s="11">
        <v>0</v>
      </c>
      <c r="S415" t="str">
        <f t="shared" si="6"/>
        <v>Term Grade: OA</v>
      </c>
    </row>
    <row r="416" spans="5:19">
      <c r="E416" s="36"/>
      <c r="F416" s="37"/>
      <c r="G416" s="11" t="s">
        <v>56</v>
      </c>
      <c r="H416" s="12">
        <v>4</v>
      </c>
      <c r="I416" s="12">
        <v>4</v>
      </c>
      <c r="J416" s="12">
        <v>4</v>
      </c>
      <c r="K416" s="12">
        <v>3</v>
      </c>
      <c r="L416" s="12">
        <v>3</v>
      </c>
      <c r="M416" s="12">
        <v>3</v>
      </c>
      <c r="N416" s="12">
        <v>2</v>
      </c>
      <c r="O416" s="30">
        <v>2</v>
      </c>
      <c r="P416" s="31"/>
      <c r="Q416" s="11">
        <v>25</v>
      </c>
      <c r="S416" t="str">
        <f t="shared" si="6"/>
        <v>M.C.No</v>
      </c>
    </row>
    <row r="417" spans="5:19">
      <c r="E417" s="13" t="s">
        <v>57</v>
      </c>
      <c r="F417" s="13">
        <v>8.1199999999999992</v>
      </c>
      <c r="G417" s="11" t="s">
        <v>58</v>
      </c>
      <c r="H417" s="12">
        <v>8</v>
      </c>
      <c r="I417" s="12">
        <v>8.5</v>
      </c>
      <c r="J417" s="12">
        <v>8</v>
      </c>
      <c r="K417" s="12">
        <v>6</v>
      </c>
      <c r="L417" s="12">
        <v>9</v>
      </c>
      <c r="M417" s="12">
        <v>7</v>
      </c>
      <c r="N417" s="12">
        <v>10</v>
      </c>
      <c r="O417" s="30">
        <v>9.5</v>
      </c>
      <c r="P417" s="31"/>
      <c r="Q417" s="11" t="s">
        <v>37</v>
      </c>
      <c r="S417" t="str">
        <f t="shared" si="6"/>
        <v/>
      </c>
    </row>
    <row r="418" spans="5:19">
      <c r="E418" s="13" t="s">
        <v>59</v>
      </c>
      <c r="F418" s="14">
        <v>8.1199999999999992</v>
      </c>
      <c r="G418" s="11" t="s">
        <v>60</v>
      </c>
      <c r="H418" s="12">
        <v>32</v>
      </c>
      <c r="I418" s="12">
        <v>34</v>
      </c>
      <c r="J418" s="12">
        <v>32</v>
      </c>
      <c r="K418" s="12">
        <v>18</v>
      </c>
      <c r="L418" s="12">
        <v>27</v>
      </c>
      <c r="M418" s="12">
        <v>21</v>
      </c>
      <c r="N418" s="12">
        <v>20</v>
      </c>
      <c r="O418" s="30">
        <v>19</v>
      </c>
      <c r="P418" s="31"/>
      <c r="Q418" s="11">
        <v>203</v>
      </c>
      <c r="S418">
        <f t="shared" si="6"/>
        <v>0</v>
      </c>
    </row>
    <row r="419" spans="5:19">
      <c r="E419" s="32" t="s">
        <v>61</v>
      </c>
      <c r="F419" s="31"/>
      <c r="G419" s="11" t="s">
        <v>40</v>
      </c>
      <c r="H419" s="12">
        <v>79</v>
      </c>
      <c r="I419" s="12">
        <v>84</v>
      </c>
      <c r="J419" s="12">
        <v>77</v>
      </c>
      <c r="K419" s="12">
        <v>59</v>
      </c>
      <c r="L419" s="12">
        <v>85</v>
      </c>
      <c r="M419" s="12">
        <v>66</v>
      </c>
      <c r="N419" s="12">
        <v>48</v>
      </c>
      <c r="O419" s="30">
        <v>45</v>
      </c>
      <c r="P419" s="31"/>
      <c r="Q419" s="11">
        <v>543</v>
      </c>
      <c r="S419">
        <f t="shared" si="6"/>
        <v>0</v>
      </c>
    </row>
    <row r="420" spans="5:19">
      <c r="E420" s="13" t="s">
        <v>62</v>
      </c>
      <c r="F420" s="13"/>
      <c r="G420" s="11" t="s">
        <v>63</v>
      </c>
      <c r="H420" s="12">
        <v>100</v>
      </c>
      <c r="I420" s="12">
        <v>100</v>
      </c>
      <c r="J420" s="12">
        <v>100</v>
      </c>
      <c r="K420" s="12">
        <v>100</v>
      </c>
      <c r="L420" s="12">
        <v>100</v>
      </c>
      <c r="M420" s="12">
        <v>100</v>
      </c>
      <c r="N420" s="12">
        <v>50</v>
      </c>
      <c r="O420" s="30">
        <v>50</v>
      </c>
      <c r="P420" s="31"/>
      <c r="Q420" s="11">
        <v>700</v>
      </c>
      <c r="S420" t="str">
        <f t="shared" si="6"/>
        <v>Dr. B.B. Hegde First Grade College, Kundapura, Udupi.</v>
      </c>
    </row>
    <row r="421" spans="5:19">
      <c r="E421" s="32" t="s">
        <v>200</v>
      </c>
      <c r="F421" s="31"/>
      <c r="G421" s="11" t="s">
        <v>65</v>
      </c>
      <c r="H421" s="12" t="s">
        <v>102</v>
      </c>
      <c r="I421" s="12" t="s">
        <v>70</v>
      </c>
      <c r="J421" s="12" t="s">
        <v>102</v>
      </c>
      <c r="K421" s="12" t="s">
        <v>103</v>
      </c>
      <c r="L421" s="12" t="s">
        <v>67</v>
      </c>
      <c r="M421" s="12" t="s">
        <v>66</v>
      </c>
      <c r="N421" s="12" t="s">
        <v>88</v>
      </c>
      <c r="O421" s="30" t="s">
        <v>71</v>
      </c>
      <c r="P421" s="31"/>
      <c r="Q421" s="11" t="s">
        <v>37</v>
      </c>
      <c r="S421" t="str">
        <f t="shared" si="6"/>
        <v>00029</v>
      </c>
    </row>
    <row r="422" spans="5:19">
      <c r="E422" s="15" t="s">
        <v>72</v>
      </c>
      <c r="F422" s="15" t="s">
        <v>356</v>
      </c>
      <c r="G422" s="11" t="s">
        <v>74</v>
      </c>
      <c r="H422" s="12" t="s">
        <v>75</v>
      </c>
      <c r="I422" s="12" t="s">
        <v>75</v>
      </c>
      <c r="J422" s="12" t="s">
        <v>75</v>
      </c>
      <c r="K422" s="12" t="s">
        <v>75</v>
      </c>
      <c r="L422" s="12" t="s">
        <v>75</v>
      </c>
      <c r="M422" s="12" t="s">
        <v>75</v>
      </c>
      <c r="N422" s="12" t="s">
        <v>75</v>
      </c>
      <c r="O422" s="30" t="s">
        <v>75</v>
      </c>
      <c r="P422" s="31"/>
      <c r="Q422" s="11" t="s">
        <v>37</v>
      </c>
      <c r="S422" t="str">
        <f t="shared" si="6"/>
        <v>USN</v>
      </c>
    </row>
    <row r="423" spans="5:19">
      <c r="E423" s="16" t="s">
        <v>37</v>
      </c>
      <c r="F423" s="16" t="s">
        <v>37</v>
      </c>
      <c r="G423" s="16" t="s">
        <v>37</v>
      </c>
      <c r="H423" s="17" t="s">
        <v>37</v>
      </c>
      <c r="I423" s="17" t="s">
        <v>37</v>
      </c>
      <c r="J423" s="17" t="s">
        <v>37</v>
      </c>
      <c r="K423" s="17" t="s">
        <v>37</v>
      </c>
      <c r="L423" s="17" t="s">
        <v>37</v>
      </c>
      <c r="M423" s="17" t="s">
        <v>37</v>
      </c>
      <c r="N423" s="17" t="s">
        <v>37</v>
      </c>
      <c r="O423" s="41" t="s">
        <v>37</v>
      </c>
      <c r="P423" s="28"/>
      <c r="Q423" s="17" t="s">
        <v>37</v>
      </c>
      <c r="S423" t="str">
        <f t="shared" si="6"/>
        <v>MITHUN</v>
      </c>
    </row>
    <row r="424" spans="5:19" ht="0" hidden="1" customHeight="1">
      <c r="S424">
        <f t="shared" si="6"/>
        <v>0</v>
      </c>
    </row>
    <row r="425" spans="5:19" ht="0.6" customHeight="1">
      <c r="S425">
        <f t="shared" si="6"/>
        <v>0</v>
      </c>
    </row>
    <row r="426" spans="5:19">
      <c r="E426" s="38" t="s">
        <v>35</v>
      </c>
      <c r="F426" s="31"/>
      <c r="G426" s="4" t="s">
        <v>36</v>
      </c>
      <c r="H426" s="6" t="s">
        <v>37</v>
      </c>
      <c r="I426" s="6" t="s">
        <v>37</v>
      </c>
      <c r="J426" s="6" t="s">
        <v>37</v>
      </c>
      <c r="K426" s="6" t="s">
        <v>37</v>
      </c>
      <c r="L426" s="6" t="s">
        <v>37</v>
      </c>
      <c r="M426" s="6" t="s">
        <v>37</v>
      </c>
      <c r="N426" s="6" t="s">
        <v>37</v>
      </c>
      <c r="O426" s="39" t="s">
        <v>37</v>
      </c>
      <c r="P426" s="28"/>
      <c r="Q426" s="6" t="s">
        <v>37</v>
      </c>
      <c r="S426" t="str">
        <f t="shared" si="6"/>
        <v>SGPA</v>
      </c>
    </row>
    <row r="427" spans="5:19" ht="21">
      <c r="E427" s="32" t="s">
        <v>357</v>
      </c>
      <c r="F427" s="31"/>
      <c r="G427" s="8" t="s">
        <v>39</v>
      </c>
      <c r="H427" s="8" t="s">
        <v>19</v>
      </c>
      <c r="I427" s="8" t="s">
        <v>9</v>
      </c>
      <c r="J427" s="8" t="s">
        <v>21</v>
      </c>
      <c r="K427" s="8" t="s">
        <v>11</v>
      </c>
      <c r="L427" s="8" t="s">
        <v>17</v>
      </c>
      <c r="M427" s="8" t="s">
        <v>27</v>
      </c>
      <c r="N427" s="8" t="s">
        <v>7</v>
      </c>
      <c r="O427" s="40" t="s">
        <v>25</v>
      </c>
      <c r="P427" s="31"/>
      <c r="Q427" s="8" t="s">
        <v>40</v>
      </c>
      <c r="S427" t="str">
        <f t="shared" si="6"/>
        <v>CGPA</v>
      </c>
    </row>
    <row r="428" spans="5:19" ht="22.5">
      <c r="E428" s="13" t="s">
        <v>41</v>
      </c>
      <c r="F428" s="13" t="s">
        <v>358</v>
      </c>
      <c r="G428" s="11" t="s">
        <v>43</v>
      </c>
      <c r="H428" s="12" t="s">
        <v>235</v>
      </c>
      <c r="I428" s="12" t="s">
        <v>359</v>
      </c>
      <c r="J428" s="12" t="s">
        <v>360</v>
      </c>
      <c r="K428" s="12" t="s">
        <v>361</v>
      </c>
      <c r="L428" s="12" t="s">
        <v>362</v>
      </c>
      <c r="M428" s="12" t="s">
        <v>336</v>
      </c>
      <c r="N428" s="12" t="s">
        <v>363</v>
      </c>
      <c r="O428" s="30" t="s">
        <v>51</v>
      </c>
      <c r="P428" s="31"/>
      <c r="Q428" s="11" t="s">
        <v>37</v>
      </c>
      <c r="S428" t="str">
        <f t="shared" si="6"/>
        <v>Result: FAIL</v>
      </c>
    </row>
    <row r="429" spans="5:19">
      <c r="E429" s="32" t="s">
        <v>364</v>
      </c>
      <c r="F429" s="33"/>
      <c r="G429" s="11" t="s">
        <v>53</v>
      </c>
      <c r="H429" s="12" t="s">
        <v>51</v>
      </c>
      <c r="I429" s="12" t="s">
        <v>51</v>
      </c>
      <c r="J429" s="12" t="s">
        <v>51</v>
      </c>
      <c r="K429" s="12" t="s">
        <v>51</v>
      </c>
      <c r="L429" s="12" t="s">
        <v>51</v>
      </c>
      <c r="M429" s="12" t="s">
        <v>51</v>
      </c>
      <c r="N429" s="12" t="s">
        <v>51</v>
      </c>
      <c r="O429" s="30" t="s">
        <v>54</v>
      </c>
      <c r="P429" s="31"/>
      <c r="Q429" s="11" t="s">
        <v>37</v>
      </c>
      <c r="S429" t="str">
        <f t="shared" si="6"/>
        <v>Class</v>
      </c>
    </row>
    <row r="430" spans="5:19">
      <c r="E430" s="34"/>
      <c r="F430" s="35"/>
      <c r="G430" s="11" t="s">
        <v>55</v>
      </c>
      <c r="H430" s="12" t="s">
        <v>37</v>
      </c>
      <c r="I430" s="12" t="s">
        <v>37</v>
      </c>
      <c r="J430" s="12" t="s">
        <v>37</v>
      </c>
      <c r="K430" s="12">
        <v>2</v>
      </c>
      <c r="L430" s="12" t="s">
        <v>37</v>
      </c>
      <c r="M430" s="12" t="s">
        <v>37</v>
      </c>
      <c r="N430" s="12" t="s">
        <v>37</v>
      </c>
      <c r="O430" s="30" t="s">
        <v>37</v>
      </c>
      <c r="P430" s="31"/>
      <c r="Q430" s="11">
        <v>2</v>
      </c>
      <c r="S430" t="str">
        <f t="shared" si="6"/>
        <v>Term Grade: BB</v>
      </c>
    </row>
    <row r="431" spans="5:19">
      <c r="E431" s="36"/>
      <c r="F431" s="37"/>
      <c r="G431" s="11" t="s">
        <v>56</v>
      </c>
      <c r="H431" s="12">
        <v>4</v>
      </c>
      <c r="I431" s="12">
        <v>4</v>
      </c>
      <c r="J431" s="12">
        <v>4</v>
      </c>
      <c r="K431" s="12">
        <v>3</v>
      </c>
      <c r="L431" s="12">
        <v>3</v>
      </c>
      <c r="M431" s="12">
        <v>3</v>
      </c>
      <c r="N431" s="12">
        <v>2</v>
      </c>
      <c r="O431" s="30">
        <v>2</v>
      </c>
      <c r="P431" s="31"/>
      <c r="Q431" s="11">
        <v>21</v>
      </c>
      <c r="S431" t="str">
        <f t="shared" si="6"/>
        <v>M.C.No</v>
      </c>
    </row>
    <row r="432" spans="5:19">
      <c r="E432" s="13" t="s">
        <v>57</v>
      </c>
      <c r="F432" s="13">
        <v>5.24</v>
      </c>
      <c r="G432" s="11" t="s">
        <v>58</v>
      </c>
      <c r="H432" s="12">
        <v>6</v>
      </c>
      <c r="I432" s="12">
        <v>6</v>
      </c>
      <c r="J432" s="12"/>
      <c r="K432" s="12">
        <v>4.5</v>
      </c>
      <c r="L432" s="12">
        <v>6.5</v>
      </c>
      <c r="M432" s="12">
        <v>5</v>
      </c>
      <c r="N432" s="12">
        <v>8</v>
      </c>
      <c r="O432" s="30">
        <v>9.5</v>
      </c>
      <c r="P432" s="31"/>
      <c r="Q432" s="11" t="s">
        <v>37</v>
      </c>
      <c r="S432" t="str">
        <f t="shared" si="6"/>
        <v/>
      </c>
    </row>
    <row r="433" spans="5:19">
      <c r="E433" s="13" t="s">
        <v>59</v>
      </c>
      <c r="F433" s="13"/>
      <c r="G433" s="11" t="s">
        <v>60</v>
      </c>
      <c r="H433" s="12">
        <v>24</v>
      </c>
      <c r="I433" s="12">
        <v>24</v>
      </c>
      <c r="J433" s="12"/>
      <c r="K433" s="12">
        <v>13.5</v>
      </c>
      <c r="L433" s="12">
        <v>19.5</v>
      </c>
      <c r="M433" s="12">
        <v>15</v>
      </c>
      <c r="N433" s="12">
        <v>16</v>
      </c>
      <c r="O433" s="30">
        <v>19</v>
      </c>
      <c r="P433" s="31"/>
      <c r="Q433" s="11">
        <v>131</v>
      </c>
      <c r="S433">
        <f t="shared" si="6"/>
        <v>0</v>
      </c>
    </row>
    <row r="434" spans="5:19">
      <c r="E434" s="32" t="s">
        <v>260</v>
      </c>
      <c r="F434" s="31"/>
      <c r="G434" s="11" t="s">
        <v>40</v>
      </c>
      <c r="H434" s="12">
        <v>58</v>
      </c>
      <c r="I434" s="12">
        <v>57</v>
      </c>
      <c r="J434" s="12">
        <v>36</v>
      </c>
      <c r="K434" s="12">
        <v>42</v>
      </c>
      <c r="L434" s="12">
        <v>61</v>
      </c>
      <c r="M434" s="12">
        <v>45</v>
      </c>
      <c r="N434" s="12">
        <v>39</v>
      </c>
      <c r="O434" s="30">
        <v>45</v>
      </c>
      <c r="P434" s="31"/>
      <c r="Q434" s="11">
        <v>383</v>
      </c>
      <c r="S434">
        <f t="shared" si="6"/>
        <v>0</v>
      </c>
    </row>
    <row r="435" spans="5:19">
      <c r="E435" s="13" t="s">
        <v>62</v>
      </c>
      <c r="F435" s="13"/>
      <c r="G435" s="11" t="s">
        <v>63</v>
      </c>
      <c r="H435" s="12">
        <v>100</v>
      </c>
      <c r="I435" s="12">
        <v>100</v>
      </c>
      <c r="J435" s="12">
        <v>100</v>
      </c>
      <c r="K435" s="12">
        <v>100</v>
      </c>
      <c r="L435" s="12">
        <v>100</v>
      </c>
      <c r="M435" s="12">
        <v>100</v>
      </c>
      <c r="N435" s="12">
        <v>50</v>
      </c>
      <c r="O435" s="30">
        <v>50</v>
      </c>
      <c r="P435" s="31"/>
      <c r="Q435" s="11">
        <v>700</v>
      </c>
      <c r="S435" t="str">
        <f t="shared" si="6"/>
        <v>Dr. B.B. Hegde First Grade College, Kundapura, Udupi.</v>
      </c>
    </row>
    <row r="436" spans="5:19">
      <c r="E436" s="32" t="s">
        <v>339</v>
      </c>
      <c r="F436" s="31"/>
      <c r="G436" s="11" t="s">
        <v>65</v>
      </c>
      <c r="H436" s="12" t="s">
        <v>103</v>
      </c>
      <c r="I436" s="12" t="s">
        <v>103</v>
      </c>
      <c r="J436" s="12"/>
      <c r="K436" s="12" t="s">
        <v>303</v>
      </c>
      <c r="L436" s="12" t="s">
        <v>69</v>
      </c>
      <c r="M436" s="12" t="s">
        <v>127</v>
      </c>
      <c r="N436" s="12" t="s">
        <v>102</v>
      </c>
      <c r="O436" s="30" t="s">
        <v>71</v>
      </c>
      <c r="P436" s="31"/>
      <c r="Q436" s="11" t="s">
        <v>37</v>
      </c>
      <c r="S436" t="str">
        <f t="shared" si="6"/>
        <v>00030</v>
      </c>
    </row>
    <row r="437" spans="5:19">
      <c r="E437" s="15" t="s">
        <v>72</v>
      </c>
      <c r="F437" s="15" t="s">
        <v>365</v>
      </c>
      <c r="G437" s="11" t="s">
        <v>74</v>
      </c>
      <c r="H437" s="12" t="s">
        <v>75</v>
      </c>
      <c r="I437" s="12" t="s">
        <v>75</v>
      </c>
      <c r="J437" s="12" t="s">
        <v>263</v>
      </c>
      <c r="K437" s="12" t="s">
        <v>75</v>
      </c>
      <c r="L437" s="12" t="s">
        <v>75</v>
      </c>
      <c r="M437" s="12" t="s">
        <v>75</v>
      </c>
      <c r="N437" s="12" t="s">
        <v>75</v>
      </c>
      <c r="O437" s="30" t="s">
        <v>75</v>
      </c>
      <c r="P437" s="31"/>
      <c r="Q437" s="11" t="s">
        <v>37</v>
      </c>
      <c r="S437" t="str">
        <f t="shared" si="6"/>
        <v>USN</v>
      </c>
    </row>
    <row r="438" spans="5:19">
      <c r="E438" s="16" t="s">
        <v>37</v>
      </c>
      <c r="F438" s="16" t="s">
        <v>37</v>
      </c>
      <c r="G438" s="16" t="s">
        <v>37</v>
      </c>
      <c r="H438" s="17" t="s">
        <v>37</v>
      </c>
      <c r="I438" s="17" t="s">
        <v>37</v>
      </c>
      <c r="J438" s="17" t="s">
        <v>37</v>
      </c>
      <c r="K438" s="17" t="s">
        <v>37</v>
      </c>
      <c r="L438" s="17" t="s">
        <v>37</v>
      </c>
      <c r="M438" s="17" t="s">
        <v>37</v>
      </c>
      <c r="N438" s="17" t="s">
        <v>37</v>
      </c>
      <c r="O438" s="41" t="s">
        <v>37</v>
      </c>
      <c r="P438" s="28"/>
      <c r="Q438" s="17" t="s">
        <v>37</v>
      </c>
      <c r="S438" t="str">
        <f t="shared" si="6"/>
        <v>PRAMOD</v>
      </c>
    </row>
    <row r="439" spans="5:19" ht="0" hidden="1" customHeight="1">
      <c r="S439">
        <f t="shared" si="6"/>
        <v>0</v>
      </c>
    </row>
    <row r="440" spans="5:19" ht="0.6" customHeight="1">
      <c r="S440">
        <f t="shared" si="6"/>
        <v>0</v>
      </c>
    </row>
    <row r="441" spans="5:19">
      <c r="E441" s="38" t="s">
        <v>35</v>
      </c>
      <c r="F441" s="31"/>
      <c r="G441" s="4" t="s">
        <v>36</v>
      </c>
      <c r="H441" s="6" t="s">
        <v>37</v>
      </c>
      <c r="I441" s="6" t="s">
        <v>37</v>
      </c>
      <c r="J441" s="6" t="s">
        <v>37</v>
      </c>
      <c r="K441" s="6" t="s">
        <v>37</v>
      </c>
      <c r="L441" s="6" t="s">
        <v>37</v>
      </c>
      <c r="M441" s="6" t="s">
        <v>37</v>
      </c>
      <c r="N441" s="6" t="s">
        <v>37</v>
      </c>
      <c r="O441" s="39" t="s">
        <v>37</v>
      </c>
      <c r="P441" s="28"/>
      <c r="Q441" s="6" t="s">
        <v>37</v>
      </c>
      <c r="S441" t="str">
        <f t="shared" si="6"/>
        <v>SGPA</v>
      </c>
    </row>
    <row r="442" spans="5:19" ht="21">
      <c r="E442" s="32" t="s">
        <v>366</v>
      </c>
      <c r="F442" s="31"/>
      <c r="G442" s="8" t="s">
        <v>39</v>
      </c>
      <c r="H442" s="8" t="s">
        <v>19</v>
      </c>
      <c r="I442" s="8" t="s">
        <v>9</v>
      </c>
      <c r="J442" s="8" t="s">
        <v>21</v>
      </c>
      <c r="K442" s="8" t="s">
        <v>11</v>
      </c>
      <c r="L442" s="8" t="s">
        <v>17</v>
      </c>
      <c r="M442" s="8" t="s">
        <v>27</v>
      </c>
      <c r="N442" s="8" t="s">
        <v>7</v>
      </c>
      <c r="O442" s="40" t="s">
        <v>23</v>
      </c>
      <c r="P442" s="31"/>
      <c r="Q442" s="8" t="s">
        <v>40</v>
      </c>
      <c r="S442" t="str">
        <f t="shared" si="6"/>
        <v>CGPA</v>
      </c>
    </row>
    <row r="443" spans="5:19" ht="22.5">
      <c r="E443" s="13" t="s">
        <v>41</v>
      </c>
      <c r="F443" s="13" t="s">
        <v>367</v>
      </c>
      <c r="G443" s="11" t="s">
        <v>43</v>
      </c>
      <c r="H443" s="12" t="s">
        <v>368</v>
      </c>
      <c r="I443" s="12" t="s">
        <v>194</v>
      </c>
      <c r="J443" s="12" t="s">
        <v>369</v>
      </c>
      <c r="K443" s="12" t="s">
        <v>370</v>
      </c>
      <c r="L443" s="12" t="s">
        <v>371</v>
      </c>
      <c r="M443" s="12" t="s">
        <v>372</v>
      </c>
      <c r="N443" s="12" t="s">
        <v>373</v>
      </c>
      <c r="O443" s="30" t="s">
        <v>51</v>
      </c>
      <c r="P443" s="31"/>
      <c r="Q443" s="11" t="s">
        <v>37</v>
      </c>
      <c r="S443" t="str">
        <f t="shared" si="6"/>
        <v>Result: FAIL</v>
      </c>
    </row>
    <row r="444" spans="5:19">
      <c r="E444" s="32" t="s">
        <v>374</v>
      </c>
      <c r="F444" s="33"/>
      <c r="G444" s="11" t="s">
        <v>53</v>
      </c>
      <c r="H444" s="12" t="s">
        <v>51</v>
      </c>
      <c r="I444" s="12" t="s">
        <v>51</v>
      </c>
      <c r="J444" s="12" t="s">
        <v>51</v>
      </c>
      <c r="K444" s="12" t="s">
        <v>51</v>
      </c>
      <c r="L444" s="12" t="s">
        <v>51</v>
      </c>
      <c r="M444" s="12" t="s">
        <v>51</v>
      </c>
      <c r="N444" s="12" t="s">
        <v>51</v>
      </c>
      <c r="O444" s="30" t="s">
        <v>54</v>
      </c>
      <c r="P444" s="31"/>
      <c r="Q444" s="11" t="s">
        <v>37</v>
      </c>
      <c r="S444" t="str">
        <f t="shared" si="6"/>
        <v>Class</v>
      </c>
    </row>
    <row r="445" spans="5:19">
      <c r="E445" s="34"/>
      <c r="F445" s="35"/>
      <c r="G445" s="11" t="s">
        <v>55</v>
      </c>
      <c r="H445" s="12" t="s">
        <v>37</v>
      </c>
      <c r="I445" s="12" t="s">
        <v>37</v>
      </c>
      <c r="J445" s="12" t="s">
        <v>37</v>
      </c>
      <c r="K445" s="12" t="s">
        <v>37</v>
      </c>
      <c r="L445" s="12" t="s">
        <v>37</v>
      </c>
      <c r="M445" s="12" t="s">
        <v>37</v>
      </c>
      <c r="N445" s="12" t="s">
        <v>37</v>
      </c>
      <c r="O445" s="30" t="s">
        <v>37</v>
      </c>
      <c r="P445" s="31"/>
      <c r="Q445" s="11">
        <v>0</v>
      </c>
      <c r="S445" t="str">
        <f t="shared" si="6"/>
        <v>Term Grade: BB+</v>
      </c>
    </row>
    <row r="446" spans="5:19">
      <c r="E446" s="36"/>
      <c r="F446" s="37"/>
      <c r="G446" s="11" t="s">
        <v>56</v>
      </c>
      <c r="H446" s="12">
        <v>4</v>
      </c>
      <c r="I446" s="12">
        <v>4</v>
      </c>
      <c r="J446" s="12">
        <v>4</v>
      </c>
      <c r="K446" s="12">
        <v>3</v>
      </c>
      <c r="L446" s="12">
        <v>3</v>
      </c>
      <c r="M446" s="12">
        <v>3</v>
      </c>
      <c r="N446" s="12">
        <v>2</v>
      </c>
      <c r="O446" s="30">
        <v>2</v>
      </c>
      <c r="P446" s="31"/>
      <c r="Q446" s="11">
        <v>21</v>
      </c>
      <c r="S446" t="str">
        <f t="shared" si="6"/>
        <v>M.C.No</v>
      </c>
    </row>
    <row r="447" spans="5:19">
      <c r="E447" s="13" t="s">
        <v>57</v>
      </c>
      <c r="F447" s="13">
        <v>5.64</v>
      </c>
      <c r="G447" s="11" t="s">
        <v>58</v>
      </c>
      <c r="H447" s="12">
        <v>6</v>
      </c>
      <c r="I447" s="12">
        <v>7.5</v>
      </c>
      <c r="J447" s="12"/>
      <c r="K447" s="12">
        <v>5</v>
      </c>
      <c r="L447" s="12">
        <v>6.5</v>
      </c>
      <c r="M447" s="12">
        <v>5.5</v>
      </c>
      <c r="N447" s="12">
        <v>8.5</v>
      </c>
      <c r="O447" s="30">
        <v>9.5</v>
      </c>
      <c r="P447" s="31"/>
      <c r="Q447" s="11" t="s">
        <v>37</v>
      </c>
      <c r="S447" t="str">
        <f t="shared" si="6"/>
        <v/>
      </c>
    </row>
    <row r="448" spans="5:19">
      <c r="E448" s="13" t="s">
        <v>59</v>
      </c>
      <c r="F448" s="13"/>
      <c r="G448" s="11" t="s">
        <v>60</v>
      </c>
      <c r="H448" s="12">
        <v>24</v>
      </c>
      <c r="I448" s="12">
        <v>30</v>
      </c>
      <c r="J448" s="12"/>
      <c r="K448" s="12">
        <v>15</v>
      </c>
      <c r="L448" s="12">
        <v>19.5</v>
      </c>
      <c r="M448" s="12">
        <v>16.5</v>
      </c>
      <c r="N448" s="12">
        <v>17</v>
      </c>
      <c r="O448" s="30">
        <v>19</v>
      </c>
      <c r="P448" s="31"/>
      <c r="Q448" s="11">
        <v>141</v>
      </c>
      <c r="S448">
        <f t="shared" si="6"/>
        <v>0</v>
      </c>
    </row>
    <row r="449" spans="5:19">
      <c r="E449" s="32" t="s">
        <v>260</v>
      </c>
      <c r="F449" s="31"/>
      <c r="G449" s="11" t="s">
        <v>40</v>
      </c>
      <c r="H449" s="12">
        <v>59</v>
      </c>
      <c r="I449" s="12">
        <v>72</v>
      </c>
      <c r="J449" s="12">
        <v>39</v>
      </c>
      <c r="K449" s="12">
        <v>49</v>
      </c>
      <c r="L449" s="12">
        <v>61</v>
      </c>
      <c r="M449" s="12">
        <v>54</v>
      </c>
      <c r="N449" s="12">
        <v>42</v>
      </c>
      <c r="O449" s="30">
        <v>45</v>
      </c>
      <c r="P449" s="31"/>
      <c r="Q449" s="11">
        <v>421</v>
      </c>
      <c r="S449" t="str">
        <f t="shared" si="6"/>
        <v>Dr. B.B. Hegde First Grade College, Kundapura, Udupi.</v>
      </c>
    </row>
    <row r="450" spans="5:19">
      <c r="E450" s="13" t="s">
        <v>62</v>
      </c>
      <c r="F450" s="13"/>
      <c r="G450" s="11" t="s">
        <v>63</v>
      </c>
      <c r="H450" s="12">
        <v>100</v>
      </c>
      <c r="I450" s="12">
        <v>100</v>
      </c>
      <c r="J450" s="12">
        <v>100</v>
      </c>
      <c r="K450" s="12">
        <v>100</v>
      </c>
      <c r="L450" s="12">
        <v>100</v>
      </c>
      <c r="M450" s="12">
        <v>100</v>
      </c>
      <c r="N450" s="12">
        <v>50</v>
      </c>
      <c r="O450" s="30">
        <v>50</v>
      </c>
      <c r="P450" s="31"/>
      <c r="Q450" s="11">
        <v>700</v>
      </c>
      <c r="S450" t="str">
        <f t="shared" si="6"/>
        <v>00031</v>
      </c>
    </row>
    <row r="451" spans="5:19">
      <c r="E451" s="32" t="s">
        <v>375</v>
      </c>
      <c r="F451" s="31"/>
      <c r="G451" s="11" t="s">
        <v>65</v>
      </c>
      <c r="H451" s="12" t="s">
        <v>103</v>
      </c>
      <c r="I451" s="12" t="s">
        <v>68</v>
      </c>
      <c r="J451" s="12"/>
      <c r="K451" s="12" t="s">
        <v>127</v>
      </c>
      <c r="L451" s="12" t="s">
        <v>69</v>
      </c>
      <c r="M451" s="12" t="s">
        <v>138</v>
      </c>
      <c r="N451" s="12" t="s">
        <v>70</v>
      </c>
      <c r="O451" s="30" t="s">
        <v>71</v>
      </c>
      <c r="P451" s="31"/>
      <c r="Q451" s="11" t="s">
        <v>37</v>
      </c>
      <c r="S451" t="str">
        <f t="shared" si="6"/>
        <v>USN</v>
      </c>
    </row>
    <row r="452" spans="5:19">
      <c r="E452" s="15" t="s">
        <v>72</v>
      </c>
      <c r="F452" s="15" t="s">
        <v>376</v>
      </c>
      <c r="G452" s="11" t="s">
        <v>74</v>
      </c>
      <c r="H452" s="12" t="s">
        <v>75</v>
      </c>
      <c r="I452" s="12" t="s">
        <v>75</v>
      </c>
      <c r="J452" s="12" t="s">
        <v>263</v>
      </c>
      <c r="K452" s="12" t="s">
        <v>75</v>
      </c>
      <c r="L452" s="12" t="s">
        <v>75</v>
      </c>
      <c r="M452" s="12" t="s">
        <v>75</v>
      </c>
      <c r="N452" s="12" t="s">
        <v>75</v>
      </c>
      <c r="O452" s="30" t="s">
        <v>75</v>
      </c>
      <c r="P452" s="31"/>
      <c r="Q452" s="11" t="s">
        <v>37</v>
      </c>
      <c r="S452" t="str">
        <f t="shared" si="6"/>
        <v>SACHIN</v>
      </c>
    </row>
    <row r="453" spans="5:19">
      <c r="E453" s="16" t="s">
        <v>37</v>
      </c>
      <c r="F453" s="16" t="s">
        <v>37</v>
      </c>
      <c r="G453" s="16" t="s">
        <v>37</v>
      </c>
      <c r="H453" s="17" t="s">
        <v>37</v>
      </c>
      <c r="I453" s="17" t="s">
        <v>37</v>
      </c>
      <c r="J453" s="17" t="s">
        <v>37</v>
      </c>
      <c r="K453" s="17" t="s">
        <v>37</v>
      </c>
      <c r="L453" s="17" t="s">
        <v>37</v>
      </c>
      <c r="M453" s="17" t="s">
        <v>37</v>
      </c>
      <c r="N453" s="17" t="s">
        <v>37</v>
      </c>
      <c r="O453" s="41" t="s">
        <v>37</v>
      </c>
      <c r="P453" s="28"/>
      <c r="Q453" s="17" t="s">
        <v>37</v>
      </c>
      <c r="S453">
        <f t="shared" si="6"/>
        <v>0</v>
      </c>
    </row>
    <row r="454" spans="5:19" ht="0.6" customHeight="1">
      <c r="S454">
        <f t="shared" si="6"/>
        <v>0</v>
      </c>
    </row>
    <row r="455" spans="5:19">
      <c r="E455" s="38" t="s">
        <v>35</v>
      </c>
      <c r="F455" s="31"/>
      <c r="G455" s="4" t="s">
        <v>36</v>
      </c>
      <c r="H455" s="6" t="s">
        <v>37</v>
      </c>
      <c r="I455" s="6" t="s">
        <v>37</v>
      </c>
      <c r="J455" s="6" t="s">
        <v>37</v>
      </c>
      <c r="K455" s="6" t="s">
        <v>37</v>
      </c>
      <c r="L455" s="6" t="s">
        <v>37</v>
      </c>
      <c r="M455" s="6" t="s">
        <v>37</v>
      </c>
      <c r="N455" s="6" t="s">
        <v>37</v>
      </c>
      <c r="O455" s="39" t="s">
        <v>37</v>
      </c>
      <c r="P455" s="28"/>
      <c r="Q455" s="6" t="s">
        <v>37</v>
      </c>
      <c r="S455" t="str">
        <f t="shared" si="6"/>
        <v>SGPA</v>
      </c>
    </row>
    <row r="456" spans="5:19" ht="21">
      <c r="E456" s="32" t="s">
        <v>377</v>
      </c>
      <c r="F456" s="31"/>
      <c r="G456" s="8" t="s">
        <v>39</v>
      </c>
      <c r="H456" s="8" t="s">
        <v>19</v>
      </c>
      <c r="I456" s="8" t="s">
        <v>9</v>
      </c>
      <c r="J456" s="8" t="s">
        <v>21</v>
      </c>
      <c r="K456" s="8" t="s">
        <v>11</v>
      </c>
      <c r="L456" s="8" t="s">
        <v>17</v>
      </c>
      <c r="M456" s="8" t="s">
        <v>27</v>
      </c>
      <c r="N456" s="8" t="s">
        <v>7</v>
      </c>
      <c r="O456" s="40" t="s">
        <v>25</v>
      </c>
      <c r="P456" s="31"/>
      <c r="Q456" s="8" t="s">
        <v>40</v>
      </c>
      <c r="S456" t="str">
        <f t="shared" si="6"/>
        <v>CGPA</v>
      </c>
    </row>
    <row r="457" spans="5:19" ht="22.5">
      <c r="E457" s="13" t="s">
        <v>41</v>
      </c>
      <c r="F457" s="13" t="s">
        <v>378</v>
      </c>
      <c r="G457" s="11" t="s">
        <v>43</v>
      </c>
      <c r="H457" s="12" t="s">
        <v>379</v>
      </c>
      <c r="I457" s="12" t="s">
        <v>380</v>
      </c>
      <c r="J457" s="12" t="s">
        <v>381</v>
      </c>
      <c r="K457" s="12" t="s">
        <v>382</v>
      </c>
      <c r="L457" s="12" t="s">
        <v>383</v>
      </c>
      <c r="M457" s="12" t="s">
        <v>332</v>
      </c>
      <c r="N457" s="12" t="s">
        <v>384</v>
      </c>
      <c r="O457" s="30" t="s">
        <v>51</v>
      </c>
      <c r="P457" s="31"/>
      <c r="Q457" s="11" t="s">
        <v>37</v>
      </c>
      <c r="S457" t="str">
        <f t="shared" si="6"/>
        <v>Result: FAIL</v>
      </c>
    </row>
    <row r="458" spans="5:19">
      <c r="E458" s="32" t="s">
        <v>338</v>
      </c>
      <c r="F458" s="33"/>
      <c r="G458" s="11" t="s">
        <v>53</v>
      </c>
      <c r="H458" s="12" t="s">
        <v>51</v>
      </c>
      <c r="I458" s="12" t="s">
        <v>51</v>
      </c>
      <c r="J458" s="12" t="s">
        <v>51</v>
      </c>
      <c r="K458" s="12" t="s">
        <v>51</v>
      </c>
      <c r="L458" s="12" t="s">
        <v>51</v>
      </c>
      <c r="M458" s="12" t="s">
        <v>51</v>
      </c>
      <c r="N458" s="12" t="s">
        <v>51</v>
      </c>
      <c r="O458" s="30" t="s">
        <v>54</v>
      </c>
      <c r="P458" s="31"/>
      <c r="Q458" s="11" t="s">
        <v>37</v>
      </c>
      <c r="S458" t="str">
        <f t="shared" si="6"/>
        <v>Class</v>
      </c>
    </row>
    <row r="459" spans="5:19">
      <c r="E459" s="34"/>
      <c r="F459" s="35"/>
      <c r="G459" s="11" t="s">
        <v>55</v>
      </c>
      <c r="H459" s="12" t="s">
        <v>37</v>
      </c>
      <c r="I459" s="12" t="s">
        <v>37</v>
      </c>
      <c r="J459" s="12" t="s">
        <v>37</v>
      </c>
      <c r="K459" s="12" t="s">
        <v>37</v>
      </c>
      <c r="L459" s="12" t="s">
        <v>37</v>
      </c>
      <c r="M459" s="12" t="s">
        <v>37</v>
      </c>
      <c r="N459" s="12" t="s">
        <v>37</v>
      </c>
      <c r="O459" s="30" t="s">
        <v>37</v>
      </c>
      <c r="P459" s="31"/>
      <c r="Q459" s="11">
        <v>0</v>
      </c>
      <c r="S459" t="str">
        <f t="shared" si="6"/>
        <v>Term Grade: BB+</v>
      </c>
    </row>
    <row r="460" spans="5:19">
      <c r="E460" s="36"/>
      <c r="F460" s="37"/>
      <c r="G460" s="11" t="s">
        <v>56</v>
      </c>
      <c r="H460" s="12">
        <v>4</v>
      </c>
      <c r="I460" s="12">
        <v>4</v>
      </c>
      <c r="J460" s="12">
        <v>4</v>
      </c>
      <c r="K460" s="12">
        <v>3</v>
      </c>
      <c r="L460" s="12">
        <v>3</v>
      </c>
      <c r="M460" s="12">
        <v>3</v>
      </c>
      <c r="N460" s="12">
        <v>2</v>
      </c>
      <c r="O460" s="30">
        <v>2</v>
      </c>
      <c r="P460" s="31"/>
      <c r="Q460" s="11">
        <v>21</v>
      </c>
      <c r="S460" t="str">
        <f t="shared" ref="S460:S523" si="7">$E466</f>
        <v>M.C.No</v>
      </c>
    </row>
    <row r="461" spans="5:19">
      <c r="E461" s="13" t="s">
        <v>57</v>
      </c>
      <c r="F461" s="13">
        <v>5.82</v>
      </c>
      <c r="G461" s="11" t="s">
        <v>58</v>
      </c>
      <c r="H461" s="12">
        <v>6.5</v>
      </c>
      <c r="I461" s="12">
        <v>7.5</v>
      </c>
      <c r="J461" s="12"/>
      <c r="K461" s="12">
        <v>5.5</v>
      </c>
      <c r="L461" s="12">
        <v>8</v>
      </c>
      <c r="M461" s="12">
        <v>6</v>
      </c>
      <c r="N461" s="12">
        <v>6</v>
      </c>
      <c r="O461" s="30">
        <v>9.5</v>
      </c>
      <c r="P461" s="31"/>
      <c r="Q461" s="11" t="s">
        <v>37</v>
      </c>
      <c r="S461" t="str">
        <f t="shared" si="7"/>
        <v/>
      </c>
    </row>
    <row r="462" spans="5:19">
      <c r="E462" s="13" t="s">
        <v>59</v>
      </c>
      <c r="F462" s="13"/>
      <c r="G462" s="11" t="s">
        <v>60</v>
      </c>
      <c r="H462" s="12">
        <v>26</v>
      </c>
      <c r="I462" s="12">
        <v>30</v>
      </c>
      <c r="J462" s="12"/>
      <c r="K462" s="12">
        <v>16.5</v>
      </c>
      <c r="L462" s="12">
        <v>24</v>
      </c>
      <c r="M462" s="12">
        <v>18</v>
      </c>
      <c r="N462" s="12">
        <v>12</v>
      </c>
      <c r="O462" s="30">
        <v>19</v>
      </c>
      <c r="P462" s="31"/>
      <c r="Q462" s="11">
        <v>145.5</v>
      </c>
      <c r="S462">
        <f t="shared" si="7"/>
        <v>0</v>
      </c>
    </row>
    <row r="463" spans="5:19">
      <c r="E463" s="32" t="s">
        <v>260</v>
      </c>
      <c r="F463" s="31"/>
      <c r="G463" s="11" t="s">
        <v>40</v>
      </c>
      <c r="H463" s="12">
        <v>63</v>
      </c>
      <c r="I463" s="12">
        <v>72</v>
      </c>
      <c r="J463" s="12">
        <v>33</v>
      </c>
      <c r="K463" s="12">
        <v>50</v>
      </c>
      <c r="L463" s="12">
        <v>78</v>
      </c>
      <c r="M463" s="12">
        <v>59</v>
      </c>
      <c r="N463" s="12">
        <v>28</v>
      </c>
      <c r="O463" s="30">
        <v>45</v>
      </c>
      <c r="P463" s="31"/>
      <c r="Q463" s="11">
        <v>428</v>
      </c>
      <c r="S463">
        <f t="shared" si="7"/>
        <v>0</v>
      </c>
    </row>
    <row r="464" spans="5:19">
      <c r="E464" s="13" t="s">
        <v>62</v>
      </c>
      <c r="F464" s="13"/>
      <c r="G464" s="11" t="s">
        <v>63</v>
      </c>
      <c r="H464" s="12">
        <v>100</v>
      </c>
      <c r="I464" s="12">
        <v>100</v>
      </c>
      <c r="J464" s="12">
        <v>100</v>
      </c>
      <c r="K464" s="12">
        <v>100</v>
      </c>
      <c r="L464" s="12">
        <v>100</v>
      </c>
      <c r="M464" s="12">
        <v>100</v>
      </c>
      <c r="N464" s="12">
        <v>50</v>
      </c>
      <c r="O464" s="30">
        <v>50</v>
      </c>
      <c r="P464" s="31"/>
      <c r="Q464" s="11">
        <v>700</v>
      </c>
      <c r="S464" t="str">
        <f t="shared" si="7"/>
        <v>Dr. B.B. Hegde First Grade College, Kundapura, Udupi.</v>
      </c>
    </row>
    <row r="465" spans="5:19">
      <c r="E465" s="32" t="s">
        <v>375</v>
      </c>
      <c r="F465" s="31"/>
      <c r="G465" s="11" t="s">
        <v>65</v>
      </c>
      <c r="H465" s="12" t="s">
        <v>69</v>
      </c>
      <c r="I465" s="12" t="s">
        <v>68</v>
      </c>
      <c r="J465" s="12"/>
      <c r="K465" s="12" t="s">
        <v>138</v>
      </c>
      <c r="L465" s="12" t="s">
        <v>102</v>
      </c>
      <c r="M465" s="12" t="s">
        <v>103</v>
      </c>
      <c r="N465" s="12" t="s">
        <v>103</v>
      </c>
      <c r="O465" s="30" t="s">
        <v>71</v>
      </c>
      <c r="P465" s="31"/>
      <c r="Q465" s="11" t="s">
        <v>37</v>
      </c>
      <c r="S465" t="str">
        <f t="shared" si="7"/>
        <v>00032</v>
      </c>
    </row>
    <row r="466" spans="5:19">
      <c r="E466" s="15" t="s">
        <v>72</v>
      </c>
      <c r="F466" s="15" t="s">
        <v>385</v>
      </c>
      <c r="G466" s="11" t="s">
        <v>74</v>
      </c>
      <c r="H466" s="12" t="s">
        <v>75</v>
      </c>
      <c r="I466" s="12" t="s">
        <v>75</v>
      </c>
      <c r="J466" s="12" t="s">
        <v>263</v>
      </c>
      <c r="K466" s="12" t="s">
        <v>75</v>
      </c>
      <c r="L466" s="12" t="s">
        <v>75</v>
      </c>
      <c r="M466" s="12" t="s">
        <v>75</v>
      </c>
      <c r="N466" s="12" t="s">
        <v>75</v>
      </c>
      <c r="O466" s="30" t="s">
        <v>75</v>
      </c>
      <c r="P466" s="31"/>
      <c r="Q466" s="11" t="s">
        <v>37</v>
      </c>
      <c r="S466" t="str">
        <f t="shared" si="7"/>
        <v>USN</v>
      </c>
    </row>
    <row r="467" spans="5:19">
      <c r="E467" s="16" t="s">
        <v>37</v>
      </c>
      <c r="F467" s="16" t="s">
        <v>37</v>
      </c>
      <c r="G467" s="16" t="s">
        <v>37</v>
      </c>
      <c r="H467" s="17" t="s">
        <v>37</v>
      </c>
      <c r="I467" s="17" t="s">
        <v>37</v>
      </c>
      <c r="J467" s="17" t="s">
        <v>37</v>
      </c>
      <c r="K467" s="17" t="s">
        <v>37</v>
      </c>
      <c r="L467" s="17" t="s">
        <v>37</v>
      </c>
      <c r="M467" s="17" t="s">
        <v>37</v>
      </c>
      <c r="N467" s="17" t="s">
        <v>37</v>
      </c>
      <c r="O467" s="41" t="s">
        <v>37</v>
      </c>
      <c r="P467" s="28"/>
      <c r="Q467" s="17" t="s">
        <v>37</v>
      </c>
      <c r="S467" t="str">
        <f t="shared" si="7"/>
        <v>KARTHIK</v>
      </c>
    </row>
    <row r="468" spans="5:19" ht="0" hidden="1" customHeight="1">
      <c r="S468">
        <f t="shared" si="7"/>
        <v>0</v>
      </c>
    </row>
    <row r="469" spans="5:19" ht="0.6" customHeight="1">
      <c r="S469">
        <f t="shared" si="7"/>
        <v>0</v>
      </c>
    </row>
    <row r="470" spans="5:19">
      <c r="E470" s="38" t="s">
        <v>35</v>
      </c>
      <c r="F470" s="31"/>
      <c r="G470" s="4" t="s">
        <v>36</v>
      </c>
      <c r="H470" s="6" t="s">
        <v>37</v>
      </c>
      <c r="I470" s="6" t="s">
        <v>37</v>
      </c>
      <c r="J470" s="6" t="s">
        <v>37</v>
      </c>
      <c r="K470" s="6" t="s">
        <v>37</v>
      </c>
      <c r="L470" s="6" t="s">
        <v>37</v>
      </c>
      <c r="M470" s="6" t="s">
        <v>37</v>
      </c>
      <c r="N470" s="6" t="s">
        <v>37</v>
      </c>
      <c r="O470" s="39" t="s">
        <v>37</v>
      </c>
      <c r="P470" s="28"/>
      <c r="Q470" s="6" t="s">
        <v>37</v>
      </c>
      <c r="S470" t="str">
        <f t="shared" si="7"/>
        <v>SGPA</v>
      </c>
    </row>
    <row r="471" spans="5:19" ht="21">
      <c r="E471" s="32" t="s">
        <v>386</v>
      </c>
      <c r="F471" s="31"/>
      <c r="G471" s="8" t="s">
        <v>39</v>
      </c>
      <c r="H471" s="8" t="s">
        <v>19</v>
      </c>
      <c r="I471" s="8" t="s">
        <v>9</v>
      </c>
      <c r="J471" s="8" t="s">
        <v>21</v>
      </c>
      <c r="K471" s="8" t="s">
        <v>11</v>
      </c>
      <c r="L471" s="8" t="s">
        <v>17</v>
      </c>
      <c r="M471" s="8" t="s">
        <v>27</v>
      </c>
      <c r="N471" s="8" t="s">
        <v>7</v>
      </c>
      <c r="O471" s="40" t="s">
        <v>25</v>
      </c>
      <c r="P471" s="31"/>
      <c r="Q471" s="8" t="s">
        <v>40</v>
      </c>
      <c r="S471" t="str">
        <f t="shared" si="7"/>
        <v>CGPA</v>
      </c>
    </row>
    <row r="472" spans="5:19" ht="22.5">
      <c r="E472" s="13" t="s">
        <v>41</v>
      </c>
      <c r="F472" s="13" t="s">
        <v>387</v>
      </c>
      <c r="G472" s="11" t="s">
        <v>43</v>
      </c>
      <c r="H472" s="12" t="s">
        <v>133</v>
      </c>
      <c r="I472" s="12" t="s">
        <v>299</v>
      </c>
      <c r="J472" s="12" t="s">
        <v>388</v>
      </c>
      <c r="K472" s="12" t="s">
        <v>389</v>
      </c>
      <c r="L472" s="12" t="s">
        <v>390</v>
      </c>
      <c r="M472" s="12" t="s">
        <v>391</v>
      </c>
      <c r="N472" s="12" t="s">
        <v>392</v>
      </c>
      <c r="O472" s="30" t="s">
        <v>51</v>
      </c>
      <c r="P472" s="31"/>
      <c r="Q472" s="11" t="s">
        <v>37</v>
      </c>
      <c r="S472" t="str">
        <f t="shared" si="7"/>
        <v>Result: FAIL</v>
      </c>
    </row>
    <row r="473" spans="5:19">
      <c r="E473" s="32" t="s">
        <v>302</v>
      </c>
      <c r="F473" s="33"/>
      <c r="G473" s="11" t="s">
        <v>53</v>
      </c>
      <c r="H473" s="12" t="s">
        <v>51</v>
      </c>
      <c r="I473" s="12" t="s">
        <v>51</v>
      </c>
      <c r="J473" s="12" t="s">
        <v>51</v>
      </c>
      <c r="K473" s="12" t="s">
        <v>51</v>
      </c>
      <c r="L473" s="12" t="s">
        <v>51</v>
      </c>
      <c r="M473" s="12" t="s">
        <v>51</v>
      </c>
      <c r="N473" s="12" t="s">
        <v>51</v>
      </c>
      <c r="O473" s="30" t="s">
        <v>54</v>
      </c>
      <c r="P473" s="31"/>
      <c r="Q473" s="11" t="s">
        <v>37</v>
      </c>
      <c r="S473" t="str">
        <f t="shared" si="7"/>
        <v>Class</v>
      </c>
    </row>
    <row r="474" spans="5:19">
      <c r="E474" s="34"/>
      <c r="F474" s="35"/>
      <c r="G474" s="11" t="s">
        <v>55</v>
      </c>
      <c r="H474" s="12" t="s">
        <v>37</v>
      </c>
      <c r="I474" s="12" t="s">
        <v>37</v>
      </c>
      <c r="J474" s="12" t="s">
        <v>37</v>
      </c>
      <c r="K474" s="12" t="s">
        <v>37</v>
      </c>
      <c r="L474" s="12" t="s">
        <v>37</v>
      </c>
      <c r="M474" s="12" t="s">
        <v>37</v>
      </c>
      <c r="N474" s="12" t="s">
        <v>37</v>
      </c>
      <c r="O474" s="30" t="s">
        <v>37</v>
      </c>
      <c r="P474" s="31"/>
      <c r="Q474" s="11">
        <v>0</v>
      </c>
      <c r="S474" t="str">
        <f t="shared" si="7"/>
        <v>Term Grade: BB</v>
      </c>
    </row>
    <row r="475" spans="5:19">
      <c r="E475" s="36"/>
      <c r="F475" s="37"/>
      <c r="G475" s="11" t="s">
        <v>56</v>
      </c>
      <c r="H475" s="12">
        <v>4</v>
      </c>
      <c r="I475" s="12">
        <v>4</v>
      </c>
      <c r="J475" s="12">
        <v>4</v>
      </c>
      <c r="K475" s="12">
        <v>3</v>
      </c>
      <c r="L475" s="12">
        <v>3</v>
      </c>
      <c r="M475" s="12">
        <v>3</v>
      </c>
      <c r="N475" s="12">
        <v>2</v>
      </c>
      <c r="O475" s="30">
        <v>2</v>
      </c>
      <c r="P475" s="31"/>
      <c r="Q475" s="11">
        <v>21</v>
      </c>
      <c r="S475" t="str">
        <f t="shared" si="7"/>
        <v>M.C.No</v>
      </c>
    </row>
    <row r="476" spans="5:19">
      <c r="E476" s="13" t="s">
        <v>57</v>
      </c>
      <c r="F476" s="13">
        <v>5.38</v>
      </c>
      <c r="G476" s="11" t="s">
        <v>58</v>
      </c>
      <c r="H476" s="12">
        <v>5.5</v>
      </c>
      <c r="I476" s="12">
        <v>7.5</v>
      </c>
      <c r="J476" s="12"/>
      <c r="K476" s="12">
        <v>5</v>
      </c>
      <c r="L476" s="12">
        <v>6</v>
      </c>
      <c r="M476" s="12">
        <v>5.5</v>
      </c>
      <c r="N476" s="12">
        <v>7</v>
      </c>
      <c r="O476" s="30">
        <v>9.5</v>
      </c>
      <c r="P476" s="31"/>
      <c r="Q476" s="11" t="s">
        <v>37</v>
      </c>
      <c r="S476" t="str">
        <f t="shared" si="7"/>
        <v/>
      </c>
    </row>
    <row r="477" spans="5:19">
      <c r="E477" s="13" t="s">
        <v>59</v>
      </c>
      <c r="F477" s="13"/>
      <c r="G477" s="11" t="s">
        <v>60</v>
      </c>
      <c r="H477" s="12">
        <v>22</v>
      </c>
      <c r="I477" s="12">
        <v>30</v>
      </c>
      <c r="J477" s="12"/>
      <c r="K477" s="12">
        <v>15</v>
      </c>
      <c r="L477" s="12">
        <v>18</v>
      </c>
      <c r="M477" s="12">
        <v>16.5</v>
      </c>
      <c r="N477" s="12">
        <v>14</v>
      </c>
      <c r="O477" s="30">
        <v>19</v>
      </c>
      <c r="P477" s="31"/>
      <c r="Q477" s="11">
        <v>134.5</v>
      </c>
      <c r="S477">
        <f t="shared" si="7"/>
        <v>0</v>
      </c>
    </row>
    <row r="478" spans="5:19">
      <c r="E478" s="32" t="s">
        <v>260</v>
      </c>
      <c r="F478" s="31"/>
      <c r="G478" s="11" t="s">
        <v>40</v>
      </c>
      <c r="H478" s="12">
        <v>52</v>
      </c>
      <c r="I478" s="12">
        <v>73</v>
      </c>
      <c r="J478" s="12">
        <v>39</v>
      </c>
      <c r="K478" s="12">
        <v>46</v>
      </c>
      <c r="L478" s="12">
        <v>59</v>
      </c>
      <c r="M478" s="12">
        <v>50</v>
      </c>
      <c r="N478" s="12">
        <v>34</v>
      </c>
      <c r="O478" s="30">
        <v>45</v>
      </c>
      <c r="P478" s="31"/>
      <c r="Q478" s="11">
        <v>398</v>
      </c>
      <c r="S478">
        <f t="shared" si="7"/>
        <v>0</v>
      </c>
    </row>
    <row r="479" spans="5:19">
      <c r="E479" s="13" t="s">
        <v>62</v>
      </c>
      <c r="F479" s="13"/>
      <c r="G479" s="11" t="s">
        <v>63</v>
      </c>
      <c r="H479" s="12">
        <v>100</v>
      </c>
      <c r="I479" s="12">
        <v>100</v>
      </c>
      <c r="J479" s="12">
        <v>100</v>
      </c>
      <c r="K479" s="12">
        <v>100</v>
      </c>
      <c r="L479" s="12">
        <v>100</v>
      </c>
      <c r="M479" s="12">
        <v>100</v>
      </c>
      <c r="N479" s="12">
        <v>50</v>
      </c>
      <c r="O479" s="30">
        <v>50</v>
      </c>
      <c r="P479" s="31"/>
      <c r="Q479" s="11">
        <v>700</v>
      </c>
      <c r="S479" t="str">
        <f t="shared" si="7"/>
        <v>Dr. B.B. Hegde First Grade College, Kundapura, Udupi.</v>
      </c>
    </row>
    <row r="480" spans="5:19">
      <c r="E480" s="32" t="s">
        <v>339</v>
      </c>
      <c r="F480" s="31"/>
      <c r="G480" s="11" t="s">
        <v>65</v>
      </c>
      <c r="H480" s="12" t="s">
        <v>138</v>
      </c>
      <c r="I480" s="12" t="s">
        <v>68</v>
      </c>
      <c r="J480" s="12"/>
      <c r="K480" s="12" t="s">
        <v>127</v>
      </c>
      <c r="L480" s="12" t="s">
        <v>103</v>
      </c>
      <c r="M480" s="12" t="s">
        <v>138</v>
      </c>
      <c r="N480" s="12" t="s">
        <v>66</v>
      </c>
      <c r="O480" s="30" t="s">
        <v>71</v>
      </c>
      <c r="P480" s="31"/>
      <c r="Q480" s="11" t="s">
        <v>37</v>
      </c>
      <c r="S480" t="str">
        <f t="shared" si="7"/>
        <v>00033</v>
      </c>
    </row>
    <row r="481" spans="5:19">
      <c r="E481" s="15" t="s">
        <v>72</v>
      </c>
      <c r="F481" s="15" t="s">
        <v>393</v>
      </c>
      <c r="G481" s="11" t="s">
        <v>74</v>
      </c>
      <c r="H481" s="12" t="s">
        <v>75</v>
      </c>
      <c r="I481" s="12" t="s">
        <v>75</v>
      </c>
      <c r="J481" s="12" t="s">
        <v>263</v>
      </c>
      <c r="K481" s="12" t="s">
        <v>75</v>
      </c>
      <c r="L481" s="12" t="s">
        <v>75</v>
      </c>
      <c r="M481" s="12" t="s">
        <v>75</v>
      </c>
      <c r="N481" s="12" t="s">
        <v>75</v>
      </c>
      <c r="O481" s="30" t="s">
        <v>75</v>
      </c>
      <c r="P481" s="31"/>
      <c r="Q481" s="11" t="s">
        <v>37</v>
      </c>
      <c r="S481" t="str">
        <f t="shared" si="7"/>
        <v>USN</v>
      </c>
    </row>
    <row r="482" spans="5:19">
      <c r="E482" s="16" t="s">
        <v>37</v>
      </c>
      <c r="F482" s="16" t="s">
        <v>37</v>
      </c>
      <c r="G482" s="16" t="s">
        <v>37</v>
      </c>
      <c r="H482" s="17" t="s">
        <v>37</v>
      </c>
      <c r="I482" s="17" t="s">
        <v>37</v>
      </c>
      <c r="J482" s="17" t="s">
        <v>37</v>
      </c>
      <c r="K482" s="17" t="s">
        <v>37</v>
      </c>
      <c r="L482" s="17" t="s">
        <v>37</v>
      </c>
      <c r="M482" s="17" t="s">
        <v>37</v>
      </c>
      <c r="N482" s="17" t="s">
        <v>37</v>
      </c>
      <c r="O482" s="41" t="s">
        <v>37</v>
      </c>
      <c r="P482" s="28"/>
      <c r="Q482" s="17" t="s">
        <v>37</v>
      </c>
      <c r="S482" t="str">
        <f t="shared" si="7"/>
        <v>AKSHITHA</v>
      </c>
    </row>
    <row r="483" spans="5:19" ht="0" hidden="1" customHeight="1">
      <c r="S483">
        <f t="shared" si="7"/>
        <v>0</v>
      </c>
    </row>
    <row r="484" spans="5:19" ht="0.6" customHeight="1">
      <c r="S484">
        <f t="shared" si="7"/>
        <v>0</v>
      </c>
    </row>
    <row r="485" spans="5:19">
      <c r="E485" s="38" t="s">
        <v>35</v>
      </c>
      <c r="F485" s="31"/>
      <c r="G485" s="4" t="s">
        <v>36</v>
      </c>
      <c r="H485" s="6" t="s">
        <v>37</v>
      </c>
      <c r="I485" s="6" t="s">
        <v>37</v>
      </c>
      <c r="J485" s="6" t="s">
        <v>37</v>
      </c>
      <c r="K485" s="6" t="s">
        <v>37</v>
      </c>
      <c r="L485" s="6" t="s">
        <v>37</v>
      </c>
      <c r="M485" s="6" t="s">
        <v>37</v>
      </c>
      <c r="N485" s="6" t="s">
        <v>37</v>
      </c>
      <c r="O485" s="39" t="s">
        <v>37</v>
      </c>
      <c r="P485" s="28"/>
      <c r="Q485" s="6" t="s">
        <v>37</v>
      </c>
      <c r="S485" t="str">
        <f t="shared" si="7"/>
        <v>SGPA</v>
      </c>
    </row>
    <row r="486" spans="5:19" ht="21">
      <c r="E486" s="32" t="s">
        <v>394</v>
      </c>
      <c r="F486" s="31"/>
      <c r="G486" s="8" t="s">
        <v>39</v>
      </c>
      <c r="H486" s="8" t="s">
        <v>19</v>
      </c>
      <c r="I486" s="8" t="s">
        <v>9</v>
      </c>
      <c r="J486" s="8" t="s">
        <v>21</v>
      </c>
      <c r="K486" s="8" t="s">
        <v>11</v>
      </c>
      <c r="L486" s="8" t="s">
        <v>17</v>
      </c>
      <c r="M486" s="8" t="s">
        <v>27</v>
      </c>
      <c r="N486" s="8" t="s">
        <v>7</v>
      </c>
      <c r="O486" s="40" t="s">
        <v>33</v>
      </c>
      <c r="P486" s="31"/>
      <c r="Q486" s="8" t="s">
        <v>40</v>
      </c>
      <c r="S486" t="str">
        <f t="shared" si="7"/>
        <v>CGPA</v>
      </c>
    </row>
    <row r="487" spans="5:19" ht="22.5">
      <c r="E487" s="13" t="s">
        <v>41</v>
      </c>
      <c r="F487" s="13" t="s">
        <v>395</v>
      </c>
      <c r="G487" s="11" t="s">
        <v>43</v>
      </c>
      <c r="H487" s="12" t="s">
        <v>396</v>
      </c>
      <c r="I487" s="12" t="s">
        <v>82</v>
      </c>
      <c r="J487" s="12" t="s">
        <v>183</v>
      </c>
      <c r="K487" s="12" t="s">
        <v>397</v>
      </c>
      <c r="L487" s="12" t="s">
        <v>223</v>
      </c>
      <c r="M487" s="12" t="s">
        <v>79</v>
      </c>
      <c r="N487" s="12" t="s">
        <v>209</v>
      </c>
      <c r="O487" s="30" t="s">
        <v>51</v>
      </c>
      <c r="P487" s="31"/>
      <c r="Q487" s="11" t="s">
        <v>37</v>
      </c>
      <c r="S487" t="str">
        <f t="shared" si="7"/>
        <v>Result: PASS</v>
      </c>
    </row>
    <row r="488" spans="5:19">
      <c r="E488" s="32" t="s">
        <v>398</v>
      </c>
      <c r="F488" s="33"/>
      <c r="G488" s="11" t="s">
        <v>53</v>
      </c>
      <c r="H488" s="12" t="s">
        <v>51</v>
      </c>
      <c r="I488" s="12" t="s">
        <v>51</v>
      </c>
      <c r="J488" s="12" t="s">
        <v>51</v>
      </c>
      <c r="K488" s="12" t="s">
        <v>51</v>
      </c>
      <c r="L488" s="12" t="s">
        <v>51</v>
      </c>
      <c r="M488" s="12" t="s">
        <v>51</v>
      </c>
      <c r="N488" s="12" t="s">
        <v>51</v>
      </c>
      <c r="O488" s="30" t="s">
        <v>125</v>
      </c>
      <c r="P488" s="31"/>
      <c r="Q488" s="11" t="s">
        <v>37</v>
      </c>
      <c r="S488" t="str">
        <f t="shared" si="7"/>
        <v>Class</v>
      </c>
    </row>
    <row r="489" spans="5:19">
      <c r="E489" s="34"/>
      <c r="F489" s="35"/>
      <c r="G489" s="11" t="s">
        <v>55</v>
      </c>
      <c r="H489" s="12" t="s">
        <v>37</v>
      </c>
      <c r="I489" s="12" t="s">
        <v>37</v>
      </c>
      <c r="J489" s="12" t="s">
        <v>37</v>
      </c>
      <c r="K489" s="12" t="s">
        <v>37</v>
      </c>
      <c r="L489" s="12" t="s">
        <v>37</v>
      </c>
      <c r="M489" s="12" t="s">
        <v>37</v>
      </c>
      <c r="N489" s="12" t="s">
        <v>37</v>
      </c>
      <c r="O489" s="30" t="s">
        <v>37</v>
      </c>
      <c r="P489" s="31"/>
      <c r="Q489" s="11">
        <v>0</v>
      </c>
      <c r="S489" t="str">
        <f t="shared" si="7"/>
        <v>Term Grade: OO+</v>
      </c>
    </row>
    <row r="490" spans="5:19">
      <c r="E490" s="36"/>
      <c r="F490" s="37"/>
      <c r="G490" s="11" t="s">
        <v>56</v>
      </c>
      <c r="H490" s="12">
        <v>4</v>
      </c>
      <c r="I490" s="12">
        <v>4</v>
      </c>
      <c r="J490" s="12">
        <v>4</v>
      </c>
      <c r="K490" s="12">
        <v>3</v>
      </c>
      <c r="L490" s="12">
        <v>3</v>
      </c>
      <c r="M490" s="12">
        <v>3</v>
      </c>
      <c r="N490" s="12">
        <v>2</v>
      </c>
      <c r="O490" s="30">
        <v>2</v>
      </c>
      <c r="P490" s="31"/>
      <c r="Q490" s="11">
        <v>25</v>
      </c>
      <c r="S490" t="str">
        <f t="shared" si="7"/>
        <v>M.C.No</v>
      </c>
    </row>
    <row r="491" spans="5:19">
      <c r="E491" s="13" t="s">
        <v>57</v>
      </c>
      <c r="F491" s="13">
        <v>9.6199999999999992</v>
      </c>
      <c r="G491" s="11" t="s">
        <v>58</v>
      </c>
      <c r="H491" s="12">
        <v>9.5</v>
      </c>
      <c r="I491" s="12">
        <v>10</v>
      </c>
      <c r="J491" s="12">
        <v>9.5</v>
      </c>
      <c r="K491" s="12">
        <v>9</v>
      </c>
      <c r="L491" s="12">
        <v>9.5</v>
      </c>
      <c r="M491" s="12">
        <v>10</v>
      </c>
      <c r="N491" s="12">
        <v>10</v>
      </c>
      <c r="O491" s="30">
        <v>9.5</v>
      </c>
      <c r="P491" s="31"/>
      <c r="Q491" s="11" t="s">
        <v>37</v>
      </c>
      <c r="S491" t="str">
        <f t="shared" si="7"/>
        <v/>
      </c>
    </row>
    <row r="492" spans="5:19">
      <c r="E492" s="13" t="s">
        <v>59</v>
      </c>
      <c r="F492" s="14">
        <v>9.6199999999999992</v>
      </c>
      <c r="G492" s="11" t="s">
        <v>60</v>
      </c>
      <c r="H492" s="12">
        <v>38</v>
      </c>
      <c r="I492" s="12">
        <v>40</v>
      </c>
      <c r="J492" s="12">
        <v>38</v>
      </c>
      <c r="K492" s="12">
        <v>27</v>
      </c>
      <c r="L492" s="12">
        <v>28.5</v>
      </c>
      <c r="M492" s="12">
        <v>30</v>
      </c>
      <c r="N492" s="12">
        <v>20</v>
      </c>
      <c r="O492" s="30">
        <v>19</v>
      </c>
      <c r="P492" s="31"/>
      <c r="Q492" s="11">
        <v>240.5</v>
      </c>
      <c r="S492">
        <f t="shared" si="7"/>
        <v>0</v>
      </c>
    </row>
    <row r="493" spans="5:19">
      <c r="E493" s="32" t="s">
        <v>61</v>
      </c>
      <c r="F493" s="31"/>
      <c r="G493" s="11" t="s">
        <v>40</v>
      </c>
      <c r="H493" s="12">
        <v>92</v>
      </c>
      <c r="I493" s="12">
        <v>98</v>
      </c>
      <c r="J493" s="12">
        <v>94</v>
      </c>
      <c r="K493" s="12">
        <v>85</v>
      </c>
      <c r="L493" s="12">
        <v>93</v>
      </c>
      <c r="M493" s="12">
        <v>95</v>
      </c>
      <c r="N493" s="12">
        <v>50</v>
      </c>
      <c r="O493" s="30">
        <v>46</v>
      </c>
      <c r="P493" s="31"/>
      <c r="Q493" s="11">
        <v>653</v>
      </c>
      <c r="S493">
        <f t="shared" si="7"/>
        <v>0</v>
      </c>
    </row>
    <row r="494" spans="5:19">
      <c r="E494" s="13" t="s">
        <v>62</v>
      </c>
      <c r="F494" s="13"/>
      <c r="G494" s="11" t="s">
        <v>63</v>
      </c>
      <c r="H494" s="12">
        <v>100</v>
      </c>
      <c r="I494" s="12">
        <v>100</v>
      </c>
      <c r="J494" s="12">
        <v>100</v>
      </c>
      <c r="K494" s="12">
        <v>100</v>
      </c>
      <c r="L494" s="12">
        <v>100</v>
      </c>
      <c r="M494" s="12">
        <v>100</v>
      </c>
      <c r="N494" s="12">
        <v>50</v>
      </c>
      <c r="O494" s="30">
        <v>50</v>
      </c>
      <c r="P494" s="31"/>
      <c r="Q494" s="11">
        <v>700</v>
      </c>
      <c r="S494" t="str">
        <f t="shared" si="7"/>
        <v>Dr. B.B. Hegde First Grade College, Kundapura, Udupi.</v>
      </c>
    </row>
    <row r="495" spans="5:19">
      <c r="E495" s="32" t="s">
        <v>399</v>
      </c>
      <c r="F495" s="31"/>
      <c r="G495" s="11" t="s">
        <v>65</v>
      </c>
      <c r="H495" s="12" t="s">
        <v>71</v>
      </c>
      <c r="I495" s="12" t="s">
        <v>88</v>
      </c>
      <c r="J495" s="12" t="s">
        <v>71</v>
      </c>
      <c r="K495" s="12" t="s">
        <v>67</v>
      </c>
      <c r="L495" s="12" t="s">
        <v>71</v>
      </c>
      <c r="M495" s="12" t="s">
        <v>88</v>
      </c>
      <c r="N495" s="12" t="s">
        <v>88</v>
      </c>
      <c r="O495" s="30" t="s">
        <v>71</v>
      </c>
      <c r="P495" s="31"/>
      <c r="Q495" s="11" t="s">
        <v>37</v>
      </c>
      <c r="S495" t="str">
        <f t="shared" si="7"/>
        <v>00034</v>
      </c>
    </row>
    <row r="496" spans="5:19">
      <c r="E496" s="15" t="s">
        <v>72</v>
      </c>
      <c r="F496" s="15" t="s">
        <v>400</v>
      </c>
      <c r="G496" s="11" t="s">
        <v>74</v>
      </c>
      <c r="H496" s="12" t="s">
        <v>75</v>
      </c>
      <c r="I496" s="12" t="s">
        <v>75</v>
      </c>
      <c r="J496" s="12" t="s">
        <v>75</v>
      </c>
      <c r="K496" s="12" t="s">
        <v>75</v>
      </c>
      <c r="L496" s="12" t="s">
        <v>75</v>
      </c>
      <c r="M496" s="12" t="s">
        <v>75</v>
      </c>
      <c r="N496" s="12" t="s">
        <v>75</v>
      </c>
      <c r="O496" s="30" t="s">
        <v>75</v>
      </c>
      <c r="P496" s="31"/>
      <c r="Q496" s="11" t="s">
        <v>37</v>
      </c>
      <c r="S496" t="str">
        <f t="shared" si="7"/>
        <v>USN</v>
      </c>
    </row>
    <row r="497" spans="5:19">
      <c r="E497" s="16" t="s">
        <v>37</v>
      </c>
      <c r="F497" s="16" t="s">
        <v>37</v>
      </c>
      <c r="G497" s="16" t="s">
        <v>37</v>
      </c>
      <c r="H497" s="17" t="s">
        <v>37</v>
      </c>
      <c r="I497" s="17" t="s">
        <v>37</v>
      </c>
      <c r="J497" s="17" t="s">
        <v>37</v>
      </c>
      <c r="K497" s="17" t="s">
        <v>37</v>
      </c>
      <c r="L497" s="17" t="s">
        <v>37</v>
      </c>
      <c r="M497" s="17" t="s">
        <v>37</v>
      </c>
      <c r="N497" s="17" t="s">
        <v>37</v>
      </c>
      <c r="O497" s="41" t="s">
        <v>37</v>
      </c>
      <c r="P497" s="28"/>
      <c r="Q497" s="17" t="s">
        <v>37</v>
      </c>
      <c r="S497" t="str">
        <f t="shared" si="7"/>
        <v>SAI CHARAN J S</v>
      </c>
    </row>
    <row r="498" spans="5:19" ht="0" hidden="1" customHeight="1">
      <c r="S498">
        <f t="shared" si="7"/>
        <v>0</v>
      </c>
    </row>
    <row r="499" spans="5:19" ht="0.6" customHeight="1">
      <c r="S499">
        <f t="shared" si="7"/>
        <v>0</v>
      </c>
    </row>
    <row r="500" spans="5:19">
      <c r="E500" s="38" t="s">
        <v>35</v>
      </c>
      <c r="F500" s="31"/>
      <c r="G500" s="4" t="s">
        <v>36</v>
      </c>
      <c r="H500" s="6" t="s">
        <v>37</v>
      </c>
      <c r="I500" s="6" t="s">
        <v>37</v>
      </c>
      <c r="J500" s="6" t="s">
        <v>37</v>
      </c>
      <c r="K500" s="6" t="s">
        <v>37</v>
      </c>
      <c r="L500" s="6" t="s">
        <v>37</v>
      </c>
      <c r="M500" s="6" t="s">
        <v>37</v>
      </c>
      <c r="N500" s="6" t="s">
        <v>37</v>
      </c>
      <c r="O500" s="39" t="s">
        <v>37</v>
      </c>
      <c r="P500" s="28"/>
      <c r="Q500" s="6" t="s">
        <v>37</v>
      </c>
      <c r="S500" t="str">
        <f t="shared" si="7"/>
        <v>SGPA</v>
      </c>
    </row>
    <row r="501" spans="5:19" ht="21">
      <c r="E501" s="32" t="s">
        <v>401</v>
      </c>
      <c r="F501" s="31"/>
      <c r="G501" s="8" t="s">
        <v>39</v>
      </c>
      <c r="H501" s="8" t="s">
        <v>19</v>
      </c>
      <c r="I501" s="8" t="s">
        <v>9</v>
      </c>
      <c r="J501" s="8" t="s">
        <v>21</v>
      </c>
      <c r="K501" s="8" t="s">
        <v>11</v>
      </c>
      <c r="L501" s="8" t="s">
        <v>17</v>
      </c>
      <c r="M501" s="8" t="s">
        <v>27</v>
      </c>
      <c r="N501" s="8" t="s">
        <v>7</v>
      </c>
      <c r="O501" s="40" t="s">
        <v>33</v>
      </c>
      <c r="P501" s="31"/>
      <c r="Q501" s="8" t="s">
        <v>40</v>
      </c>
      <c r="S501" t="str">
        <f t="shared" si="7"/>
        <v>CGPA</v>
      </c>
    </row>
    <row r="502" spans="5:19" ht="22.5">
      <c r="E502" s="13" t="s">
        <v>41</v>
      </c>
      <c r="F502" s="13" t="s">
        <v>402</v>
      </c>
      <c r="G502" s="11" t="s">
        <v>43</v>
      </c>
      <c r="H502" s="12" t="s">
        <v>268</v>
      </c>
      <c r="I502" s="12" t="s">
        <v>403</v>
      </c>
      <c r="J502" s="12" t="s">
        <v>404</v>
      </c>
      <c r="K502" s="12" t="s">
        <v>405</v>
      </c>
      <c r="L502" s="12" t="s">
        <v>406</v>
      </c>
      <c r="M502" s="12" t="s">
        <v>407</v>
      </c>
      <c r="N502" s="12" t="s">
        <v>408</v>
      </c>
      <c r="O502" s="30" t="s">
        <v>51</v>
      </c>
      <c r="P502" s="31"/>
      <c r="Q502" s="11" t="s">
        <v>37</v>
      </c>
      <c r="S502" t="str">
        <f t="shared" si="7"/>
        <v>Result: PASS</v>
      </c>
    </row>
    <row r="503" spans="5:19">
      <c r="E503" s="32" t="s">
        <v>409</v>
      </c>
      <c r="F503" s="33"/>
      <c r="G503" s="11" t="s">
        <v>53</v>
      </c>
      <c r="H503" s="12" t="s">
        <v>51</v>
      </c>
      <c r="I503" s="12" t="s">
        <v>51</v>
      </c>
      <c r="J503" s="12" t="s">
        <v>51</v>
      </c>
      <c r="K503" s="12" t="s">
        <v>51</v>
      </c>
      <c r="L503" s="12" t="s">
        <v>51</v>
      </c>
      <c r="M503" s="12" t="s">
        <v>51</v>
      </c>
      <c r="N503" s="12" t="s">
        <v>51</v>
      </c>
      <c r="O503" s="30" t="s">
        <v>125</v>
      </c>
      <c r="P503" s="31"/>
      <c r="Q503" s="11" t="s">
        <v>37</v>
      </c>
      <c r="S503" t="str">
        <f t="shared" si="7"/>
        <v>Class</v>
      </c>
    </row>
    <row r="504" spans="5:19">
      <c r="E504" s="34"/>
      <c r="F504" s="35"/>
      <c r="G504" s="11" t="s">
        <v>55</v>
      </c>
      <c r="H504" s="12" t="s">
        <v>37</v>
      </c>
      <c r="I504" s="12" t="s">
        <v>37</v>
      </c>
      <c r="J504" s="12">
        <v>5</v>
      </c>
      <c r="K504" s="12" t="s">
        <v>37</v>
      </c>
      <c r="L504" s="12" t="s">
        <v>37</v>
      </c>
      <c r="M504" s="12" t="s">
        <v>37</v>
      </c>
      <c r="N504" s="12" t="s">
        <v>37</v>
      </c>
      <c r="O504" s="30" t="s">
        <v>37</v>
      </c>
      <c r="P504" s="31"/>
      <c r="Q504" s="11">
        <v>5</v>
      </c>
      <c r="S504" t="str">
        <f t="shared" si="7"/>
        <v>Term Grade: AB+</v>
      </c>
    </row>
    <row r="505" spans="5:19">
      <c r="E505" s="36"/>
      <c r="F505" s="37"/>
      <c r="G505" s="11" t="s">
        <v>56</v>
      </c>
      <c r="H505" s="12">
        <v>4</v>
      </c>
      <c r="I505" s="12">
        <v>4</v>
      </c>
      <c r="J505" s="12">
        <v>4</v>
      </c>
      <c r="K505" s="12">
        <v>3</v>
      </c>
      <c r="L505" s="12">
        <v>3</v>
      </c>
      <c r="M505" s="12">
        <v>3</v>
      </c>
      <c r="N505" s="12">
        <v>2</v>
      </c>
      <c r="O505" s="30">
        <v>2</v>
      </c>
      <c r="P505" s="31"/>
      <c r="Q505" s="11">
        <v>25</v>
      </c>
      <c r="S505" t="str">
        <f t="shared" si="7"/>
        <v>M.C.No</v>
      </c>
    </row>
    <row r="506" spans="5:19">
      <c r="E506" s="13" t="s">
        <v>57</v>
      </c>
      <c r="F506" s="13">
        <v>6.88</v>
      </c>
      <c r="G506" s="11" t="s">
        <v>58</v>
      </c>
      <c r="H506" s="12">
        <v>6.5</v>
      </c>
      <c r="I506" s="12">
        <v>8</v>
      </c>
      <c r="J506" s="12">
        <v>5.5</v>
      </c>
      <c r="K506" s="12">
        <v>6.5</v>
      </c>
      <c r="L506" s="12">
        <v>5</v>
      </c>
      <c r="M506" s="12">
        <v>6.5</v>
      </c>
      <c r="N506" s="12">
        <v>9.5</v>
      </c>
      <c r="O506" s="30">
        <v>9.5</v>
      </c>
      <c r="P506" s="31"/>
      <c r="Q506" s="11" t="s">
        <v>37</v>
      </c>
      <c r="S506" t="str">
        <f t="shared" si="7"/>
        <v/>
      </c>
    </row>
    <row r="507" spans="5:19">
      <c r="E507" s="13" t="s">
        <v>59</v>
      </c>
      <c r="F507" s="14">
        <v>6.88</v>
      </c>
      <c r="G507" s="11" t="s">
        <v>60</v>
      </c>
      <c r="H507" s="12">
        <v>26</v>
      </c>
      <c r="I507" s="12">
        <v>32</v>
      </c>
      <c r="J507" s="12">
        <v>22</v>
      </c>
      <c r="K507" s="12">
        <v>19.5</v>
      </c>
      <c r="L507" s="12">
        <v>15</v>
      </c>
      <c r="M507" s="12">
        <v>19.5</v>
      </c>
      <c r="N507" s="12">
        <v>19</v>
      </c>
      <c r="O507" s="30">
        <v>19</v>
      </c>
      <c r="P507" s="31"/>
      <c r="Q507" s="11">
        <v>172</v>
      </c>
      <c r="S507">
        <f t="shared" si="7"/>
        <v>0</v>
      </c>
    </row>
    <row r="508" spans="5:19">
      <c r="E508" s="32" t="s">
        <v>61</v>
      </c>
      <c r="F508" s="31"/>
      <c r="G508" s="11" t="s">
        <v>40</v>
      </c>
      <c r="H508" s="12">
        <v>60</v>
      </c>
      <c r="I508" s="12">
        <v>75</v>
      </c>
      <c r="J508" s="12">
        <v>51</v>
      </c>
      <c r="K508" s="12">
        <v>64</v>
      </c>
      <c r="L508" s="12">
        <v>48</v>
      </c>
      <c r="M508" s="12">
        <v>62</v>
      </c>
      <c r="N508" s="12">
        <v>46</v>
      </c>
      <c r="O508" s="30">
        <v>46</v>
      </c>
      <c r="P508" s="31"/>
      <c r="Q508" s="11">
        <v>452</v>
      </c>
      <c r="S508">
        <f t="shared" si="7"/>
        <v>0</v>
      </c>
    </row>
    <row r="509" spans="5:19">
      <c r="E509" s="13" t="s">
        <v>62</v>
      </c>
      <c r="F509" s="13"/>
      <c r="G509" s="11" t="s">
        <v>63</v>
      </c>
      <c r="H509" s="12">
        <v>100</v>
      </c>
      <c r="I509" s="12">
        <v>100</v>
      </c>
      <c r="J509" s="12">
        <v>100</v>
      </c>
      <c r="K509" s="12">
        <v>100</v>
      </c>
      <c r="L509" s="12">
        <v>100</v>
      </c>
      <c r="M509" s="12">
        <v>100</v>
      </c>
      <c r="N509" s="12">
        <v>50</v>
      </c>
      <c r="O509" s="30">
        <v>50</v>
      </c>
      <c r="P509" s="31"/>
      <c r="Q509" s="11">
        <v>700</v>
      </c>
      <c r="S509" t="str">
        <f t="shared" si="7"/>
        <v>Dr. B.B. Hegde First Grade College, Kundapura, Udupi.</v>
      </c>
    </row>
    <row r="510" spans="5:19">
      <c r="E510" s="32" t="s">
        <v>126</v>
      </c>
      <c r="F510" s="31"/>
      <c r="G510" s="11" t="s">
        <v>65</v>
      </c>
      <c r="H510" s="12" t="s">
        <v>69</v>
      </c>
      <c r="I510" s="12" t="s">
        <v>102</v>
      </c>
      <c r="J510" s="12" t="s">
        <v>138</v>
      </c>
      <c r="K510" s="12" t="s">
        <v>69</v>
      </c>
      <c r="L510" s="12" t="s">
        <v>127</v>
      </c>
      <c r="M510" s="12" t="s">
        <v>69</v>
      </c>
      <c r="N510" s="12" t="s">
        <v>71</v>
      </c>
      <c r="O510" s="30" t="s">
        <v>71</v>
      </c>
      <c r="P510" s="31"/>
      <c r="Q510" s="11" t="s">
        <v>37</v>
      </c>
      <c r="S510" t="str">
        <f t="shared" si="7"/>
        <v>00035</v>
      </c>
    </row>
    <row r="511" spans="5:19">
      <c r="E511" s="15" t="s">
        <v>72</v>
      </c>
      <c r="F511" s="15" t="s">
        <v>410</v>
      </c>
      <c r="G511" s="11" t="s">
        <v>74</v>
      </c>
      <c r="H511" s="12" t="s">
        <v>75</v>
      </c>
      <c r="I511" s="12" t="s">
        <v>75</v>
      </c>
      <c r="J511" s="12" t="s">
        <v>75</v>
      </c>
      <c r="K511" s="12" t="s">
        <v>75</v>
      </c>
      <c r="L511" s="12" t="s">
        <v>75</v>
      </c>
      <c r="M511" s="12" t="s">
        <v>75</v>
      </c>
      <c r="N511" s="12" t="s">
        <v>75</v>
      </c>
      <c r="O511" s="30" t="s">
        <v>75</v>
      </c>
      <c r="P511" s="31"/>
      <c r="Q511" s="11" t="s">
        <v>37</v>
      </c>
      <c r="S511" t="str">
        <f t="shared" si="7"/>
        <v>USN</v>
      </c>
    </row>
    <row r="512" spans="5:19">
      <c r="E512" s="16" t="s">
        <v>37</v>
      </c>
      <c r="F512" s="16" t="s">
        <v>37</v>
      </c>
      <c r="G512" s="16" t="s">
        <v>37</v>
      </c>
      <c r="H512" s="17" t="s">
        <v>37</v>
      </c>
      <c r="I512" s="17" t="s">
        <v>37</v>
      </c>
      <c r="J512" s="17" t="s">
        <v>37</v>
      </c>
      <c r="K512" s="17" t="s">
        <v>37</v>
      </c>
      <c r="L512" s="17" t="s">
        <v>37</v>
      </c>
      <c r="M512" s="17" t="s">
        <v>37</v>
      </c>
      <c r="N512" s="17" t="s">
        <v>37</v>
      </c>
      <c r="O512" s="41" t="s">
        <v>37</v>
      </c>
      <c r="P512" s="28"/>
      <c r="Q512" s="17" t="s">
        <v>37</v>
      </c>
      <c r="S512" t="str">
        <f t="shared" si="7"/>
        <v>NITHESH</v>
      </c>
    </row>
    <row r="513" spans="5:19" ht="0" hidden="1" customHeight="1">
      <c r="S513">
        <f t="shared" si="7"/>
        <v>0</v>
      </c>
    </row>
    <row r="514" spans="5:19" ht="0.6" customHeight="1">
      <c r="S514">
        <f t="shared" si="7"/>
        <v>0</v>
      </c>
    </row>
    <row r="515" spans="5:19">
      <c r="E515" s="38" t="s">
        <v>35</v>
      </c>
      <c r="F515" s="31"/>
      <c r="G515" s="4" t="s">
        <v>36</v>
      </c>
      <c r="H515" s="6" t="s">
        <v>37</v>
      </c>
      <c r="I515" s="6" t="s">
        <v>37</v>
      </c>
      <c r="J515" s="6" t="s">
        <v>37</v>
      </c>
      <c r="K515" s="6" t="s">
        <v>37</v>
      </c>
      <c r="L515" s="6" t="s">
        <v>37</v>
      </c>
      <c r="M515" s="6" t="s">
        <v>37</v>
      </c>
      <c r="N515" s="6" t="s">
        <v>37</v>
      </c>
      <c r="O515" s="39" t="s">
        <v>37</v>
      </c>
      <c r="P515" s="28"/>
      <c r="Q515" s="6" t="s">
        <v>37</v>
      </c>
      <c r="S515" t="str">
        <f t="shared" si="7"/>
        <v>SGPA</v>
      </c>
    </row>
    <row r="516" spans="5:19" ht="21">
      <c r="E516" s="32" t="s">
        <v>411</v>
      </c>
      <c r="F516" s="31"/>
      <c r="G516" s="8" t="s">
        <v>39</v>
      </c>
      <c r="H516" s="8" t="s">
        <v>19</v>
      </c>
      <c r="I516" s="8" t="s">
        <v>9</v>
      </c>
      <c r="J516" s="8" t="s">
        <v>21</v>
      </c>
      <c r="K516" s="8" t="s">
        <v>11</v>
      </c>
      <c r="L516" s="8" t="s">
        <v>17</v>
      </c>
      <c r="M516" s="8" t="s">
        <v>27</v>
      </c>
      <c r="N516" s="8" t="s">
        <v>7</v>
      </c>
      <c r="O516" s="40" t="s">
        <v>29</v>
      </c>
      <c r="P516" s="31"/>
      <c r="Q516" s="8" t="s">
        <v>40</v>
      </c>
      <c r="S516" t="str">
        <f t="shared" si="7"/>
        <v>CGPA</v>
      </c>
    </row>
    <row r="517" spans="5:19" ht="22.5">
      <c r="E517" s="13" t="s">
        <v>41</v>
      </c>
      <c r="F517" s="13" t="s">
        <v>412</v>
      </c>
      <c r="G517" s="11" t="s">
        <v>43</v>
      </c>
      <c r="H517" s="12" t="s">
        <v>413</v>
      </c>
      <c r="I517" s="12" t="s">
        <v>414</v>
      </c>
      <c r="J517" s="12" t="s">
        <v>415</v>
      </c>
      <c r="K517" s="12" t="s">
        <v>297</v>
      </c>
      <c r="L517" s="12" t="s">
        <v>416</v>
      </c>
      <c r="M517" s="12" t="s">
        <v>417</v>
      </c>
      <c r="N517" s="12" t="s">
        <v>418</v>
      </c>
      <c r="O517" s="30" t="s">
        <v>51</v>
      </c>
      <c r="P517" s="31"/>
      <c r="Q517" s="11" t="s">
        <v>37</v>
      </c>
      <c r="S517" t="str">
        <f t="shared" si="7"/>
        <v>Result: FAIL</v>
      </c>
    </row>
    <row r="518" spans="5:19">
      <c r="E518" s="32" t="s">
        <v>419</v>
      </c>
      <c r="F518" s="33"/>
      <c r="G518" s="11" t="s">
        <v>53</v>
      </c>
      <c r="H518" s="12" t="s">
        <v>51</v>
      </c>
      <c r="I518" s="12" t="s">
        <v>51</v>
      </c>
      <c r="J518" s="12" t="s">
        <v>51</v>
      </c>
      <c r="K518" s="12" t="s">
        <v>51</v>
      </c>
      <c r="L518" s="12" t="s">
        <v>51</v>
      </c>
      <c r="M518" s="12" t="s">
        <v>51</v>
      </c>
      <c r="N518" s="12" t="s">
        <v>51</v>
      </c>
      <c r="O518" s="30" t="s">
        <v>178</v>
      </c>
      <c r="P518" s="31"/>
      <c r="Q518" s="11" t="s">
        <v>37</v>
      </c>
      <c r="S518" t="str">
        <f t="shared" si="7"/>
        <v>Class</v>
      </c>
    </row>
    <row r="519" spans="5:19">
      <c r="E519" s="34"/>
      <c r="F519" s="35"/>
      <c r="G519" s="11" t="s">
        <v>55</v>
      </c>
      <c r="H519" s="12" t="s">
        <v>37</v>
      </c>
      <c r="I519" s="12" t="s">
        <v>37</v>
      </c>
      <c r="J519" s="12" t="s">
        <v>37</v>
      </c>
      <c r="K519" s="12" t="s">
        <v>37</v>
      </c>
      <c r="L519" s="12" t="s">
        <v>37</v>
      </c>
      <c r="M519" s="12" t="s">
        <v>37</v>
      </c>
      <c r="N519" s="12" t="s">
        <v>37</v>
      </c>
      <c r="O519" s="30" t="s">
        <v>37</v>
      </c>
      <c r="P519" s="31"/>
      <c r="Q519" s="11">
        <v>0</v>
      </c>
      <c r="S519" t="str">
        <f t="shared" si="7"/>
        <v>Term Grade: BB</v>
      </c>
    </row>
    <row r="520" spans="5:19">
      <c r="E520" s="36"/>
      <c r="F520" s="37"/>
      <c r="G520" s="11" t="s">
        <v>56</v>
      </c>
      <c r="H520" s="12">
        <v>4</v>
      </c>
      <c r="I520" s="12">
        <v>4</v>
      </c>
      <c r="J520" s="12">
        <v>4</v>
      </c>
      <c r="K520" s="12">
        <v>3</v>
      </c>
      <c r="L520" s="12">
        <v>3</v>
      </c>
      <c r="M520" s="12">
        <v>3</v>
      </c>
      <c r="N520" s="12">
        <v>2</v>
      </c>
      <c r="O520" s="30">
        <v>2</v>
      </c>
      <c r="P520" s="31"/>
      <c r="Q520" s="11">
        <v>21</v>
      </c>
      <c r="S520" t="str">
        <f t="shared" si="7"/>
        <v>M.C.No</v>
      </c>
    </row>
    <row r="521" spans="5:19">
      <c r="E521" s="13" t="s">
        <v>57</v>
      </c>
      <c r="F521" s="13">
        <v>5.3</v>
      </c>
      <c r="G521" s="11" t="s">
        <v>58</v>
      </c>
      <c r="H521" s="12">
        <v>5.5</v>
      </c>
      <c r="I521" s="12">
        <v>6.5</v>
      </c>
      <c r="J521" s="12"/>
      <c r="K521" s="12">
        <v>4.5</v>
      </c>
      <c r="L521" s="12">
        <v>6</v>
      </c>
      <c r="M521" s="12">
        <v>7</v>
      </c>
      <c r="N521" s="12">
        <v>6.5</v>
      </c>
      <c r="O521" s="30">
        <v>9.5</v>
      </c>
      <c r="P521" s="31"/>
      <c r="Q521" s="11" t="s">
        <v>37</v>
      </c>
      <c r="S521" t="str">
        <f t="shared" si="7"/>
        <v/>
      </c>
    </row>
    <row r="522" spans="5:19">
      <c r="E522" s="13" t="s">
        <v>59</v>
      </c>
      <c r="F522" s="13"/>
      <c r="G522" s="11" t="s">
        <v>60</v>
      </c>
      <c r="H522" s="12">
        <v>22</v>
      </c>
      <c r="I522" s="12">
        <v>26</v>
      </c>
      <c r="J522" s="12"/>
      <c r="K522" s="12">
        <v>13.5</v>
      </c>
      <c r="L522" s="12">
        <v>18</v>
      </c>
      <c r="M522" s="12">
        <v>21</v>
      </c>
      <c r="N522" s="12">
        <v>13</v>
      </c>
      <c r="O522" s="30">
        <v>19</v>
      </c>
      <c r="P522" s="31"/>
      <c r="Q522" s="11">
        <v>132.5</v>
      </c>
      <c r="S522">
        <f t="shared" si="7"/>
        <v>0</v>
      </c>
    </row>
    <row r="523" spans="5:19">
      <c r="E523" s="32" t="s">
        <v>260</v>
      </c>
      <c r="F523" s="31"/>
      <c r="G523" s="11" t="s">
        <v>40</v>
      </c>
      <c r="H523" s="12">
        <v>52</v>
      </c>
      <c r="I523" s="12">
        <v>62</v>
      </c>
      <c r="J523" s="12">
        <v>22</v>
      </c>
      <c r="K523" s="12">
        <v>44</v>
      </c>
      <c r="L523" s="12">
        <v>59</v>
      </c>
      <c r="M523" s="12">
        <v>68</v>
      </c>
      <c r="N523" s="12">
        <v>31</v>
      </c>
      <c r="O523" s="30">
        <v>47</v>
      </c>
      <c r="P523" s="31"/>
      <c r="Q523" s="11">
        <v>385</v>
      </c>
      <c r="S523">
        <f t="shared" si="7"/>
        <v>0</v>
      </c>
    </row>
    <row r="524" spans="5:19">
      <c r="E524" s="13" t="s">
        <v>62</v>
      </c>
      <c r="F524" s="13"/>
      <c r="G524" s="11" t="s">
        <v>63</v>
      </c>
      <c r="H524" s="12">
        <v>100</v>
      </c>
      <c r="I524" s="12">
        <v>100</v>
      </c>
      <c r="J524" s="12">
        <v>100</v>
      </c>
      <c r="K524" s="12">
        <v>100</v>
      </c>
      <c r="L524" s="12">
        <v>100</v>
      </c>
      <c r="M524" s="12">
        <v>100</v>
      </c>
      <c r="N524" s="12">
        <v>50</v>
      </c>
      <c r="O524" s="30">
        <v>50</v>
      </c>
      <c r="P524" s="31"/>
      <c r="Q524" s="11">
        <v>700</v>
      </c>
      <c r="S524" t="str">
        <f t="shared" ref="S524:S587" si="8">$E530</f>
        <v>Dr. B.B. Hegde First Grade College, Kundapura, Udupi.</v>
      </c>
    </row>
    <row r="525" spans="5:19">
      <c r="E525" s="32" t="s">
        <v>339</v>
      </c>
      <c r="F525" s="31"/>
      <c r="G525" s="11" t="s">
        <v>65</v>
      </c>
      <c r="H525" s="12" t="s">
        <v>138</v>
      </c>
      <c r="I525" s="12" t="s">
        <v>69</v>
      </c>
      <c r="J525" s="12"/>
      <c r="K525" s="12" t="s">
        <v>303</v>
      </c>
      <c r="L525" s="12" t="s">
        <v>103</v>
      </c>
      <c r="M525" s="12" t="s">
        <v>66</v>
      </c>
      <c r="N525" s="12" t="s">
        <v>69</v>
      </c>
      <c r="O525" s="30" t="s">
        <v>71</v>
      </c>
      <c r="P525" s="31"/>
      <c r="Q525" s="11" t="s">
        <v>37</v>
      </c>
      <c r="S525" t="str">
        <f t="shared" si="8"/>
        <v>00036</v>
      </c>
    </row>
    <row r="526" spans="5:19">
      <c r="E526" s="15" t="s">
        <v>72</v>
      </c>
      <c r="F526" s="15" t="s">
        <v>420</v>
      </c>
      <c r="G526" s="11" t="s">
        <v>74</v>
      </c>
      <c r="H526" s="12" t="s">
        <v>75</v>
      </c>
      <c r="I526" s="12" t="s">
        <v>75</v>
      </c>
      <c r="J526" s="12" t="s">
        <v>263</v>
      </c>
      <c r="K526" s="12" t="s">
        <v>75</v>
      </c>
      <c r="L526" s="12" t="s">
        <v>75</v>
      </c>
      <c r="M526" s="12" t="s">
        <v>75</v>
      </c>
      <c r="N526" s="12" t="s">
        <v>75</v>
      </c>
      <c r="O526" s="30" t="s">
        <v>75</v>
      </c>
      <c r="P526" s="31"/>
      <c r="Q526" s="11" t="s">
        <v>37</v>
      </c>
      <c r="S526" t="str">
        <f t="shared" si="8"/>
        <v>USN</v>
      </c>
    </row>
    <row r="527" spans="5:19">
      <c r="E527" s="16" t="s">
        <v>37</v>
      </c>
      <c r="F527" s="16" t="s">
        <v>37</v>
      </c>
      <c r="G527" s="16" t="s">
        <v>37</v>
      </c>
      <c r="H527" s="17" t="s">
        <v>37</v>
      </c>
      <c r="I527" s="17" t="s">
        <v>37</v>
      </c>
      <c r="J527" s="17" t="s">
        <v>37</v>
      </c>
      <c r="K527" s="17" t="s">
        <v>37</v>
      </c>
      <c r="L527" s="17" t="s">
        <v>37</v>
      </c>
      <c r="M527" s="17" t="s">
        <v>37</v>
      </c>
      <c r="N527" s="17" t="s">
        <v>37</v>
      </c>
      <c r="O527" s="41" t="s">
        <v>37</v>
      </c>
      <c r="P527" s="28"/>
      <c r="Q527" s="17" t="s">
        <v>37</v>
      </c>
      <c r="S527" t="str">
        <f t="shared" si="8"/>
        <v>RASHMITHA NARAYANA THOLAR</v>
      </c>
    </row>
    <row r="528" spans="5:19" ht="0" hidden="1" customHeight="1">
      <c r="S528">
        <f t="shared" si="8"/>
        <v>0</v>
      </c>
    </row>
    <row r="529" spans="5:19" ht="0.6" customHeight="1">
      <c r="S529">
        <f t="shared" si="8"/>
        <v>0</v>
      </c>
    </row>
    <row r="530" spans="5:19">
      <c r="E530" s="38" t="s">
        <v>35</v>
      </c>
      <c r="F530" s="31"/>
      <c r="G530" s="4" t="s">
        <v>36</v>
      </c>
      <c r="H530" s="6" t="s">
        <v>37</v>
      </c>
      <c r="I530" s="6" t="s">
        <v>37</v>
      </c>
      <c r="J530" s="6" t="s">
        <v>37</v>
      </c>
      <c r="K530" s="6" t="s">
        <v>37</v>
      </c>
      <c r="L530" s="6" t="s">
        <v>37</v>
      </c>
      <c r="M530" s="6" t="s">
        <v>37</v>
      </c>
      <c r="N530" s="6" t="s">
        <v>37</v>
      </c>
      <c r="O530" s="39" t="s">
        <v>37</v>
      </c>
      <c r="P530" s="28"/>
      <c r="Q530" s="6" t="s">
        <v>37</v>
      </c>
      <c r="S530" t="str">
        <f t="shared" si="8"/>
        <v>SGPA</v>
      </c>
    </row>
    <row r="531" spans="5:19" ht="21">
      <c r="E531" s="32" t="s">
        <v>421</v>
      </c>
      <c r="F531" s="31"/>
      <c r="G531" s="8" t="s">
        <v>39</v>
      </c>
      <c r="H531" s="8" t="s">
        <v>19</v>
      </c>
      <c r="I531" s="8" t="s">
        <v>9</v>
      </c>
      <c r="J531" s="8" t="s">
        <v>21</v>
      </c>
      <c r="K531" s="8" t="s">
        <v>11</v>
      </c>
      <c r="L531" s="8" t="s">
        <v>17</v>
      </c>
      <c r="M531" s="8" t="s">
        <v>27</v>
      </c>
      <c r="N531" s="8" t="s">
        <v>7</v>
      </c>
      <c r="O531" s="40" t="s">
        <v>25</v>
      </c>
      <c r="P531" s="31"/>
      <c r="Q531" s="8" t="s">
        <v>40</v>
      </c>
      <c r="S531" t="str">
        <f t="shared" si="8"/>
        <v>CGPA</v>
      </c>
    </row>
    <row r="532" spans="5:19" ht="22.5">
      <c r="E532" s="13" t="s">
        <v>41</v>
      </c>
      <c r="F532" s="13" t="s">
        <v>422</v>
      </c>
      <c r="G532" s="11" t="s">
        <v>43</v>
      </c>
      <c r="H532" s="12" t="s">
        <v>423</v>
      </c>
      <c r="I532" s="12" t="s">
        <v>424</v>
      </c>
      <c r="J532" s="12" t="s">
        <v>425</v>
      </c>
      <c r="K532" s="12" t="s">
        <v>92</v>
      </c>
      <c r="L532" s="12" t="s">
        <v>426</v>
      </c>
      <c r="M532" s="12" t="s">
        <v>427</v>
      </c>
      <c r="N532" s="12" t="s">
        <v>84</v>
      </c>
      <c r="O532" s="30" t="s">
        <v>51</v>
      </c>
      <c r="P532" s="31"/>
      <c r="Q532" s="11" t="s">
        <v>37</v>
      </c>
      <c r="S532" t="str">
        <f t="shared" si="8"/>
        <v>Result: PASS</v>
      </c>
    </row>
    <row r="533" spans="5:19">
      <c r="E533" s="32" t="s">
        <v>428</v>
      </c>
      <c r="F533" s="33"/>
      <c r="G533" s="11" t="s">
        <v>53</v>
      </c>
      <c r="H533" s="12" t="s">
        <v>51</v>
      </c>
      <c r="I533" s="12" t="s">
        <v>51</v>
      </c>
      <c r="J533" s="12" t="s">
        <v>51</v>
      </c>
      <c r="K533" s="12" t="s">
        <v>51</v>
      </c>
      <c r="L533" s="12" t="s">
        <v>51</v>
      </c>
      <c r="M533" s="12" t="s">
        <v>51</v>
      </c>
      <c r="N533" s="12" t="s">
        <v>51</v>
      </c>
      <c r="O533" s="30" t="s">
        <v>54</v>
      </c>
      <c r="P533" s="31"/>
      <c r="Q533" s="11" t="s">
        <v>37</v>
      </c>
      <c r="S533" t="str">
        <f t="shared" si="8"/>
        <v>Class</v>
      </c>
    </row>
    <row r="534" spans="5:19">
      <c r="E534" s="34"/>
      <c r="F534" s="35"/>
      <c r="G534" s="11" t="s">
        <v>55</v>
      </c>
      <c r="H534" s="12" t="s">
        <v>37</v>
      </c>
      <c r="I534" s="12" t="s">
        <v>37</v>
      </c>
      <c r="J534" s="12" t="s">
        <v>37</v>
      </c>
      <c r="K534" s="12" t="s">
        <v>37</v>
      </c>
      <c r="L534" s="12" t="s">
        <v>37</v>
      </c>
      <c r="M534" s="12" t="s">
        <v>37</v>
      </c>
      <c r="N534" s="12" t="s">
        <v>37</v>
      </c>
      <c r="O534" s="30" t="s">
        <v>37</v>
      </c>
      <c r="P534" s="31"/>
      <c r="Q534" s="11">
        <v>0</v>
      </c>
      <c r="S534" t="str">
        <f t="shared" si="8"/>
        <v>Term Grade: OA+</v>
      </c>
    </row>
    <row r="535" spans="5:19">
      <c r="E535" s="36"/>
      <c r="F535" s="37"/>
      <c r="G535" s="11" t="s">
        <v>56</v>
      </c>
      <c r="H535" s="12">
        <v>4</v>
      </c>
      <c r="I535" s="12">
        <v>4</v>
      </c>
      <c r="J535" s="12">
        <v>4</v>
      </c>
      <c r="K535" s="12">
        <v>3</v>
      </c>
      <c r="L535" s="12">
        <v>3</v>
      </c>
      <c r="M535" s="12">
        <v>3</v>
      </c>
      <c r="N535" s="12">
        <v>2</v>
      </c>
      <c r="O535" s="30">
        <v>2</v>
      </c>
      <c r="P535" s="31"/>
      <c r="Q535" s="11">
        <v>25</v>
      </c>
      <c r="S535" t="str">
        <f t="shared" si="8"/>
        <v>M.C.No</v>
      </c>
    </row>
    <row r="536" spans="5:19">
      <c r="E536" s="13" t="s">
        <v>57</v>
      </c>
      <c r="F536" s="13">
        <v>8.5399999999999991</v>
      </c>
      <c r="G536" s="11" t="s">
        <v>58</v>
      </c>
      <c r="H536" s="12">
        <v>8</v>
      </c>
      <c r="I536" s="12">
        <v>8.5</v>
      </c>
      <c r="J536" s="12">
        <v>8</v>
      </c>
      <c r="K536" s="12">
        <v>7.5</v>
      </c>
      <c r="L536" s="12">
        <v>9</v>
      </c>
      <c r="M536" s="12">
        <v>9</v>
      </c>
      <c r="N536" s="12">
        <v>10</v>
      </c>
      <c r="O536" s="30">
        <v>9.5</v>
      </c>
      <c r="P536" s="31"/>
      <c r="Q536" s="11" t="s">
        <v>37</v>
      </c>
      <c r="S536" t="str">
        <f t="shared" si="8"/>
        <v/>
      </c>
    </row>
    <row r="537" spans="5:19">
      <c r="E537" s="13" t="s">
        <v>59</v>
      </c>
      <c r="F537" s="14">
        <v>8.5399999999999991</v>
      </c>
      <c r="G537" s="11" t="s">
        <v>60</v>
      </c>
      <c r="H537" s="12">
        <v>32</v>
      </c>
      <c r="I537" s="12">
        <v>34</v>
      </c>
      <c r="J537" s="12">
        <v>32</v>
      </c>
      <c r="K537" s="12">
        <v>22.5</v>
      </c>
      <c r="L537" s="12">
        <v>27</v>
      </c>
      <c r="M537" s="12">
        <v>27</v>
      </c>
      <c r="N537" s="12">
        <v>20</v>
      </c>
      <c r="O537" s="30">
        <v>19</v>
      </c>
      <c r="P537" s="31"/>
      <c r="Q537" s="11">
        <v>213.5</v>
      </c>
      <c r="S537">
        <f t="shared" si="8"/>
        <v>0</v>
      </c>
    </row>
    <row r="538" spans="5:19">
      <c r="E538" s="32" t="s">
        <v>61</v>
      </c>
      <c r="F538" s="31"/>
      <c r="G538" s="11" t="s">
        <v>40</v>
      </c>
      <c r="H538" s="12">
        <v>76</v>
      </c>
      <c r="I538" s="12">
        <v>82</v>
      </c>
      <c r="J538" s="12">
        <v>76</v>
      </c>
      <c r="K538" s="12">
        <v>72</v>
      </c>
      <c r="L538" s="12">
        <v>89</v>
      </c>
      <c r="M538" s="12">
        <v>87</v>
      </c>
      <c r="N538" s="12">
        <v>48</v>
      </c>
      <c r="O538" s="30">
        <v>45</v>
      </c>
      <c r="P538" s="31"/>
      <c r="Q538" s="11">
        <v>575</v>
      </c>
      <c r="S538">
        <f t="shared" si="8"/>
        <v>0</v>
      </c>
    </row>
    <row r="539" spans="5:19">
      <c r="E539" s="13" t="s">
        <v>62</v>
      </c>
      <c r="F539" s="13"/>
      <c r="G539" s="11" t="s">
        <v>63</v>
      </c>
      <c r="H539" s="12">
        <v>100</v>
      </c>
      <c r="I539" s="12">
        <v>100</v>
      </c>
      <c r="J539" s="12">
        <v>100</v>
      </c>
      <c r="K539" s="12">
        <v>100</v>
      </c>
      <c r="L539" s="12">
        <v>100</v>
      </c>
      <c r="M539" s="12">
        <v>100</v>
      </c>
      <c r="N539" s="12">
        <v>50</v>
      </c>
      <c r="O539" s="30">
        <v>50</v>
      </c>
      <c r="P539" s="31"/>
      <c r="Q539" s="11">
        <v>700</v>
      </c>
      <c r="S539" t="str">
        <f t="shared" si="8"/>
        <v>Dr. B.B. Hegde First Grade College, Kundapura, Udupi.</v>
      </c>
    </row>
    <row r="540" spans="5:19">
      <c r="E540" s="32" t="s">
        <v>188</v>
      </c>
      <c r="F540" s="31"/>
      <c r="G540" s="11" t="s">
        <v>65</v>
      </c>
      <c r="H540" s="12" t="s">
        <v>102</v>
      </c>
      <c r="I540" s="12" t="s">
        <v>70</v>
      </c>
      <c r="J540" s="12" t="s">
        <v>102</v>
      </c>
      <c r="K540" s="12" t="s">
        <v>68</v>
      </c>
      <c r="L540" s="12" t="s">
        <v>67</v>
      </c>
      <c r="M540" s="12" t="s">
        <v>67</v>
      </c>
      <c r="N540" s="12" t="s">
        <v>88</v>
      </c>
      <c r="O540" s="30" t="s">
        <v>71</v>
      </c>
      <c r="P540" s="31"/>
      <c r="Q540" s="11" t="s">
        <v>37</v>
      </c>
      <c r="S540" t="str">
        <f t="shared" si="8"/>
        <v>00037</v>
      </c>
    </row>
    <row r="541" spans="5:19">
      <c r="E541" s="15" t="s">
        <v>72</v>
      </c>
      <c r="F541" s="15" t="s">
        <v>429</v>
      </c>
      <c r="G541" s="11" t="s">
        <v>74</v>
      </c>
      <c r="H541" s="12" t="s">
        <v>75</v>
      </c>
      <c r="I541" s="12" t="s">
        <v>75</v>
      </c>
      <c r="J541" s="12" t="s">
        <v>75</v>
      </c>
      <c r="K541" s="12" t="s">
        <v>75</v>
      </c>
      <c r="L541" s="12" t="s">
        <v>75</v>
      </c>
      <c r="M541" s="12" t="s">
        <v>75</v>
      </c>
      <c r="N541" s="12" t="s">
        <v>75</v>
      </c>
      <c r="O541" s="30" t="s">
        <v>75</v>
      </c>
      <c r="P541" s="31"/>
      <c r="Q541" s="11" t="s">
        <v>37</v>
      </c>
      <c r="S541" t="str">
        <f t="shared" si="8"/>
        <v>USN</v>
      </c>
    </row>
    <row r="542" spans="5:19">
      <c r="E542" s="16" t="s">
        <v>37</v>
      </c>
      <c r="F542" s="16" t="s">
        <v>37</v>
      </c>
      <c r="G542" s="16" t="s">
        <v>37</v>
      </c>
      <c r="H542" s="17" t="s">
        <v>37</v>
      </c>
      <c r="I542" s="17" t="s">
        <v>37</v>
      </c>
      <c r="J542" s="17" t="s">
        <v>37</v>
      </c>
      <c r="K542" s="17" t="s">
        <v>37</v>
      </c>
      <c r="L542" s="17" t="s">
        <v>37</v>
      </c>
      <c r="M542" s="17" t="s">
        <v>37</v>
      </c>
      <c r="N542" s="17" t="s">
        <v>37</v>
      </c>
      <c r="O542" s="41" t="s">
        <v>37</v>
      </c>
      <c r="P542" s="28"/>
      <c r="Q542" s="17" t="s">
        <v>37</v>
      </c>
      <c r="S542" t="str">
        <f t="shared" si="8"/>
        <v>RISHMITHA</v>
      </c>
    </row>
    <row r="543" spans="5:19" ht="0" hidden="1" customHeight="1">
      <c r="S543">
        <f t="shared" si="8"/>
        <v>0</v>
      </c>
    </row>
    <row r="544" spans="5:19" ht="0.6" customHeight="1">
      <c r="S544">
        <f t="shared" si="8"/>
        <v>0</v>
      </c>
    </row>
    <row r="545" spans="5:19">
      <c r="E545" s="38" t="s">
        <v>35</v>
      </c>
      <c r="F545" s="31"/>
      <c r="G545" s="4" t="s">
        <v>36</v>
      </c>
      <c r="H545" s="6" t="s">
        <v>37</v>
      </c>
      <c r="I545" s="6" t="s">
        <v>37</v>
      </c>
      <c r="J545" s="6" t="s">
        <v>37</v>
      </c>
      <c r="K545" s="6" t="s">
        <v>37</v>
      </c>
      <c r="L545" s="6" t="s">
        <v>37</v>
      </c>
      <c r="M545" s="6" t="s">
        <v>37</v>
      </c>
      <c r="N545" s="6" t="s">
        <v>37</v>
      </c>
      <c r="O545" s="39" t="s">
        <v>37</v>
      </c>
      <c r="P545" s="28"/>
      <c r="Q545" s="6" t="s">
        <v>37</v>
      </c>
      <c r="S545" t="str">
        <f t="shared" si="8"/>
        <v>SGPA</v>
      </c>
    </row>
    <row r="546" spans="5:19" ht="21">
      <c r="E546" s="32" t="s">
        <v>430</v>
      </c>
      <c r="F546" s="31"/>
      <c r="G546" s="8" t="s">
        <v>39</v>
      </c>
      <c r="H546" s="8" t="s">
        <v>19</v>
      </c>
      <c r="I546" s="8" t="s">
        <v>9</v>
      </c>
      <c r="J546" s="8" t="s">
        <v>21</v>
      </c>
      <c r="K546" s="8" t="s">
        <v>11</v>
      </c>
      <c r="L546" s="8" t="s">
        <v>17</v>
      </c>
      <c r="M546" s="8" t="s">
        <v>27</v>
      </c>
      <c r="N546" s="8" t="s">
        <v>7</v>
      </c>
      <c r="O546" s="40" t="s">
        <v>33</v>
      </c>
      <c r="P546" s="31"/>
      <c r="Q546" s="8" t="s">
        <v>40</v>
      </c>
      <c r="S546" t="str">
        <f t="shared" si="8"/>
        <v>CGPA</v>
      </c>
    </row>
    <row r="547" spans="5:19" ht="22.5">
      <c r="E547" s="13" t="s">
        <v>41</v>
      </c>
      <c r="F547" s="13" t="s">
        <v>431</v>
      </c>
      <c r="G547" s="11" t="s">
        <v>43</v>
      </c>
      <c r="H547" s="12" t="s">
        <v>299</v>
      </c>
      <c r="I547" s="12" t="s">
        <v>121</v>
      </c>
      <c r="J547" s="12" t="s">
        <v>432</v>
      </c>
      <c r="K547" s="12" t="s">
        <v>135</v>
      </c>
      <c r="L547" s="12" t="s">
        <v>287</v>
      </c>
      <c r="M547" s="12" t="s">
        <v>433</v>
      </c>
      <c r="N547" s="12" t="s">
        <v>434</v>
      </c>
      <c r="O547" s="30" t="s">
        <v>51</v>
      </c>
      <c r="P547" s="31"/>
      <c r="Q547" s="11" t="s">
        <v>37</v>
      </c>
      <c r="S547" t="str">
        <f t="shared" si="8"/>
        <v>Result: PASS</v>
      </c>
    </row>
    <row r="548" spans="5:19">
      <c r="E548" s="32" t="s">
        <v>435</v>
      </c>
      <c r="F548" s="33"/>
      <c r="G548" s="11" t="s">
        <v>53</v>
      </c>
      <c r="H548" s="12" t="s">
        <v>51</v>
      </c>
      <c r="I548" s="12" t="s">
        <v>51</v>
      </c>
      <c r="J548" s="12" t="s">
        <v>51</v>
      </c>
      <c r="K548" s="12" t="s">
        <v>51</v>
      </c>
      <c r="L548" s="12" t="s">
        <v>51</v>
      </c>
      <c r="M548" s="12" t="s">
        <v>51</v>
      </c>
      <c r="N548" s="12" t="s">
        <v>51</v>
      </c>
      <c r="O548" s="30" t="s">
        <v>125</v>
      </c>
      <c r="P548" s="31"/>
      <c r="Q548" s="11" t="s">
        <v>37</v>
      </c>
      <c r="S548" t="str">
        <f t="shared" si="8"/>
        <v>Class</v>
      </c>
    </row>
    <row r="549" spans="5:19">
      <c r="E549" s="34"/>
      <c r="F549" s="35"/>
      <c r="G549" s="11" t="s">
        <v>55</v>
      </c>
      <c r="H549" s="12" t="s">
        <v>37</v>
      </c>
      <c r="I549" s="12" t="s">
        <v>37</v>
      </c>
      <c r="J549" s="12" t="s">
        <v>37</v>
      </c>
      <c r="K549" s="12" t="s">
        <v>37</v>
      </c>
      <c r="L549" s="12" t="s">
        <v>37</v>
      </c>
      <c r="M549" s="12" t="s">
        <v>37</v>
      </c>
      <c r="N549" s="12" t="s">
        <v>37</v>
      </c>
      <c r="O549" s="30" t="s">
        <v>37</v>
      </c>
      <c r="P549" s="31"/>
      <c r="Q549" s="11">
        <v>0</v>
      </c>
      <c r="S549" t="str">
        <f t="shared" si="8"/>
        <v>Term Grade: AA+</v>
      </c>
    </row>
    <row r="550" spans="5:19">
      <c r="E550" s="36"/>
      <c r="F550" s="37"/>
      <c r="G550" s="11" t="s">
        <v>56</v>
      </c>
      <c r="H550" s="12">
        <v>4</v>
      </c>
      <c r="I550" s="12">
        <v>4</v>
      </c>
      <c r="J550" s="12">
        <v>4</v>
      </c>
      <c r="K550" s="12">
        <v>3</v>
      </c>
      <c r="L550" s="12">
        <v>3</v>
      </c>
      <c r="M550" s="12">
        <v>3</v>
      </c>
      <c r="N550" s="12">
        <v>2</v>
      </c>
      <c r="O550" s="30">
        <v>2</v>
      </c>
      <c r="P550" s="31"/>
      <c r="Q550" s="11">
        <v>25</v>
      </c>
      <c r="S550" t="str">
        <f t="shared" si="8"/>
        <v>M.C.No</v>
      </c>
    </row>
    <row r="551" spans="5:19">
      <c r="E551" s="13" t="s">
        <v>57</v>
      </c>
      <c r="F551" s="13">
        <v>7.94</v>
      </c>
      <c r="G551" s="11" t="s">
        <v>58</v>
      </c>
      <c r="H551" s="12">
        <v>7.5</v>
      </c>
      <c r="I551" s="12">
        <v>7</v>
      </c>
      <c r="J551" s="12">
        <v>8</v>
      </c>
      <c r="K551" s="12">
        <v>6</v>
      </c>
      <c r="L551" s="12">
        <v>9</v>
      </c>
      <c r="M551" s="12">
        <v>8.5</v>
      </c>
      <c r="N551" s="12">
        <v>9.5</v>
      </c>
      <c r="O551" s="30">
        <v>9.5</v>
      </c>
      <c r="P551" s="31"/>
      <c r="Q551" s="11" t="s">
        <v>37</v>
      </c>
      <c r="S551" t="str">
        <f t="shared" si="8"/>
        <v/>
      </c>
    </row>
    <row r="552" spans="5:19">
      <c r="E552" s="13" t="s">
        <v>59</v>
      </c>
      <c r="F552" s="14">
        <v>7.94</v>
      </c>
      <c r="G552" s="11" t="s">
        <v>60</v>
      </c>
      <c r="H552" s="12">
        <v>30</v>
      </c>
      <c r="I552" s="12">
        <v>28</v>
      </c>
      <c r="J552" s="12">
        <v>32</v>
      </c>
      <c r="K552" s="12">
        <v>18</v>
      </c>
      <c r="L552" s="12">
        <v>27</v>
      </c>
      <c r="M552" s="12">
        <v>25.5</v>
      </c>
      <c r="N552" s="12">
        <v>19</v>
      </c>
      <c r="O552" s="30">
        <v>19</v>
      </c>
      <c r="P552" s="31"/>
      <c r="Q552" s="11">
        <v>198.5</v>
      </c>
      <c r="S552">
        <f t="shared" si="8"/>
        <v>0</v>
      </c>
    </row>
    <row r="553" spans="5:19">
      <c r="E553" s="32" t="s">
        <v>61</v>
      </c>
      <c r="F553" s="31"/>
      <c r="G553" s="11" t="s">
        <v>40</v>
      </c>
      <c r="H553" s="12">
        <v>73</v>
      </c>
      <c r="I553" s="12">
        <v>65</v>
      </c>
      <c r="J553" s="12">
        <v>78</v>
      </c>
      <c r="K553" s="12">
        <v>56</v>
      </c>
      <c r="L553" s="12">
        <v>88</v>
      </c>
      <c r="M553" s="12">
        <v>82</v>
      </c>
      <c r="N553" s="12">
        <v>45</v>
      </c>
      <c r="O553" s="30">
        <v>46</v>
      </c>
      <c r="P553" s="31"/>
      <c r="Q553" s="11">
        <v>533</v>
      </c>
      <c r="S553">
        <f t="shared" si="8"/>
        <v>0</v>
      </c>
    </row>
    <row r="554" spans="5:19">
      <c r="E554" s="13" t="s">
        <v>62</v>
      </c>
      <c r="F554" s="13"/>
      <c r="G554" s="11" t="s">
        <v>63</v>
      </c>
      <c r="H554" s="12">
        <v>100</v>
      </c>
      <c r="I554" s="12">
        <v>100</v>
      </c>
      <c r="J554" s="12">
        <v>100</v>
      </c>
      <c r="K554" s="12">
        <v>100</v>
      </c>
      <c r="L554" s="12">
        <v>100</v>
      </c>
      <c r="M554" s="12">
        <v>100</v>
      </c>
      <c r="N554" s="12">
        <v>50</v>
      </c>
      <c r="O554" s="30">
        <v>50</v>
      </c>
      <c r="P554" s="31"/>
      <c r="Q554" s="11">
        <v>700</v>
      </c>
      <c r="S554" t="str">
        <f t="shared" si="8"/>
        <v>Dr. B.B. Hegde First Grade College, Kundapura, Udupi.</v>
      </c>
    </row>
    <row r="555" spans="5:19">
      <c r="E555" s="32" t="s">
        <v>64</v>
      </c>
      <c r="F555" s="31"/>
      <c r="G555" s="11" t="s">
        <v>65</v>
      </c>
      <c r="H555" s="12" t="s">
        <v>68</v>
      </c>
      <c r="I555" s="12" t="s">
        <v>66</v>
      </c>
      <c r="J555" s="12" t="s">
        <v>102</v>
      </c>
      <c r="K555" s="12" t="s">
        <v>103</v>
      </c>
      <c r="L555" s="12" t="s">
        <v>67</v>
      </c>
      <c r="M555" s="12" t="s">
        <v>70</v>
      </c>
      <c r="N555" s="12" t="s">
        <v>71</v>
      </c>
      <c r="O555" s="30" t="s">
        <v>71</v>
      </c>
      <c r="P555" s="31"/>
      <c r="Q555" s="11" t="s">
        <v>37</v>
      </c>
      <c r="S555" t="str">
        <f t="shared" si="8"/>
        <v>00038</v>
      </c>
    </row>
    <row r="556" spans="5:19">
      <c r="E556" s="15" t="s">
        <v>72</v>
      </c>
      <c r="F556" s="15" t="s">
        <v>436</v>
      </c>
      <c r="G556" s="11" t="s">
        <v>74</v>
      </c>
      <c r="H556" s="12" t="s">
        <v>75</v>
      </c>
      <c r="I556" s="12" t="s">
        <v>75</v>
      </c>
      <c r="J556" s="12" t="s">
        <v>75</v>
      </c>
      <c r="K556" s="12" t="s">
        <v>75</v>
      </c>
      <c r="L556" s="12" t="s">
        <v>75</v>
      </c>
      <c r="M556" s="12" t="s">
        <v>75</v>
      </c>
      <c r="N556" s="12" t="s">
        <v>75</v>
      </c>
      <c r="O556" s="30" t="s">
        <v>75</v>
      </c>
      <c r="P556" s="31"/>
      <c r="Q556" s="11" t="s">
        <v>37</v>
      </c>
      <c r="S556" t="str">
        <f t="shared" si="8"/>
        <v>USN</v>
      </c>
    </row>
    <row r="557" spans="5:19">
      <c r="E557" s="16" t="s">
        <v>37</v>
      </c>
      <c r="F557" s="16" t="s">
        <v>37</v>
      </c>
      <c r="G557" s="16" t="s">
        <v>37</v>
      </c>
      <c r="H557" s="17" t="s">
        <v>37</v>
      </c>
      <c r="I557" s="17" t="s">
        <v>37</v>
      </c>
      <c r="J557" s="17" t="s">
        <v>37</v>
      </c>
      <c r="K557" s="17" t="s">
        <v>37</v>
      </c>
      <c r="L557" s="17" t="s">
        <v>37</v>
      </c>
      <c r="M557" s="17" t="s">
        <v>37</v>
      </c>
      <c r="N557" s="17" t="s">
        <v>37</v>
      </c>
      <c r="O557" s="41" t="s">
        <v>37</v>
      </c>
      <c r="P557" s="28"/>
      <c r="Q557" s="17" t="s">
        <v>37</v>
      </c>
      <c r="S557" t="str">
        <f t="shared" si="8"/>
        <v>SAMPANNA</v>
      </c>
    </row>
    <row r="558" spans="5:19" ht="0" hidden="1" customHeight="1">
      <c r="S558">
        <f t="shared" si="8"/>
        <v>0</v>
      </c>
    </row>
    <row r="559" spans="5:19" ht="0.6" customHeight="1">
      <c r="S559">
        <f t="shared" si="8"/>
        <v>0</v>
      </c>
    </row>
    <row r="560" spans="5:19">
      <c r="E560" s="38" t="s">
        <v>35</v>
      </c>
      <c r="F560" s="31"/>
      <c r="G560" s="4" t="s">
        <v>36</v>
      </c>
      <c r="H560" s="6" t="s">
        <v>37</v>
      </c>
      <c r="I560" s="6" t="s">
        <v>37</v>
      </c>
      <c r="J560" s="6" t="s">
        <v>37</v>
      </c>
      <c r="K560" s="6" t="s">
        <v>37</v>
      </c>
      <c r="L560" s="6" t="s">
        <v>37</v>
      </c>
      <c r="M560" s="6" t="s">
        <v>37</v>
      </c>
      <c r="N560" s="6" t="s">
        <v>37</v>
      </c>
      <c r="O560" s="39" t="s">
        <v>37</v>
      </c>
      <c r="P560" s="28"/>
      <c r="Q560" s="6" t="s">
        <v>37</v>
      </c>
      <c r="S560" t="str">
        <f t="shared" si="8"/>
        <v>SGPA</v>
      </c>
    </row>
    <row r="561" spans="5:19" ht="21">
      <c r="E561" s="32" t="s">
        <v>437</v>
      </c>
      <c r="F561" s="31"/>
      <c r="G561" s="8" t="s">
        <v>39</v>
      </c>
      <c r="H561" s="8" t="s">
        <v>19</v>
      </c>
      <c r="I561" s="8" t="s">
        <v>9</v>
      </c>
      <c r="J561" s="8" t="s">
        <v>21</v>
      </c>
      <c r="K561" s="8" t="s">
        <v>11</v>
      </c>
      <c r="L561" s="8" t="s">
        <v>17</v>
      </c>
      <c r="M561" s="8" t="s">
        <v>27</v>
      </c>
      <c r="N561" s="8" t="s">
        <v>7</v>
      </c>
      <c r="O561" s="40" t="s">
        <v>29</v>
      </c>
      <c r="P561" s="31"/>
      <c r="Q561" s="8" t="s">
        <v>40</v>
      </c>
      <c r="S561" t="str">
        <f t="shared" si="8"/>
        <v>CGPA</v>
      </c>
    </row>
    <row r="562" spans="5:19" ht="22.5">
      <c r="E562" s="13" t="s">
        <v>41</v>
      </c>
      <c r="F562" s="13" t="s">
        <v>438</v>
      </c>
      <c r="G562" s="11" t="s">
        <v>43</v>
      </c>
      <c r="H562" s="12" t="s">
        <v>439</v>
      </c>
      <c r="I562" s="12" t="s">
        <v>132</v>
      </c>
      <c r="J562" s="12" t="s">
        <v>133</v>
      </c>
      <c r="K562" s="12" t="s">
        <v>440</v>
      </c>
      <c r="L562" s="12" t="s">
        <v>226</v>
      </c>
      <c r="M562" s="12" t="s">
        <v>441</v>
      </c>
      <c r="N562" s="12" t="s">
        <v>442</v>
      </c>
      <c r="O562" s="30" t="s">
        <v>51</v>
      </c>
      <c r="P562" s="31"/>
      <c r="Q562" s="11" t="s">
        <v>37</v>
      </c>
      <c r="S562" t="str">
        <f t="shared" si="8"/>
        <v>Result: PASS</v>
      </c>
    </row>
    <row r="563" spans="5:19">
      <c r="E563" s="32" t="s">
        <v>443</v>
      </c>
      <c r="F563" s="33"/>
      <c r="G563" s="11" t="s">
        <v>53</v>
      </c>
      <c r="H563" s="12" t="s">
        <v>51</v>
      </c>
      <c r="I563" s="12" t="s">
        <v>51</v>
      </c>
      <c r="J563" s="12" t="s">
        <v>51</v>
      </c>
      <c r="K563" s="12" t="s">
        <v>51</v>
      </c>
      <c r="L563" s="12" t="s">
        <v>51</v>
      </c>
      <c r="M563" s="12" t="s">
        <v>51</v>
      </c>
      <c r="N563" s="12" t="s">
        <v>51</v>
      </c>
      <c r="O563" s="30" t="s">
        <v>54</v>
      </c>
      <c r="P563" s="31"/>
      <c r="Q563" s="11" t="s">
        <v>37</v>
      </c>
      <c r="S563" t="str">
        <f t="shared" si="8"/>
        <v>Class</v>
      </c>
    </row>
    <row r="564" spans="5:19">
      <c r="E564" s="34"/>
      <c r="F564" s="35"/>
      <c r="G564" s="11" t="s">
        <v>55</v>
      </c>
      <c r="H564" s="12" t="s">
        <v>37</v>
      </c>
      <c r="I564" s="12" t="s">
        <v>37</v>
      </c>
      <c r="J564" s="12" t="s">
        <v>37</v>
      </c>
      <c r="K564" s="12" t="s">
        <v>37</v>
      </c>
      <c r="L564" s="12" t="s">
        <v>37</v>
      </c>
      <c r="M564" s="12" t="s">
        <v>37</v>
      </c>
      <c r="N564" s="12" t="s">
        <v>37</v>
      </c>
      <c r="O564" s="30" t="s">
        <v>37</v>
      </c>
      <c r="P564" s="31"/>
      <c r="Q564" s="11">
        <v>0</v>
      </c>
      <c r="S564" t="str">
        <f t="shared" si="8"/>
        <v>Term Grade: AB+</v>
      </c>
    </row>
    <row r="565" spans="5:19">
      <c r="E565" s="36"/>
      <c r="F565" s="37"/>
      <c r="G565" s="11" t="s">
        <v>56</v>
      </c>
      <c r="H565" s="12">
        <v>4</v>
      </c>
      <c r="I565" s="12">
        <v>4</v>
      </c>
      <c r="J565" s="12">
        <v>4</v>
      </c>
      <c r="K565" s="12">
        <v>3</v>
      </c>
      <c r="L565" s="12">
        <v>3</v>
      </c>
      <c r="M565" s="12">
        <v>3</v>
      </c>
      <c r="N565" s="12">
        <v>2</v>
      </c>
      <c r="O565" s="30">
        <v>2</v>
      </c>
      <c r="P565" s="31"/>
      <c r="Q565" s="11">
        <v>25</v>
      </c>
      <c r="S565" t="str">
        <f t="shared" si="8"/>
        <v>M.C.No</v>
      </c>
    </row>
    <row r="566" spans="5:19">
      <c r="E566" s="13" t="s">
        <v>57</v>
      </c>
      <c r="F566" s="13">
        <v>6.74</v>
      </c>
      <c r="G566" s="11" t="s">
        <v>58</v>
      </c>
      <c r="H566" s="12">
        <v>6</v>
      </c>
      <c r="I566" s="12">
        <v>7.5</v>
      </c>
      <c r="J566" s="12">
        <v>5.5</v>
      </c>
      <c r="K566" s="12">
        <v>5.5</v>
      </c>
      <c r="L566" s="12">
        <v>7</v>
      </c>
      <c r="M566" s="12">
        <v>6</v>
      </c>
      <c r="N566" s="12">
        <v>9</v>
      </c>
      <c r="O566" s="30">
        <v>9.5</v>
      </c>
      <c r="P566" s="31"/>
      <c r="Q566" s="11" t="s">
        <v>37</v>
      </c>
      <c r="S566" t="str">
        <f t="shared" si="8"/>
        <v/>
      </c>
    </row>
    <row r="567" spans="5:19">
      <c r="E567" s="13" t="s">
        <v>59</v>
      </c>
      <c r="F567" s="14">
        <v>6.74</v>
      </c>
      <c r="G567" s="11" t="s">
        <v>60</v>
      </c>
      <c r="H567" s="12">
        <v>24</v>
      </c>
      <c r="I567" s="12">
        <v>30</v>
      </c>
      <c r="J567" s="12">
        <v>22</v>
      </c>
      <c r="K567" s="12">
        <v>16.5</v>
      </c>
      <c r="L567" s="12">
        <v>21</v>
      </c>
      <c r="M567" s="12">
        <v>18</v>
      </c>
      <c r="N567" s="12">
        <v>18</v>
      </c>
      <c r="O567" s="30">
        <v>19</v>
      </c>
      <c r="P567" s="31"/>
      <c r="Q567" s="11">
        <v>168.5</v>
      </c>
      <c r="S567">
        <f t="shared" si="8"/>
        <v>0</v>
      </c>
    </row>
    <row r="568" spans="5:19">
      <c r="E568" s="32" t="s">
        <v>61</v>
      </c>
      <c r="F568" s="31"/>
      <c r="G568" s="11" t="s">
        <v>40</v>
      </c>
      <c r="H568" s="12">
        <v>59</v>
      </c>
      <c r="I568" s="12">
        <v>73</v>
      </c>
      <c r="J568" s="12">
        <v>52</v>
      </c>
      <c r="K568" s="12">
        <v>53</v>
      </c>
      <c r="L568" s="12">
        <v>69</v>
      </c>
      <c r="M568" s="12">
        <v>58</v>
      </c>
      <c r="N568" s="12">
        <v>43</v>
      </c>
      <c r="O568" s="30">
        <v>45</v>
      </c>
      <c r="P568" s="31"/>
      <c r="Q568" s="11">
        <v>452</v>
      </c>
      <c r="S568">
        <f t="shared" si="8"/>
        <v>0</v>
      </c>
    </row>
    <row r="569" spans="5:19">
      <c r="E569" s="13" t="s">
        <v>62</v>
      </c>
      <c r="F569" s="13"/>
      <c r="G569" s="11" t="s">
        <v>63</v>
      </c>
      <c r="H569" s="12">
        <v>100</v>
      </c>
      <c r="I569" s="12">
        <v>100</v>
      </c>
      <c r="J569" s="12">
        <v>100</v>
      </c>
      <c r="K569" s="12">
        <v>100</v>
      </c>
      <c r="L569" s="12">
        <v>100</v>
      </c>
      <c r="M569" s="12">
        <v>100</v>
      </c>
      <c r="N569" s="12">
        <v>50</v>
      </c>
      <c r="O569" s="30">
        <v>50</v>
      </c>
      <c r="P569" s="31"/>
      <c r="Q569" s="11">
        <v>700</v>
      </c>
      <c r="S569" t="str">
        <f t="shared" si="8"/>
        <v>Dr. B.B. Hegde First Grade College, Kundapura, Udupi.</v>
      </c>
    </row>
    <row r="570" spans="5:19">
      <c r="E570" s="32" t="s">
        <v>126</v>
      </c>
      <c r="F570" s="31"/>
      <c r="G570" s="11" t="s">
        <v>65</v>
      </c>
      <c r="H570" s="12" t="s">
        <v>103</v>
      </c>
      <c r="I570" s="12" t="s">
        <v>68</v>
      </c>
      <c r="J570" s="12" t="s">
        <v>138</v>
      </c>
      <c r="K570" s="12" t="s">
        <v>138</v>
      </c>
      <c r="L570" s="12" t="s">
        <v>66</v>
      </c>
      <c r="M570" s="12" t="s">
        <v>103</v>
      </c>
      <c r="N570" s="12" t="s">
        <v>67</v>
      </c>
      <c r="O570" s="30" t="s">
        <v>71</v>
      </c>
      <c r="P570" s="31"/>
      <c r="Q570" s="11" t="s">
        <v>37</v>
      </c>
      <c r="S570" t="str">
        <f t="shared" si="8"/>
        <v>00039</v>
      </c>
    </row>
    <row r="571" spans="5:19">
      <c r="E571" s="15" t="s">
        <v>72</v>
      </c>
      <c r="F571" s="15" t="s">
        <v>444</v>
      </c>
      <c r="G571" s="11" t="s">
        <v>74</v>
      </c>
      <c r="H571" s="12" t="s">
        <v>75</v>
      </c>
      <c r="I571" s="12" t="s">
        <v>75</v>
      </c>
      <c r="J571" s="12" t="s">
        <v>75</v>
      </c>
      <c r="K571" s="12" t="s">
        <v>75</v>
      </c>
      <c r="L571" s="12" t="s">
        <v>75</v>
      </c>
      <c r="M571" s="12" t="s">
        <v>75</v>
      </c>
      <c r="N571" s="12" t="s">
        <v>75</v>
      </c>
      <c r="O571" s="30" t="s">
        <v>75</v>
      </c>
      <c r="P571" s="31"/>
      <c r="Q571" s="11" t="s">
        <v>37</v>
      </c>
      <c r="S571" t="str">
        <f t="shared" si="8"/>
        <v>USN</v>
      </c>
    </row>
    <row r="572" spans="5:19">
      <c r="E572" s="16" t="s">
        <v>37</v>
      </c>
      <c r="F572" s="16" t="s">
        <v>37</v>
      </c>
      <c r="G572" s="16" t="s">
        <v>37</v>
      </c>
      <c r="H572" s="17" t="s">
        <v>37</v>
      </c>
      <c r="I572" s="17" t="s">
        <v>37</v>
      </c>
      <c r="J572" s="17" t="s">
        <v>37</v>
      </c>
      <c r="K572" s="17" t="s">
        <v>37</v>
      </c>
      <c r="L572" s="17" t="s">
        <v>37</v>
      </c>
      <c r="M572" s="17" t="s">
        <v>37</v>
      </c>
      <c r="N572" s="17" t="s">
        <v>37</v>
      </c>
      <c r="O572" s="41" t="s">
        <v>37</v>
      </c>
      <c r="P572" s="28"/>
      <c r="Q572" s="17" t="s">
        <v>37</v>
      </c>
      <c r="S572" t="str">
        <f t="shared" si="8"/>
        <v>MANJUNATH</v>
      </c>
    </row>
    <row r="573" spans="5:19" ht="0" hidden="1" customHeight="1">
      <c r="S573">
        <f t="shared" si="8"/>
        <v>0</v>
      </c>
    </row>
    <row r="574" spans="5:19" ht="0.6" customHeight="1">
      <c r="S574">
        <f t="shared" si="8"/>
        <v>0</v>
      </c>
    </row>
    <row r="575" spans="5:19">
      <c r="E575" s="38" t="s">
        <v>35</v>
      </c>
      <c r="F575" s="31"/>
      <c r="G575" s="4" t="s">
        <v>36</v>
      </c>
      <c r="H575" s="6" t="s">
        <v>37</v>
      </c>
      <c r="I575" s="6" t="s">
        <v>37</v>
      </c>
      <c r="J575" s="6" t="s">
        <v>37</v>
      </c>
      <c r="K575" s="6" t="s">
        <v>37</v>
      </c>
      <c r="L575" s="6" t="s">
        <v>37</v>
      </c>
      <c r="M575" s="6" t="s">
        <v>37</v>
      </c>
      <c r="N575" s="6" t="s">
        <v>37</v>
      </c>
      <c r="O575" s="39" t="s">
        <v>37</v>
      </c>
      <c r="P575" s="28"/>
      <c r="Q575" s="6" t="s">
        <v>37</v>
      </c>
      <c r="S575" t="str">
        <f t="shared" si="8"/>
        <v>SGPA</v>
      </c>
    </row>
    <row r="576" spans="5:19" ht="21">
      <c r="E576" s="32" t="s">
        <v>445</v>
      </c>
      <c r="F576" s="31"/>
      <c r="G576" s="8" t="s">
        <v>39</v>
      </c>
      <c r="H576" s="8" t="s">
        <v>19</v>
      </c>
      <c r="I576" s="8" t="s">
        <v>9</v>
      </c>
      <c r="J576" s="8" t="s">
        <v>21</v>
      </c>
      <c r="K576" s="8" t="s">
        <v>11</v>
      </c>
      <c r="L576" s="8" t="s">
        <v>17</v>
      </c>
      <c r="M576" s="8" t="s">
        <v>27</v>
      </c>
      <c r="N576" s="8" t="s">
        <v>7</v>
      </c>
      <c r="O576" s="40" t="s">
        <v>29</v>
      </c>
      <c r="P576" s="31"/>
      <c r="Q576" s="8" t="s">
        <v>40</v>
      </c>
      <c r="S576" t="str">
        <f t="shared" si="8"/>
        <v>CGPA</v>
      </c>
    </row>
    <row r="577" spans="5:19" ht="22.5">
      <c r="E577" s="13" t="s">
        <v>41</v>
      </c>
      <c r="F577" s="13" t="s">
        <v>446</v>
      </c>
      <c r="G577" s="11" t="s">
        <v>43</v>
      </c>
      <c r="H577" s="12" t="s">
        <v>447</v>
      </c>
      <c r="I577" s="12" t="s">
        <v>448</v>
      </c>
      <c r="J577" s="12" t="s">
        <v>107</v>
      </c>
      <c r="K577" s="12" t="s">
        <v>449</v>
      </c>
      <c r="L577" s="12" t="s">
        <v>245</v>
      </c>
      <c r="M577" s="12" t="s">
        <v>280</v>
      </c>
      <c r="N577" s="12" t="s">
        <v>218</v>
      </c>
      <c r="O577" s="30" t="s">
        <v>51</v>
      </c>
      <c r="P577" s="31"/>
      <c r="Q577" s="11" t="s">
        <v>37</v>
      </c>
      <c r="S577" t="str">
        <f t="shared" si="8"/>
        <v>Result: PASS</v>
      </c>
    </row>
    <row r="578" spans="5:19">
      <c r="E578" s="32" t="s">
        <v>450</v>
      </c>
      <c r="F578" s="33"/>
      <c r="G578" s="11" t="s">
        <v>53</v>
      </c>
      <c r="H578" s="12" t="s">
        <v>51</v>
      </c>
      <c r="I578" s="12" t="s">
        <v>51</v>
      </c>
      <c r="J578" s="12" t="s">
        <v>51</v>
      </c>
      <c r="K578" s="12" t="s">
        <v>51</v>
      </c>
      <c r="L578" s="12" t="s">
        <v>51</v>
      </c>
      <c r="M578" s="12" t="s">
        <v>51</v>
      </c>
      <c r="N578" s="12" t="s">
        <v>51</v>
      </c>
      <c r="O578" s="30" t="s">
        <v>125</v>
      </c>
      <c r="P578" s="31"/>
      <c r="Q578" s="11" t="s">
        <v>37</v>
      </c>
      <c r="S578" t="str">
        <f t="shared" si="8"/>
        <v>Class</v>
      </c>
    </row>
    <row r="579" spans="5:19">
      <c r="E579" s="34"/>
      <c r="F579" s="35"/>
      <c r="G579" s="11" t="s">
        <v>55</v>
      </c>
      <c r="H579" s="12" t="s">
        <v>37</v>
      </c>
      <c r="I579" s="12" t="s">
        <v>37</v>
      </c>
      <c r="J579" s="12" t="s">
        <v>37</v>
      </c>
      <c r="K579" s="12" t="s">
        <v>37</v>
      </c>
      <c r="L579" s="12" t="s">
        <v>37</v>
      </c>
      <c r="M579" s="12" t="s">
        <v>37</v>
      </c>
      <c r="N579" s="12" t="s">
        <v>37</v>
      </c>
      <c r="O579" s="30" t="s">
        <v>37</v>
      </c>
      <c r="P579" s="31"/>
      <c r="Q579" s="11">
        <v>0</v>
      </c>
      <c r="S579" t="str">
        <f t="shared" si="8"/>
        <v>Term Grade: OA</v>
      </c>
    </row>
    <row r="580" spans="5:19">
      <c r="E580" s="36"/>
      <c r="F580" s="37"/>
      <c r="G580" s="11" t="s">
        <v>56</v>
      </c>
      <c r="H580" s="12">
        <v>4</v>
      </c>
      <c r="I580" s="12">
        <v>4</v>
      </c>
      <c r="J580" s="12">
        <v>4</v>
      </c>
      <c r="K580" s="12">
        <v>3</v>
      </c>
      <c r="L580" s="12">
        <v>3</v>
      </c>
      <c r="M580" s="12">
        <v>3</v>
      </c>
      <c r="N580" s="12">
        <v>2</v>
      </c>
      <c r="O580" s="30">
        <v>2</v>
      </c>
      <c r="P580" s="31"/>
      <c r="Q580" s="11">
        <v>25</v>
      </c>
      <c r="S580" t="str">
        <f t="shared" si="8"/>
        <v>M.C.No</v>
      </c>
    </row>
    <row r="581" spans="5:19">
      <c r="E581" s="13" t="s">
        <v>57</v>
      </c>
      <c r="F581" s="13">
        <v>8.1199999999999992</v>
      </c>
      <c r="G581" s="11" t="s">
        <v>58</v>
      </c>
      <c r="H581" s="12">
        <v>7.5</v>
      </c>
      <c r="I581" s="12">
        <v>8</v>
      </c>
      <c r="J581" s="12">
        <v>7</v>
      </c>
      <c r="K581" s="12">
        <v>7.5</v>
      </c>
      <c r="L581" s="12">
        <v>8.5</v>
      </c>
      <c r="M581" s="12">
        <v>9</v>
      </c>
      <c r="N581" s="12">
        <v>9.5</v>
      </c>
      <c r="O581" s="30">
        <v>9.5</v>
      </c>
      <c r="P581" s="31"/>
      <c r="Q581" s="11" t="s">
        <v>37</v>
      </c>
      <c r="S581" t="str">
        <f t="shared" si="8"/>
        <v/>
      </c>
    </row>
    <row r="582" spans="5:19">
      <c r="E582" s="13" t="s">
        <v>59</v>
      </c>
      <c r="F582" s="14">
        <v>8.1199999999999992</v>
      </c>
      <c r="G582" s="11" t="s">
        <v>60</v>
      </c>
      <c r="H582" s="12">
        <v>30</v>
      </c>
      <c r="I582" s="12">
        <v>32</v>
      </c>
      <c r="J582" s="12">
        <v>28</v>
      </c>
      <c r="K582" s="12">
        <v>22.5</v>
      </c>
      <c r="L582" s="12">
        <v>25.5</v>
      </c>
      <c r="M582" s="12">
        <v>27</v>
      </c>
      <c r="N582" s="12">
        <v>19</v>
      </c>
      <c r="O582" s="30">
        <v>19</v>
      </c>
      <c r="P582" s="31"/>
      <c r="Q582" s="11">
        <v>203</v>
      </c>
      <c r="S582">
        <f t="shared" si="8"/>
        <v>0</v>
      </c>
    </row>
    <row r="583" spans="5:19">
      <c r="E583" s="32" t="s">
        <v>61</v>
      </c>
      <c r="F583" s="31"/>
      <c r="G583" s="11" t="s">
        <v>40</v>
      </c>
      <c r="H583" s="12">
        <v>73</v>
      </c>
      <c r="I583" s="12">
        <v>77</v>
      </c>
      <c r="J583" s="12">
        <v>69</v>
      </c>
      <c r="K583" s="12">
        <v>70</v>
      </c>
      <c r="L583" s="12">
        <v>80</v>
      </c>
      <c r="M583" s="12">
        <v>86</v>
      </c>
      <c r="N583" s="12">
        <v>47</v>
      </c>
      <c r="O583" s="30">
        <v>46</v>
      </c>
      <c r="P583" s="31"/>
      <c r="Q583" s="11">
        <v>548</v>
      </c>
      <c r="S583" t="str">
        <f t="shared" si="8"/>
        <v>Dr. B.B. Hegde First Grade College, Kundapura, Udupi.</v>
      </c>
    </row>
    <row r="584" spans="5:19">
      <c r="E584" s="13" t="s">
        <v>62</v>
      </c>
      <c r="F584" s="13"/>
      <c r="G584" s="11" t="s">
        <v>63</v>
      </c>
      <c r="H584" s="12">
        <v>100</v>
      </c>
      <c r="I584" s="12">
        <v>100</v>
      </c>
      <c r="J584" s="12">
        <v>100</v>
      </c>
      <c r="K584" s="12">
        <v>100</v>
      </c>
      <c r="L584" s="12">
        <v>100</v>
      </c>
      <c r="M584" s="12">
        <v>100</v>
      </c>
      <c r="N584" s="12">
        <v>50</v>
      </c>
      <c r="O584" s="30">
        <v>50</v>
      </c>
      <c r="P584" s="31"/>
      <c r="Q584" s="11">
        <v>700</v>
      </c>
      <c r="S584" t="str">
        <f t="shared" si="8"/>
        <v>00040</v>
      </c>
    </row>
    <row r="585" spans="5:19">
      <c r="E585" s="32" t="s">
        <v>200</v>
      </c>
      <c r="F585" s="31"/>
      <c r="G585" s="11" t="s">
        <v>65</v>
      </c>
      <c r="H585" s="12" t="s">
        <v>68</v>
      </c>
      <c r="I585" s="12" t="s">
        <v>102</v>
      </c>
      <c r="J585" s="12" t="s">
        <v>66</v>
      </c>
      <c r="K585" s="12" t="s">
        <v>68</v>
      </c>
      <c r="L585" s="12" t="s">
        <v>70</v>
      </c>
      <c r="M585" s="12" t="s">
        <v>67</v>
      </c>
      <c r="N585" s="12" t="s">
        <v>71</v>
      </c>
      <c r="O585" s="30" t="s">
        <v>71</v>
      </c>
      <c r="P585" s="31"/>
      <c r="Q585" s="11" t="s">
        <v>37</v>
      </c>
      <c r="S585" t="str">
        <f t="shared" si="8"/>
        <v>USN</v>
      </c>
    </row>
    <row r="586" spans="5:19">
      <c r="E586" s="15" t="s">
        <v>72</v>
      </c>
      <c r="F586" s="15" t="s">
        <v>451</v>
      </c>
      <c r="G586" s="11" t="s">
        <v>74</v>
      </c>
      <c r="H586" s="12" t="s">
        <v>75</v>
      </c>
      <c r="I586" s="12" t="s">
        <v>75</v>
      </c>
      <c r="J586" s="12" t="s">
        <v>75</v>
      </c>
      <c r="K586" s="12" t="s">
        <v>75</v>
      </c>
      <c r="L586" s="12" t="s">
        <v>75</v>
      </c>
      <c r="M586" s="12" t="s">
        <v>75</v>
      </c>
      <c r="N586" s="12" t="s">
        <v>75</v>
      </c>
      <c r="O586" s="30" t="s">
        <v>75</v>
      </c>
      <c r="P586" s="31"/>
      <c r="Q586" s="11" t="s">
        <v>37</v>
      </c>
      <c r="S586" t="str">
        <f t="shared" si="8"/>
        <v>BHOOMIKA R</v>
      </c>
    </row>
    <row r="587" spans="5:19">
      <c r="E587" s="16" t="s">
        <v>37</v>
      </c>
      <c r="F587" s="16" t="s">
        <v>37</v>
      </c>
      <c r="G587" s="16" t="s">
        <v>37</v>
      </c>
      <c r="H587" s="17" t="s">
        <v>37</v>
      </c>
      <c r="I587" s="17" t="s">
        <v>37</v>
      </c>
      <c r="J587" s="17" t="s">
        <v>37</v>
      </c>
      <c r="K587" s="17" t="s">
        <v>37</v>
      </c>
      <c r="L587" s="17" t="s">
        <v>37</v>
      </c>
      <c r="M587" s="17" t="s">
        <v>37</v>
      </c>
      <c r="N587" s="17" t="s">
        <v>37</v>
      </c>
      <c r="O587" s="41" t="s">
        <v>37</v>
      </c>
      <c r="P587" s="28"/>
      <c r="Q587" s="17" t="s">
        <v>37</v>
      </c>
      <c r="S587">
        <f t="shared" si="8"/>
        <v>0</v>
      </c>
    </row>
    <row r="588" spans="5:19" ht="0.6" customHeight="1">
      <c r="S588">
        <f t="shared" ref="S588:S651" si="9">$E594</f>
        <v>0</v>
      </c>
    </row>
    <row r="589" spans="5:19">
      <c r="E589" s="38" t="s">
        <v>35</v>
      </c>
      <c r="F589" s="31"/>
      <c r="G589" s="4" t="s">
        <v>36</v>
      </c>
      <c r="H589" s="6" t="s">
        <v>37</v>
      </c>
      <c r="I589" s="6" t="s">
        <v>37</v>
      </c>
      <c r="J589" s="6" t="s">
        <v>37</v>
      </c>
      <c r="K589" s="6" t="s">
        <v>37</v>
      </c>
      <c r="L589" s="6" t="s">
        <v>37</v>
      </c>
      <c r="M589" s="6" t="s">
        <v>37</v>
      </c>
      <c r="N589" s="6" t="s">
        <v>37</v>
      </c>
      <c r="O589" s="39" t="s">
        <v>37</v>
      </c>
      <c r="P589" s="28"/>
      <c r="Q589" s="6" t="s">
        <v>37</v>
      </c>
      <c r="S589" t="str">
        <f t="shared" si="9"/>
        <v>SGPA</v>
      </c>
    </row>
    <row r="590" spans="5:19" ht="21">
      <c r="E590" s="32" t="s">
        <v>452</v>
      </c>
      <c r="F590" s="31"/>
      <c r="G590" s="8" t="s">
        <v>39</v>
      </c>
      <c r="H590" s="8" t="s">
        <v>19</v>
      </c>
      <c r="I590" s="8" t="s">
        <v>9</v>
      </c>
      <c r="J590" s="8" t="s">
        <v>21</v>
      </c>
      <c r="K590" s="8" t="s">
        <v>11</v>
      </c>
      <c r="L590" s="8" t="s">
        <v>17</v>
      </c>
      <c r="M590" s="8" t="s">
        <v>27</v>
      </c>
      <c r="N590" s="8" t="s">
        <v>7</v>
      </c>
      <c r="O590" s="40" t="s">
        <v>29</v>
      </c>
      <c r="P590" s="31"/>
      <c r="Q590" s="8" t="s">
        <v>40</v>
      </c>
      <c r="S590" t="str">
        <f t="shared" si="9"/>
        <v>CGPA</v>
      </c>
    </row>
    <row r="591" spans="5:19" ht="22.5">
      <c r="E591" s="13" t="s">
        <v>41</v>
      </c>
      <c r="F591" s="13" t="s">
        <v>453</v>
      </c>
      <c r="G591" s="11" t="s">
        <v>43</v>
      </c>
      <c r="H591" s="12" t="s">
        <v>45</v>
      </c>
      <c r="I591" s="12" t="s">
        <v>287</v>
      </c>
      <c r="J591" s="12" t="s">
        <v>427</v>
      </c>
      <c r="K591" s="12" t="s">
        <v>454</v>
      </c>
      <c r="L591" s="12" t="s">
        <v>287</v>
      </c>
      <c r="M591" s="12" t="s">
        <v>455</v>
      </c>
      <c r="N591" s="12" t="s">
        <v>209</v>
      </c>
      <c r="O591" s="30" t="s">
        <v>51</v>
      </c>
      <c r="P591" s="31"/>
      <c r="Q591" s="11" t="s">
        <v>37</v>
      </c>
      <c r="S591" t="str">
        <f t="shared" si="9"/>
        <v>Result: PASS</v>
      </c>
    </row>
    <row r="592" spans="5:19">
      <c r="E592" s="32" t="s">
        <v>456</v>
      </c>
      <c r="F592" s="33"/>
      <c r="G592" s="11" t="s">
        <v>53</v>
      </c>
      <c r="H592" s="12" t="s">
        <v>51</v>
      </c>
      <c r="I592" s="12" t="s">
        <v>51</v>
      </c>
      <c r="J592" s="12" t="s">
        <v>51</v>
      </c>
      <c r="K592" s="12" t="s">
        <v>51</v>
      </c>
      <c r="L592" s="12" t="s">
        <v>51</v>
      </c>
      <c r="M592" s="12" t="s">
        <v>51</v>
      </c>
      <c r="N592" s="12" t="s">
        <v>51</v>
      </c>
      <c r="O592" s="30" t="s">
        <v>125</v>
      </c>
      <c r="P592" s="31"/>
      <c r="Q592" s="11" t="s">
        <v>37</v>
      </c>
      <c r="S592" t="str">
        <f t="shared" si="9"/>
        <v>Class</v>
      </c>
    </row>
    <row r="593" spans="5:19">
      <c r="E593" s="34"/>
      <c r="F593" s="35"/>
      <c r="G593" s="11" t="s">
        <v>55</v>
      </c>
      <c r="H593" s="12" t="s">
        <v>37</v>
      </c>
      <c r="I593" s="12" t="s">
        <v>37</v>
      </c>
      <c r="J593" s="12" t="s">
        <v>37</v>
      </c>
      <c r="K593" s="12" t="s">
        <v>37</v>
      </c>
      <c r="L593" s="12" t="s">
        <v>37</v>
      </c>
      <c r="M593" s="12" t="s">
        <v>37</v>
      </c>
      <c r="N593" s="12" t="s">
        <v>37</v>
      </c>
      <c r="O593" s="30" t="s">
        <v>37</v>
      </c>
      <c r="P593" s="31"/>
      <c r="Q593" s="11">
        <v>0</v>
      </c>
      <c r="S593" t="str">
        <f t="shared" si="9"/>
        <v>Term Grade: OA+</v>
      </c>
    </row>
    <row r="594" spans="5:19">
      <c r="E594" s="36"/>
      <c r="F594" s="37"/>
      <c r="G594" s="11" t="s">
        <v>56</v>
      </c>
      <c r="H594" s="12">
        <v>4</v>
      </c>
      <c r="I594" s="12">
        <v>4</v>
      </c>
      <c r="J594" s="12">
        <v>4</v>
      </c>
      <c r="K594" s="12">
        <v>3</v>
      </c>
      <c r="L594" s="12">
        <v>3</v>
      </c>
      <c r="M594" s="12">
        <v>3</v>
      </c>
      <c r="N594" s="12">
        <v>2</v>
      </c>
      <c r="O594" s="30">
        <v>2</v>
      </c>
      <c r="P594" s="31"/>
      <c r="Q594" s="11">
        <v>25</v>
      </c>
      <c r="S594" t="str">
        <f t="shared" si="9"/>
        <v>M.C.No</v>
      </c>
    </row>
    <row r="595" spans="5:19">
      <c r="E595" s="13" t="s">
        <v>57</v>
      </c>
      <c r="F595" s="13">
        <v>8.94</v>
      </c>
      <c r="G595" s="11" t="s">
        <v>58</v>
      </c>
      <c r="H595" s="12">
        <v>9</v>
      </c>
      <c r="I595" s="12">
        <v>9</v>
      </c>
      <c r="J595" s="12">
        <v>9</v>
      </c>
      <c r="K595" s="12">
        <v>8</v>
      </c>
      <c r="L595" s="12">
        <v>9</v>
      </c>
      <c r="M595" s="12">
        <v>8.5</v>
      </c>
      <c r="N595" s="12">
        <v>10</v>
      </c>
      <c r="O595" s="30">
        <v>9.5</v>
      </c>
      <c r="P595" s="31"/>
      <c r="Q595" s="11" t="s">
        <v>37</v>
      </c>
      <c r="S595" t="str">
        <f t="shared" si="9"/>
        <v/>
      </c>
    </row>
    <row r="596" spans="5:19">
      <c r="E596" s="13" t="s">
        <v>59</v>
      </c>
      <c r="F596" s="14">
        <v>8.94</v>
      </c>
      <c r="G596" s="11" t="s">
        <v>60</v>
      </c>
      <c r="H596" s="12">
        <v>36</v>
      </c>
      <c r="I596" s="12">
        <v>36</v>
      </c>
      <c r="J596" s="12">
        <v>36</v>
      </c>
      <c r="K596" s="12">
        <v>24</v>
      </c>
      <c r="L596" s="12">
        <v>27</v>
      </c>
      <c r="M596" s="12">
        <v>25.5</v>
      </c>
      <c r="N596" s="12">
        <v>20</v>
      </c>
      <c r="O596" s="30">
        <v>19</v>
      </c>
      <c r="P596" s="31"/>
      <c r="Q596" s="11">
        <v>223.5</v>
      </c>
      <c r="S596">
        <f t="shared" si="9"/>
        <v>0</v>
      </c>
    </row>
    <row r="597" spans="5:19">
      <c r="E597" s="32" t="s">
        <v>61</v>
      </c>
      <c r="F597" s="31"/>
      <c r="G597" s="11" t="s">
        <v>40</v>
      </c>
      <c r="H597" s="12">
        <v>89</v>
      </c>
      <c r="I597" s="12">
        <v>88</v>
      </c>
      <c r="J597" s="12">
        <v>87</v>
      </c>
      <c r="K597" s="12">
        <v>77</v>
      </c>
      <c r="L597" s="12">
        <v>88</v>
      </c>
      <c r="M597" s="12">
        <v>84</v>
      </c>
      <c r="N597" s="12">
        <v>50</v>
      </c>
      <c r="O597" s="30">
        <v>46</v>
      </c>
      <c r="P597" s="31"/>
      <c r="Q597" s="11">
        <v>609</v>
      </c>
      <c r="S597">
        <f t="shared" si="9"/>
        <v>0</v>
      </c>
    </row>
    <row r="598" spans="5:19">
      <c r="E598" s="13" t="s">
        <v>62</v>
      </c>
      <c r="F598" s="13"/>
      <c r="G598" s="11" t="s">
        <v>63</v>
      </c>
      <c r="H598" s="12">
        <v>100</v>
      </c>
      <c r="I598" s="12">
        <v>100</v>
      </c>
      <c r="J598" s="12">
        <v>100</v>
      </c>
      <c r="K598" s="12">
        <v>100</v>
      </c>
      <c r="L598" s="12">
        <v>100</v>
      </c>
      <c r="M598" s="12">
        <v>100</v>
      </c>
      <c r="N598" s="12">
        <v>50</v>
      </c>
      <c r="O598" s="30">
        <v>50</v>
      </c>
      <c r="P598" s="31"/>
      <c r="Q598" s="11">
        <v>700</v>
      </c>
      <c r="S598" t="str">
        <f t="shared" si="9"/>
        <v>Dr. B.B. Hegde First Grade College, Kundapura, Udupi.</v>
      </c>
    </row>
    <row r="599" spans="5:19">
      <c r="E599" s="32" t="s">
        <v>188</v>
      </c>
      <c r="F599" s="31"/>
      <c r="G599" s="11" t="s">
        <v>65</v>
      </c>
      <c r="H599" s="12" t="s">
        <v>67</v>
      </c>
      <c r="I599" s="12" t="s">
        <v>67</v>
      </c>
      <c r="J599" s="12" t="s">
        <v>67</v>
      </c>
      <c r="K599" s="12" t="s">
        <v>102</v>
      </c>
      <c r="L599" s="12" t="s">
        <v>67</v>
      </c>
      <c r="M599" s="12" t="s">
        <v>70</v>
      </c>
      <c r="N599" s="12" t="s">
        <v>88</v>
      </c>
      <c r="O599" s="30" t="s">
        <v>71</v>
      </c>
      <c r="P599" s="31"/>
      <c r="Q599" s="11" t="s">
        <v>37</v>
      </c>
      <c r="S599" t="str">
        <f t="shared" si="9"/>
        <v>00041</v>
      </c>
    </row>
    <row r="600" spans="5:19">
      <c r="E600" s="15" t="s">
        <v>72</v>
      </c>
      <c r="F600" s="15" t="s">
        <v>457</v>
      </c>
      <c r="G600" s="11" t="s">
        <v>74</v>
      </c>
      <c r="H600" s="12" t="s">
        <v>75</v>
      </c>
      <c r="I600" s="12" t="s">
        <v>75</v>
      </c>
      <c r="J600" s="12" t="s">
        <v>75</v>
      </c>
      <c r="K600" s="12" t="s">
        <v>75</v>
      </c>
      <c r="L600" s="12" t="s">
        <v>75</v>
      </c>
      <c r="M600" s="12" t="s">
        <v>75</v>
      </c>
      <c r="N600" s="12" t="s">
        <v>75</v>
      </c>
      <c r="O600" s="30" t="s">
        <v>75</v>
      </c>
      <c r="P600" s="31"/>
      <c r="Q600" s="11" t="s">
        <v>37</v>
      </c>
      <c r="S600" t="str">
        <f t="shared" si="9"/>
        <v>USN</v>
      </c>
    </row>
    <row r="601" spans="5:19">
      <c r="E601" s="16" t="s">
        <v>37</v>
      </c>
      <c r="F601" s="16" t="s">
        <v>37</v>
      </c>
      <c r="G601" s="16" t="s">
        <v>37</v>
      </c>
      <c r="H601" s="17" t="s">
        <v>37</v>
      </c>
      <c r="I601" s="17" t="s">
        <v>37</v>
      </c>
      <c r="J601" s="17" t="s">
        <v>37</v>
      </c>
      <c r="K601" s="17" t="s">
        <v>37</v>
      </c>
      <c r="L601" s="17" t="s">
        <v>37</v>
      </c>
      <c r="M601" s="17" t="s">
        <v>37</v>
      </c>
      <c r="N601" s="17" t="s">
        <v>37</v>
      </c>
      <c r="O601" s="41" t="s">
        <v>37</v>
      </c>
      <c r="P601" s="28"/>
      <c r="Q601" s="17" t="s">
        <v>37</v>
      </c>
      <c r="S601" t="str">
        <f t="shared" si="9"/>
        <v>TINCY C S</v>
      </c>
    </row>
    <row r="602" spans="5:19" ht="0" hidden="1" customHeight="1">
      <c r="S602">
        <f t="shared" si="9"/>
        <v>0</v>
      </c>
    </row>
    <row r="603" spans="5:19" ht="0.6" customHeight="1">
      <c r="S603">
        <f t="shared" si="9"/>
        <v>0</v>
      </c>
    </row>
    <row r="604" spans="5:19">
      <c r="E604" s="38" t="s">
        <v>35</v>
      </c>
      <c r="F604" s="31"/>
      <c r="G604" s="4" t="s">
        <v>36</v>
      </c>
      <c r="H604" s="6" t="s">
        <v>37</v>
      </c>
      <c r="I604" s="6" t="s">
        <v>37</v>
      </c>
      <c r="J604" s="6" t="s">
        <v>37</v>
      </c>
      <c r="K604" s="6" t="s">
        <v>37</v>
      </c>
      <c r="L604" s="6" t="s">
        <v>37</v>
      </c>
      <c r="M604" s="6" t="s">
        <v>37</v>
      </c>
      <c r="N604" s="6" t="s">
        <v>37</v>
      </c>
      <c r="O604" s="39" t="s">
        <v>37</v>
      </c>
      <c r="P604" s="28"/>
      <c r="Q604" s="6" t="s">
        <v>37</v>
      </c>
      <c r="S604" t="str">
        <f t="shared" si="9"/>
        <v>SGPA</v>
      </c>
    </row>
    <row r="605" spans="5:19" ht="21">
      <c r="E605" s="32" t="s">
        <v>458</v>
      </c>
      <c r="F605" s="31"/>
      <c r="G605" s="8" t="s">
        <v>39</v>
      </c>
      <c r="H605" s="8" t="s">
        <v>19</v>
      </c>
      <c r="I605" s="8" t="s">
        <v>9</v>
      </c>
      <c r="J605" s="8" t="s">
        <v>21</v>
      </c>
      <c r="K605" s="8" t="s">
        <v>11</v>
      </c>
      <c r="L605" s="8" t="s">
        <v>15</v>
      </c>
      <c r="M605" s="8" t="s">
        <v>27</v>
      </c>
      <c r="N605" s="8" t="s">
        <v>7</v>
      </c>
      <c r="O605" s="40" t="s">
        <v>33</v>
      </c>
      <c r="P605" s="31"/>
      <c r="Q605" s="8" t="s">
        <v>40</v>
      </c>
      <c r="S605" t="str">
        <f t="shared" si="9"/>
        <v>CGPA</v>
      </c>
    </row>
    <row r="606" spans="5:19" ht="22.5">
      <c r="E606" s="13" t="s">
        <v>41</v>
      </c>
      <c r="F606" s="13" t="s">
        <v>459</v>
      </c>
      <c r="G606" s="11" t="s">
        <v>43</v>
      </c>
      <c r="H606" s="12" t="s">
        <v>185</v>
      </c>
      <c r="I606" s="12" t="s">
        <v>460</v>
      </c>
      <c r="J606" s="12" t="s">
        <v>461</v>
      </c>
      <c r="K606" s="12" t="s">
        <v>462</v>
      </c>
      <c r="L606" s="12" t="s">
        <v>463</v>
      </c>
      <c r="M606" s="12" t="s">
        <v>132</v>
      </c>
      <c r="N606" s="12" t="s">
        <v>166</v>
      </c>
      <c r="O606" s="30" t="s">
        <v>51</v>
      </c>
      <c r="P606" s="31"/>
      <c r="Q606" s="11" t="s">
        <v>37</v>
      </c>
      <c r="S606" t="str">
        <f t="shared" si="9"/>
        <v>Result: PASS</v>
      </c>
    </row>
    <row r="607" spans="5:19">
      <c r="E607" s="32" t="s">
        <v>464</v>
      </c>
      <c r="F607" s="33"/>
      <c r="G607" s="11" t="s">
        <v>53</v>
      </c>
      <c r="H607" s="12" t="s">
        <v>51</v>
      </c>
      <c r="I607" s="12" t="s">
        <v>51</v>
      </c>
      <c r="J607" s="12" t="s">
        <v>51</v>
      </c>
      <c r="K607" s="12" t="s">
        <v>51</v>
      </c>
      <c r="L607" s="12" t="s">
        <v>51</v>
      </c>
      <c r="M607" s="12" t="s">
        <v>51</v>
      </c>
      <c r="N607" s="12" t="s">
        <v>51</v>
      </c>
      <c r="O607" s="30" t="s">
        <v>100</v>
      </c>
      <c r="P607" s="31"/>
      <c r="Q607" s="11" t="s">
        <v>37</v>
      </c>
      <c r="S607" t="str">
        <f t="shared" si="9"/>
        <v>Class</v>
      </c>
    </row>
    <row r="608" spans="5:19">
      <c r="E608" s="34"/>
      <c r="F608" s="35"/>
      <c r="G608" s="11" t="s">
        <v>55</v>
      </c>
      <c r="H608" s="12" t="s">
        <v>37</v>
      </c>
      <c r="I608" s="12" t="s">
        <v>37</v>
      </c>
      <c r="J608" s="12" t="s">
        <v>37</v>
      </c>
      <c r="K608" s="12" t="s">
        <v>37</v>
      </c>
      <c r="L608" s="12" t="s">
        <v>37</v>
      </c>
      <c r="M608" s="12" t="s">
        <v>37</v>
      </c>
      <c r="N608" s="12" t="s">
        <v>37</v>
      </c>
      <c r="O608" s="30" t="s">
        <v>37</v>
      </c>
      <c r="P608" s="31"/>
      <c r="Q608" s="11">
        <v>0</v>
      </c>
      <c r="S608" t="str">
        <f t="shared" si="9"/>
        <v>Term Grade: OA</v>
      </c>
    </row>
    <row r="609" spans="5:19">
      <c r="E609" s="36"/>
      <c r="F609" s="37"/>
      <c r="G609" s="11" t="s">
        <v>56</v>
      </c>
      <c r="H609" s="12">
        <v>4</v>
      </c>
      <c r="I609" s="12">
        <v>4</v>
      </c>
      <c r="J609" s="12">
        <v>4</v>
      </c>
      <c r="K609" s="12">
        <v>3</v>
      </c>
      <c r="L609" s="12">
        <v>3</v>
      </c>
      <c r="M609" s="12">
        <v>3</v>
      </c>
      <c r="N609" s="12">
        <v>2</v>
      </c>
      <c r="O609" s="30">
        <v>2</v>
      </c>
      <c r="P609" s="31"/>
      <c r="Q609" s="11">
        <v>25</v>
      </c>
      <c r="S609" t="str">
        <f t="shared" si="9"/>
        <v>M.C.No</v>
      </c>
    </row>
    <row r="610" spans="5:19">
      <c r="E610" s="13" t="s">
        <v>57</v>
      </c>
      <c r="F610" s="13">
        <v>8.42</v>
      </c>
      <c r="G610" s="11" t="s">
        <v>58</v>
      </c>
      <c r="H610" s="12">
        <v>8.5</v>
      </c>
      <c r="I610" s="12">
        <v>8.5</v>
      </c>
      <c r="J610" s="12">
        <v>8</v>
      </c>
      <c r="K610" s="12">
        <v>8</v>
      </c>
      <c r="L610" s="12">
        <v>8</v>
      </c>
      <c r="M610" s="12">
        <v>7.5</v>
      </c>
      <c r="N610" s="12">
        <v>10</v>
      </c>
      <c r="O610" s="30">
        <v>10</v>
      </c>
      <c r="P610" s="31"/>
      <c r="Q610" s="11" t="s">
        <v>37</v>
      </c>
      <c r="S610" t="str">
        <f t="shared" si="9"/>
        <v/>
      </c>
    </row>
    <row r="611" spans="5:19">
      <c r="E611" s="13" t="s">
        <v>59</v>
      </c>
      <c r="F611" s="14">
        <v>8.42</v>
      </c>
      <c r="G611" s="11" t="s">
        <v>60</v>
      </c>
      <c r="H611" s="12">
        <v>34</v>
      </c>
      <c r="I611" s="12">
        <v>34</v>
      </c>
      <c r="J611" s="12">
        <v>32</v>
      </c>
      <c r="K611" s="12">
        <v>24</v>
      </c>
      <c r="L611" s="12">
        <v>24</v>
      </c>
      <c r="M611" s="12">
        <v>22.5</v>
      </c>
      <c r="N611" s="12">
        <v>20</v>
      </c>
      <c r="O611" s="30">
        <v>20</v>
      </c>
      <c r="P611" s="31"/>
      <c r="Q611" s="11">
        <v>210.5</v>
      </c>
      <c r="S611">
        <f t="shared" si="9"/>
        <v>0</v>
      </c>
    </row>
    <row r="612" spans="5:19">
      <c r="E612" s="32" t="s">
        <v>61</v>
      </c>
      <c r="F612" s="31"/>
      <c r="G612" s="11" t="s">
        <v>40</v>
      </c>
      <c r="H612" s="12">
        <v>82</v>
      </c>
      <c r="I612" s="12">
        <v>83</v>
      </c>
      <c r="J612" s="12">
        <v>77</v>
      </c>
      <c r="K612" s="12">
        <v>76</v>
      </c>
      <c r="L612" s="12">
        <v>76</v>
      </c>
      <c r="M612" s="12">
        <v>73</v>
      </c>
      <c r="N612" s="12">
        <v>49</v>
      </c>
      <c r="O612" s="30">
        <v>50</v>
      </c>
      <c r="P612" s="31"/>
      <c r="Q612" s="11">
        <v>566</v>
      </c>
      <c r="S612">
        <f t="shared" si="9"/>
        <v>0</v>
      </c>
    </row>
    <row r="613" spans="5:19">
      <c r="E613" s="13" t="s">
        <v>62</v>
      </c>
      <c r="F613" s="13"/>
      <c r="G613" s="11" t="s">
        <v>63</v>
      </c>
      <c r="H613" s="12">
        <v>100</v>
      </c>
      <c r="I613" s="12">
        <v>100</v>
      </c>
      <c r="J613" s="12">
        <v>100</v>
      </c>
      <c r="K613" s="12">
        <v>100</v>
      </c>
      <c r="L613" s="12">
        <v>100</v>
      </c>
      <c r="M613" s="12">
        <v>100</v>
      </c>
      <c r="N613" s="12">
        <v>50</v>
      </c>
      <c r="O613" s="30">
        <v>50</v>
      </c>
      <c r="P613" s="31"/>
      <c r="Q613" s="11">
        <v>700</v>
      </c>
      <c r="S613" t="str">
        <f t="shared" si="9"/>
        <v>Dr. B.B. Hegde First Grade College, Kundapura, Udupi.</v>
      </c>
    </row>
    <row r="614" spans="5:19">
      <c r="E614" s="32" t="s">
        <v>200</v>
      </c>
      <c r="F614" s="31"/>
      <c r="G614" s="11" t="s">
        <v>65</v>
      </c>
      <c r="H614" s="12" t="s">
        <v>70</v>
      </c>
      <c r="I614" s="12" t="s">
        <v>70</v>
      </c>
      <c r="J614" s="12" t="s">
        <v>102</v>
      </c>
      <c r="K614" s="12" t="s">
        <v>102</v>
      </c>
      <c r="L614" s="12" t="s">
        <v>102</v>
      </c>
      <c r="M614" s="12" t="s">
        <v>68</v>
      </c>
      <c r="N614" s="12" t="s">
        <v>88</v>
      </c>
      <c r="O614" s="30" t="s">
        <v>88</v>
      </c>
      <c r="P614" s="31"/>
      <c r="Q614" s="11" t="s">
        <v>37</v>
      </c>
      <c r="S614" t="str">
        <f t="shared" si="9"/>
        <v>00042</v>
      </c>
    </row>
    <row r="615" spans="5:19">
      <c r="E615" s="15" t="s">
        <v>72</v>
      </c>
      <c r="F615" s="15" t="s">
        <v>465</v>
      </c>
      <c r="G615" s="11" t="s">
        <v>74</v>
      </c>
      <c r="H615" s="12" t="s">
        <v>75</v>
      </c>
      <c r="I615" s="12" t="s">
        <v>75</v>
      </c>
      <c r="J615" s="12" t="s">
        <v>75</v>
      </c>
      <c r="K615" s="12" t="s">
        <v>75</v>
      </c>
      <c r="L615" s="12" t="s">
        <v>75</v>
      </c>
      <c r="M615" s="12" t="s">
        <v>75</v>
      </c>
      <c r="N615" s="12" t="s">
        <v>75</v>
      </c>
      <c r="O615" s="30" t="s">
        <v>75</v>
      </c>
      <c r="P615" s="31"/>
      <c r="Q615" s="11" t="s">
        <v>37</v>
      </c>
      <c r="S615" t="str">
        <f t="shared" si="9"/>
        <v>USN</v>
      </c>
    </row>
    <row r="616" spans="5:19">
      <c r="E616" s="16" t="s">
        <v>37</v>
      </c>
      <c r="F616" s="16" t="s">
        <v>37</v>
      </c>
      <c r="G616" s="16" t="s">
        <v>37</v>
      </c>
      <c r="H616" s="17" t="s">
        <v>37</v>
      </c>
      <c r="I616" s="17" t="s">
        <v>37</v>
      </c>
      <c r="J616" s="17" t="s">
        <v>37</v>
      </c>
      <c r="K616" s="17" t="s">
        <v>37</v>
      </c>
      <c r="L616" s="17" t="s">
        <v>37</v>
      </c>
      <c r="M616" s="17" t="s">
        <v>37</v>
      </c>
      <c r="N616" s="17" t="s">
        <v>37</v>
      </c>
      <c r="O616" s="41" t="s">
        <v>37</v>
      </c>
      <c r="P616" s="28"/>
      <c r="Q616" s="17" t="s">
        <v>37</v>
      </c>
      <c r="S616" t="str">
        <f t="shared" si="9"/>
        <v>VISHAL</v>
      </c>
    </row>
    <row r="617" spans="5:19" ht="0" hidden="1" customHeight="1">
      <c r="S617">
        <f t="shared" si="9"/>
        <v>0</v>
      </c>
    </row>
    <row r="618" spans="5:19" ht="0.6" customHeight="1">
      <c r="S618">
        <f t="shared" si="9"/>
        <v>0</v>
      </c>
    </row>
    <row r="619" spans="5:19">
      <c r="E619" s="38" t="s">
        <v>35</v>
      </c>
      <c r="F619" s="31"/>
      <c r="G619" s="4" t="s">
        <v>36</v>
      </c>
      <c r="H619" s="6" t="s">
        <v>37</v>
      </c>
      <c r="I619" s="6" t="s">
        <v>37</v>
      </c>
      <c r="J619" s="6" t="s">
        <v>37</v>
      </c>
      <c r="K619" s="6" t="s">
        <v>37</v>
      </c>
      <c r="L619" s="6" t="s">
        <v>37</v>
      </c>
      <c r="M619" s="6" t="s">
        <v>37</v>
      </c>
      <c r="N619" s="6" t="s">
        <v>37</v>
      </c>
      <c r="O619" s="39" t="s">
        <v>37</v>
      </c>
      <c r="P619" s="28"/>
      <c r="Q619" s="6" t="s">
        <v>37</v>
      </c>
      <c r="S619" t="str">
        <f t="shared" si="9"/>
        <v>SGPA</v>
      </c>
    </row>
    <row r="620" spans="5:19" ht="21">
      <c r="E620" s="32" t="s">
        <v>466</v>
      </c>
      <c r="F620" s="31"/>
      <c r="G620" s="8" t="s">
        <v>39</v>
      </c>
      <c r="H620" s="8" t="s">
        <v>19</v>
      </c>
      <c r="I620" s="8" t="s">
        <v>9</v>
      </c>
      <c r="J620" s="8" t="s">
        <v>21</v>
      </c>
      <c r="K620" s="8" t="s">
        <v>11</v>
      </c>
      <c r="L620" s="8" t="s">
        <v>17</v>
      </c>
      <c r="M620" s="8" t="s">
        <v>27</v>
      </c>
      <c r="N620" s="8" t="s">
        <v>7</v>
      </c>
      <c r="O620" s="40" t="s">
        <v>29</v>
      </c>
      <c r="P620" s="31"/>
      <c r="Q620" s="8" t="s">
        <v>40</v>
      </c>
      <c r="S620" t="str">
        <f t="shared" si="9"/>
        <v>CGPA</v>
      </c>
    </row>
    <row r="621" spans="5:19" ht="22.5">
      <c r="E621" s="13" t="s">
        <v>41</v>
      </c>
      <c r="F621" s="13" t="s">
        <v>467</v>
      </c>
      <c r="G621" s="11" t="s">
        <v>43</v>
      </c>
      <c r="H621" s="12" t="s">
        <v>47</v>
      </c>
      <c r="I621" s="12" t="s">
        <v>468</v>
      </c>
      <c r="J621" s="12" t="s">
        <v>469</v>
      </c>
      <c r="K621" s="12" t="s">
        <v>470</v>
      </c>
      <c r="L621" s="12" t="s">
        <v>425</v>
      </c>
      <c r="M621" s="12" t="s">
        <v>471</v>
      </c>
      <c r="N621" s="12" t="s">
        <v>389</v>
      </c>
      <c r="O621" s="30" t="s">
        <v>51</v>
      </c>
      <c r="P621" s="31"/>
      <c r="Q621" s="11" t="s">
        <v>37</v>
      </c>
      <c r="S621" t="str">
        <f t="shared" si="9"/>
        <v>Result: PASS</v>
      </c>
    </row>
    <row r="622" spans="5:19">
      <c r="E622" s="32" t="s">
        <v>472</v>
      </c>
      <c r="F622" s="33"/>
      <c r="G622" s="11" t="s">
        <v>53</v>
      </c>
      <c r="H622" s="12" t="s">
        <v>51</v>
      </c>
      <c r="I622" s="12" t="s">
        <v>51</v>
      </c>
      <c r="J622" s="12" t="s">
        <v>51</v>
      </c>
      <c r="K622" s="12" t="s">
        <v>51</v>
      </c>
      <c r="L622" s="12" t="s">
        <v>51</v>
      </c>
      <c r="M622" s="12" t="s">
        <v>51</v>
      </c>
      <c r="N622" s="12" t="s">
        <v>51</v>
      </c>
      <c r="O622" s="30" t="s">
        <v>125</v>
      </c>
      <c r="P622" s="31"/>
      <c r="Q622" s="11" t="s">
        <v>37</v>
      </c>
      <c r="S622" t="str">
        <f t="shared" si="9"/>
        <v>Class</v>
      </c>
    </row>
    <row r="623" spans="5:19">
      <c r="E623" s="34"/>
      <c r="F623" s="35"/>
      <c r="G623" s="11" t="s">
        <v>55</v>
      </c>
      <c r="H623" s="12" t="s">
        <v>37</v>
      </c>
      <c r="I623" s="12" t="s">
        <v>37</v>
      </c>
      <c r="J623" s="12" t="s">
        <v>37</v>
      </c>
      <c r="K623" s="12" t="s">
        <v>37</v>
      </c>
      <c r="L623" s="12" t="s">
        <v>37</v>
      </c>
      <c r="M623" s="12" t="s">
        <v>37</v>
      </c>
      <c r="N623" s="12" t="s">
        <v>37</v>
      </c>
      <c r="O623" s="30" t="s">
        <v>37</v>
      </c>
      <c r="P623" s="31"/>
      <c r="Q623" s="11">
        <v>0</v>
      </c>
      <c r="S623" t="str">
        <f t="shared" si="9"/>
        <v>Term Grade: AA</v>
      </c>
    </row>
    <row r="624" spans="5:19">
      <c r="E624" s="36"/>
      <c r="F624" s="37"/>
      <c r="G624" s="11" t="s">
        <v>56</v>
      </c>
      <c r="H624" s="12">
        <v>4</v>
      </c>
      <c r="I624" s="12">
        <v>4</v>
      </c>
      <c r="J624" s="12">
        <v>4</v>
      </c>
      <c r="K624" s="12">
        <v>3</v>
      </c>
      <c r="L624" s="12">
        <v>3</v>
      </c>
      <c r="M624" s="12">
        <v>3</v>
      </c>
      <c r="N624" s="12">
        <v>2</v>
      </c>
      <c r="O624" s="30">
        <v>2</v>
      </c>
      <c r="P624" s="31"/>
      <c r="Q624" s="11">
        <v>25</v>
      </c>
      <c r="S624" t="str">
        <f t="shared" si="9"/>
        <v>M.C.No</v>
      </c>
    </row>
    <row r="625" spans="5:19">
      <c r="E625" s="13" t="s">
        <v>57</v>
      </c>
      <c r="F625" s="13">
        <v>7.3</v>
      </c>
      <c r="G625" s="11" t="s">
        <v>58</v>
      </c>
      <c r="H625" s="12">
        <v>6.5</v>
      </c>
      <c r="I625" s="12">
        <v>8.5</v>
      </c>
      <c r="J625" s="12">
        <v>6.5</v>
      </c>
      <c r="K625" s="12">
        <v>5.5</v>
      </c>
      <c r="L625" s="12">
        <v>8</v>
      </c>
      <c r="M625" s="12">
        <v>6</v>
      </c>
      <c r="N625" s="12">
        <v>9.5</v>
      </c>
      <c r="O625" s="30">
        <v>9.5</v>
      </c>
      <c r="P625" s="31"/>
      <c r="Q625" s="11" t="s">
        <v>37</v>
      </c>
      <c r="S625" t="str">
        <f t="shared" si="9"/>
        <v/>
      </c>
    </row>
    <row r="626" spans="5:19">
      <c r="E626" s="13" t="s">
        <v>59</v>
      </c>
      <c r="F626" s="14">
        <v>7.3</v>
      </c>
      <c r="G626" s="11" t="s">
        <v>60</v>
      </c>
      <c r="H626" s="12">
        <v>26</v>
      </c>
      <c r="I626" s="12">
        <v>34</v>
      </c>
      <c r="J626" s="12">
        <v>26</v>
      </c>
      <c r="K626" s="12">
        <v>16.5</v>
      </c>
      <c r="L626" s="12">
        <v>24</v>
      </c>
      <c r="M626" s="12">
        <v>18</v>
      </c>
      <c r="N626" s="12">
        <v>19</v>
      </c>
      <c r="O626" s="30">
        <v>19</v>
      </c>
      <c r="P626" s="31"/>
      <c r="Q626" s="11">
        <v>182.5</v>
      </c>
      <c r="S626">
        <f t="shared" si="9"/>
        <v>0</v>
      </c>
    </row>
    <row r="627" spans="5:19">
      <c r="E627" s="32" t="s">
        <v>61</v>
      </c>
      <c r="F627" s="31"/>
      <c r="G627" s="11" t="s">
        <v>40</v>
      </c>
      <c r="H627" s="12">
        <v>60</v>
      </c>
      <c r="I627" s="12">
        <v>81</v>
      </c>
      <c r="J627" s="12">
        <v>63</v>
      </c>
      <c r="K627" s="12">
        <v>52</v>
      </c>
      <c r="L627" s="12">
        <v>76</v>
      </c>
      <c r="M627" s="12">
        <v>59</v>
      </c>
      <c r="N627" s="12">
        <v>46</v>
      </c>
      <c r="O627" s="30">
        <v>46</v>
      </c>
      <c r="P627" s="31"/>
      <c r="Q627" s="11">
        <v>483</v>
      </c>
      <c r="S627">
        <f t="shared" si="9"/>
        <v>0</v>
      </c>
    </row>
    <row r="628" spans="5:19">
      <c r="E628" s="13" t="s">
        <v>62</v>
      </c>
      <c r="F628" s="13"/>
      <c r="G628" s="11" t="s">
        <v>63</v>
      </c>
      <c r="H628" s="12">
        <v>100</v>
      </c>
      <c r="I628" s="12">
        <v>100</v>
      </c>
      <c r="J628" s="12">
        <v>100</v>
      </c>
      <c r="K628" s="12">
        <v>100</v>
      </c>
      <c r="L628" s="12">
        <v>100</v>
      </c>
      <c r="M628" s="12">
        <v>100</v>
      </c>
      <c r="N628" s="12">
        <v>50</v>
      </c>
      <c r="O628" s="30">
        <v>50</v>
      </c>
      <c r="P628" s="31"/>
      <c r="Q628" s="11">
        <v>700</v>
      </c>
      <c r="S628" t="str">
        <f t="shared" si="9"/>
        <v>Dr. B.B. Hegde First Grade College, Kundapura, Udupi.</v>
      </c>
    </row>
    <row r="629" spans="5:19">
      <c r="E629" s="32" t="s">
        <v>101</v>
      </c>
      <c r="F629" s="31"/>
      <c r="G629" s="11" t="s">
        <v>65</v>
      </c>
      <c r="H629" s="12" t="s">
        <v>69</v>
      </c>
      <c r="I629" s="12" t="s">
        <v>70</v>
      </c>
      <c r="J629" s="12" t="s">
        <v>69</v>
      </c>
      <c r="K629" s="12" t="s">
        <v>138</v>
      </c>
      <c r="L629" s="12" t="s">
        <v>102</v>
      </c>
      <c r="M629" s="12" t="s">
        <v>103</v>
      </c>
      <c r="N629" s="12" t="s">
        <v>71</v>
      </c>
      <c r="O629" s="30" t="s">
        <v>71</v>
      </c>
      <c r="P629" s="31"/>
      <c r="Q629" s="11" t="s">
        <v>37</v>
      </c>
      <c r="S629" t="str">
        <f t="shared" si="9"/>
        <v>00043</v>
      </c>
    </row>
    <row r="630" spans="5:19">
      <c r="E630" s="15" t="s">
        <v>72</v>
      </c>
      <c r="F630" s="15" t="s">
        <v>473</v>
      </c>
      <c r="G630" s="11" t="s">
        <v>74</v>
      </c>
      <c r="H630" s="12" t="s">
        <v>75</v>
      </c>
      <c r="I630" s="12" t="s">
        <v>75</v>
      </c>
      <c r="J630" s="12" t="s">
        <v>75</v>
      </c>
      <c r="K630" s="12" t="s">
        <v>75</v>
      </c>
      <c r="L630" s="12" t="s">
        <v>75</v>
      </c>
      <c r="M630" s="12" t="s">
        <v>75</v>
      </c>
      <c r="N630" s="12" t="s">
        <v>75</v>
      </c>
      <c r="O630" s="30" t="s">
        <v>75</v>
      </c>
      <c r="P630" s="31"/>
      <c r="Q630" s="11" t="s">
        <v>37</v>
      </c>
      <c r="S630" t="str">
        <f t="shared" si="9"/>
        <v>USN</v>
      </c>
    </row>
    <row r="631" spans="5:19">
      <c r="E631" s="16" t="s">
        <v>37</v>
      </c>
      <c r="F631" s="16" t="s">
        <v>37</v>
      </c>
      <c r="G631" s="16" t="s">
        <v>37</v>
      </c>
      <c r="H631" s="17" t="s">
        <v>37</v>
      </c>
      <c r="I631" s="17" t="s">
        <v>37</v>
      </c>
      <c r="J631" s="17" t="s">
        <v>37</v>
      </c>
      <c r="K631" s="17" t="s">
        <v>37</v>
      </c>
      <c r="L631" s="17" t="s">
        <v>37</v>
      </c>
      <c r="M631" s="17" t="s">
        <v>37</v>
      </c>
      <c r="N631" s="17" t="s">
        <v>37</v>
      </c>
      <c r="O631" s="41" t="s">
        <v>37</v>
      </c>
      <c r="P631" s="28"/>
      <c r="Q631" s="17" t="s">
        <v>37</v>
      </c>
      <c r="S631" t="str">
        <f t="shared" si="9"/>
        <v>YUVARAJA</v>
      </c>
    </row>
    <row r="632" spans="5:19" ht="0" hidden="1" customHeight="1">
      <c r="S632">
        <f t="shared" si="9"/>
        <v>0</v>
      </c>
    </row>
    <row r="633" spans="5:19" ht="0.6" customHeight="1">
      <c r="S633">
        <f t="shared" si="9"/>
        <v>0</v>
      </c>
    </row>
    <row r="634" spans="5:19">
      <c r="E634" s="38" t="s">
        <v>35</v>
      </c>
      <c r="F634" s="31"/>
      <c r="G634" s="4" t="s">
        <v>36</v>
      </c>
      <c r="H634" s="6" t="s">
        <v>37</v>
      </c>
      <c r="I634" s="6" t="s">
        <v>37</v>
      </c>
      <c r="J634" s="6" t="s">
        <v>37</v>
      </c>
      <c r="K634" s="6" t="s">
        <v>37</v>
      </c>
      <c r="L634" s="6" t="s">
        <v>37</v>
      </c>
      <c r="M634" s="6" t="s">
        <v>37</v>
      </c>
      <c r="N634" s="6" t="s">
        <v>37</v>
      </c>
      <c r="O634" s="39" t="s">
        <v>37</v>
      </c>
      <c r="P634" s="28"/>
      <c r="Q634" s="6" t="s">
        <v>37</v>
      </c>
      <c r="S634" t="str">
        <f t="shared" si="9"/>
        <v>SGPA</v>
      </c>
    </row>
    <row r="635" spans="5:19" ht="21">
      <c r="E635" s="32" t="s">
        <v>474</v>
      </c>
      <c r="F635" s="31"/>
      <c r="G635" s="8" t="s">
        <v>39</v>
      </c>
      <c r="H635" s="8" t="s">
        <v>19</v>
      </c>
      <c r="I635" s="8" t="s">
        <v>9</v>
      </c>
      <c r="J635" s="8" t="s">
        <v>21</v>
      </c>
      <c r="K635" s="8" t="s">
        <v>11</v>
      </c>
      <c r="L635" s="8" t="s">
        <v>17</v>
      </c>
      <c r="M635" s="8" t="s">
        <v>27</v>
      </c>
      <c r="N635" s="8" t="s">
        <v>7</v>
      </c>
      <c r="O635" s="40" t="s">
        <v>23</v>
      </c>
      <c r="P635" s="31"/>
      <c r="Q635" s="8" t="s">
        <v>40</v>
      </c>
      <c r="S635" t="str">
        <f t="shared" si="9"/>
        <v>CGPA</v>
      </c>
    </row>
    <row r="636" spans="5:19" ht="22.5">
      <c r="E636" s="13" t="s">
        <v>41</v>
      </c>
      <c r="F636" s="13" t="s">
        <v>475</v>
      </c>
      <c r="G636" s="11" t="s">
        <v>43</v>
      </c>
      <c r="H636" s="12" t="s">
        <v>476</v>
      </c>
      <c r="I636" s="12" t="s">
        <v>477</v>
      </c>
      <c r="J636" s="12" t="s">
        <v>478</v>
      </c>
      <c r="K636" s="12" t="s">
        <v>479</v>
      </c>
      <c r="L636" s="12" t="s">
        <v>184</v>
      </c>
      <c r="M636" s="12" t="s">
        <v>480</v>
      </c>
      <c r="N636" s="12" t="s">
        <v>218</v>
      </c>
      <c r="O636" s="30" t="s">
        <v>51</v>
      </c>
      <c r="P636" s="31"/>
      <c r="Q636" s="11" t="s">
        <v>37</v>
      </c>
      <c r="S636" t="str">
        <f t="shared" si="9"/>
        <v>Result: PASS</v>
      </c>
    </row>
    <row r="637" spans="5:19">
      <c r="E637" s="32" t="s">
        <v>481</v>
      </c>
      <c r="F637" s="33"/>
      <c r="G637" s="11" t="s">
        <v>53</v>
      </c>
      <c r="H637" s="12" t="s">
        <v>51</v>
      </c>
      <c r="I637" s="12" t="s">
        <v>51</v>
      </c>
      <c r="J637" s="12" t="s">
        <v>51</v>
      </c>
      <c r="K637" s="12" t="s">
        <v>51</v>
      </c>
      <c r="L637" s="12" t="s">
        <v>51</v>
      </c>
      <c r="M637" s="12" t="s">
        <v>51</v>
      </c>
      <c r="N637" s="12" t="s">
        <v>51</v>
      </c>
      <c r="O637" s="30" t="s">
        <v>482</v>
      </c>
      <c r="P637" s="31"/>
      <c r="Q637" s="11" t="s">
        <v>37</v>
      </c>
      <c r="S637" t="str">
        <f t="shared" si="9"/>
        <v>Class</v>
      </c>
    </row>
    <row r="638" spans="5:19">
      <c r="E638" s="34"/>
      <c r="F638" s="35"/>
      <c r="G638" s="11" t="s">
        <v>55</v>
      </c>
      <c r="H638" s="12" t="s">
        <v>37</v>
      </c>
      <c r="I638" s="12" t="s">
        <v>37</v>
      </c>
      <c r="J638" s="12" t="s">
        <v>37</v>
      </c>
      <c r="K638" s="12" t="s">
        <v>37</v>
      </c>
      <c r="L638" s="12" t="s">
        <v>37</v>
      </c>
      <c r="M638" s="12" t="s">
        <v>37</v>
      </c>
      <c r="N638" s="12" t="s">
        <v>37</v>
      </c>
      <c r="O638" s="30" t="s">
        <v>37</v>
      </c>
      <c r="P638" s="31"/>
      <c r="Q638" s="11">
        <v>0</v>
      </c>
      <c r="S638" t="str">
        <f t="shared" si="9"/>
        <v>Term Grade: OA</v>
      </c>
    </row>
    <row r="639" spans="5:19">
      <c r="E639" s="36"/>
      <c r="F639" s="37"/>
      <c r="G639" s="11" t="s">
        <v>56</v>
      </c>
      <c r="H639" s="12">
        <v>4</v>
      </c>
      <c r="I639" s="12">
        <v>4</v>
      </c>
      <c r="J639" s="12">
        <v>4</v>
      </c>
      <c r="K639" s="12">
        <v>3</v>
      </c>
      <c r="L639" s="12">
        <v>3</v>
      </c>
      <c r="M639" s="12">
        <v>3</v>
      </c>
      <c r="N639" s="12">
        <v>2</v>
      </c>
      <c r="O639" s="30">
        <v>2</v>
      </c>
      <c r="P639" s="31"/>
      <c r="Q639" s="11">
        <v>25</v>
      </c>
      <c r="S639" t="str">
        <f t="shared" si="9"/>
        <v>M.C.No</v>
      </c>
    </row>
    <row r="640" spans="5:19">
      <c r="E640" s="13" t="s">
        <v>57</v>
      </c>
      <c r="F640" s="13">
        <v>8</v>
      </c>
      <c r="G640" s="11" t="s">
        <v>58</v>
      </c>
      <c r="H640" s="12">
        <v>7.5</v>
      </c>
      <c r="I640" s="12">
        <v>10</v>
      </c>
      <c r="J640" s="12">
        <v>7.5</v>
      </c>
      <c r="K640" s="12">
        <v>5.5</v>
      </c>
      <c r="L640" s="12">
        <v>8</v>
      </c>
      <c r="M640" s="12">
        <v>8.5</v>
      </c>
      <c r="N640" s="12">
        <v>9.5</v>
      </c>
      <c r="O640" s="30">
        <v>7.5</v>
      </c>
      <c r="P640" s="31"/>
      <c r="Q640" s="11" t="s">
        <v>37</v>
      </c>
      <c r="S640" t="str">
        <f t="shared" si="9"/>
        <v/>
      </c>
    </row>
    <row r="641" spans="5:19">
      <c r="E641" s="13" t="s">
        <v>59</v>
      </c>
      <c r="F641" s="14">
        <v>8</v>
      </c>
      <c r="G641" s="11" t="s">
        <v>60</v>
      </c>
      <c r="H641" s="12">
        <v>30</v>
      </c>
      <c r="I641" s="12">
        <v>40</v>
      </c>
      <c r="J641" s="12">
        <v>30</v>
      </c>
      <c r="K641" s="12">
        <v>16.5</v>
      </c>
      <c r="L641" s="12">
        <v>24</v>
      </c>
      <c r="M641" s="12">
        <v>25.5</v>
      </c>
      <c r="N641" s="12">
        <v>19</v>
      </c>
      <c r="O641" s="30">
        <v>15</v>
      </c>
      <c r="P641" s="31"/>
      <c r="Q641" s="11">
        <v>200</v>
      </c>
      <c r="S641">
        <f t="shared" si="9"/>
        <v>0</v>
      </c>
    </row>
    <row r="642" spans="5:19">
      <c r="E642" s="32" t="s">
        <v>61</v>
      </c>
      <c r="F642" s="31"/>
      <c r="G642" s="11" t="s">
        <v>40</v>
      </c>
      <c r="H642" s="12">
        <v>72</v>
      </c>
      <c r="I642" s="12">
        <v>96</v>
      </c>
      <c r="J642" s="12">
        <v>72</v>
      </c>
      <c r="K642" s="12">
        <v>54</v>
      </c>
      <c r="L642" s="12">
        <v>77</v>
      </c>
      <c r="M642" s="12">
        <v>82</v>
      </c>
      <c r="N642" s="12">
        <v>47</v>
      </c>
      <c r="O642" s="30">
        <v>37</v>
      </c>
      <c r="P642" s="31"/>
      <c r="Q642" s="11">
        <v>537</v>
      </c>
      <c r="S642">
        <f t="shared" si="9"/>
        <v>0</v>
      </c>
    </row>
    <row r="643" spans="5:19">
      <c r="E643" s="13" t="s">
        <v>62</v>
      </c>
      <c r="F643" s="13"/>
      <c r="G643" s="11" t="s">
        <v>63</v>
      </c>
      <c r="H643" s="12">
        <v>100</v>
      </c>
      <c r="I643" s="12">
        <v>100</v>
      </c>
      <c r="J643" s="12">
        <v>100</v>
      </c>
      <c r="K643" s="12">
        <v>100</v>
      </c>
      <c r="L643" s="12">
        <v>100</v>
      </c>
      <c r="M643" s="12">
        <v>100</v>
      </c>
      <c r="N643" s="12">
        <v>50</v>
      </c>
      <c r="O643" s="30">
        <v>50</v>
      </c>
      <c r="P643" s="31"/>
      <c r="Q643" s="11">
        <v>700</v>
      </c>
      <c r="S643" t="str">
        <f t="shared" si="9"/>
        <v>Dr. B.B. Hegde First Grade College, Kundapura, Udupi.</v>
      </c>
    </row>
    <row r="644" spans="5:19">
      <c r="E644" s="32" t="s">
        <v>200</v>
      </c>
      <c r="F644" s="31"/>
      <c r="G644" s="11" t="s">
        <v>65</v>
      </c>
      <c r="H644" s="12" t="s">
        <v>68</v>
      </c>
      <c r="I644" s="12" t="s">
        <v>88</v>
      </c>
      <c r="J644" s="12" t="s">
        <v>68</v>
      </c>
      <c r="K644" s="12" t="s">
        <v>138</v>
      </c>
      <c r="L644" s="12" t="s">
        <v>102</v>
      </c>
      <c r="M644" s="12" t="s">
        <v>70</v>
      </c>
      <c r="N644" s="12" t="s">
        <v>71</v>
      </c>
      <c r="O644" s="30" t="s">
        <v>68</v>
      </c>
      <c r="P644" s="31"/>
      <c r="Q644" s="11" t="s">
        <v>37</v>
      </c>
      <c r="S644" t="str">
        <f t="shared" si="9"/>
        <v>00044</v>
      </c>
    </row>
    <row r="645" spans="5:19">
      <c r="E645" s="15" t="s">
        <v>72</v>
      </c>
      <c r="F645" s="15" t="s">
        <v>483</v>
      </c>
      <c r="G645" s="11" t="s">
        <v>74</v>
      </c>
      <c r="H645" s="12" t="s">
        <v>75</v>
      </c>
      <c r="I645" s="12" t="s">
        <v>75</v>
      </c>
      <c r="J645" s="12" t="s">
        <v>75</v>
      </c>
      <c r="K645" s="12" t="s">
        <v>75</v>
      </c>
      <c r="L645" s="12" t="s">
        <v>75</v>
      </c>
      <c r="M645" s="12" t="s">
        <v>75</v>
      </c>
      <c r="N645" s="12" t="s">
        <v>75</v>
      </c>
      <c r="O645" s="30" t="s">
        <v>75</v>
      </c>
      <c r="P645" s="31"/>
      <c r="Q645" s="11" t="s">
        <v>37</v>
      </c>
      <c r="S645" t="str">
        <f t="shared" si="9"/>
        <v>USN</v>
      </c>
    </row>
    <row r="646" spans="5:19">
      <c r="E646" s="16" t="s">
        <v>37</v>
      </c>
      <c r="F646" s="16" t="s">
        <v>37</v>
      </c>
      <c r="G646" s="16" t="s">
        <v>37</v>
      </c>
      <c r="H646" s="17" t="s">
        <v>37</v>
      </c>
      <c r="I646" s="17" t="s">
        <v>37</v>
      </c>
      <c r="J646" s="17" t="s">
        <v>37</v>
      </c>
      <c r="K646" s="17" t="s">
        <v>37</v>
      </c>
      <c r="L646" s="17" t="s">
        <v>37</v>
      </c>
      <c r="M646" s="17" t="s">
        <v>37</v>
      </c>
      <c r="N646" s="17" t="s">
        <v>37</v>
      </c>
      <c r="O646" s="41" t="s">
        <v>37</v>
      </c>
      <c r="P646" s="28"/>
      <c r="Q646" s="17" t="s">
        <v>37</v>
      </c>
      <c r="S646" t="str">
        <f t="shared" si="9"/>
        <v>SUJAN</v>
      </c>
    </row>
    <row r="647" spans="5:19" ht="0" hidden="1" customHeight="1">
      <c r="S647">
        <f t="shared" si="9"/>
        <v>0</v>
      </c>
    </row>
    <row r="648" spans="5:19" ht="0.6" customHeight="1">
      <c r="S648">
        <f t="shared" si="9"/>
        <v>0</v>
      </c>
    </row>
    <row r="649" spans="5:19">
      <c r="E649" s="38" t="s">
        <v>35</v>
      </c>
      <c r="F649" s="31"/>
      <c r="G649" s="4" t="s">
        <v>36</v>
      </c>
      <c r="H649" s="6" t="s">
        <v>37</v>
      </c>
      <c r="I649" s="6" t="s">
        <v>37</v>
      </c>
      <c r="J649" s="6" t="s">
        <v>37</v>
      </c>
      <c r="K649" s="6" t="s">
        <v>37</v>
      </c>
      <c r="L649" s="6" t="s">
        <v>37</v>
      </c>
      <c r="M649" s="6" t="s">
        <v>37</v>
      </c>
      <c r="N649" s="6" t="s">
        <v>37</v>
      </c>
      <c r="O649" s="39" t="s">
        <v>37</v>
      </c>
      <c r="P649" s="28"/>
      <c r="Q649" s="6" t="s">
        <v>37</v>
      </c>
      <c r="S649" t="str">
        <f t="shared" si="9"/>
        <v>SGPA</v>
      </c>
    </row>
    <row r="650" spans="5:19" ht="21">
      <c r="E650" s="32" t="s">
        <v>484</v>
      </c>
      <c r="F650" s="31"/>
      <c r="G650" s="8" t="s">
        <v>39</v>
      </c>
      <c r="H650" s="8" t="s">
        <v>19</v>
      </c>
      <c r="I650" s="8" t="s">
        <v>9</v>
      </c>
      <c r="J650" s="8" t="s">
        <v>21</v>
      </c>
      <c r="K650" s="8" t="s">
        <v>11</v>
      </c>
      <c r="L650" s="8" t="s">
        <v>17</v>
      </c>
      <c r="M650" s="8" t="s">
        <v>27</v>
      </c>
      <c r="N650" s="8" t="s">
        <v>7</v>
      </c>
      <c r="O650" s="40" t="s">
        <v>23</v>
      </c>
      <c r="P650" s="31"/>
      <c r="Q650" s="8" t="s">
        <v>40</v>
      </c>
      <c r="S650" t="str">
        <f t="shared" si="9"/>
        <v>CGPA</v>
      </c>
    </row>
    <row r="651" spans="5:19" ht="22.5">
      <c r="E651" s="13" t="s">
        <v>41</v>
      </c>
      <c r="F651" s="13" t="s">
        <v>485</v>
      </c>
      <c r="G651" s="11" t="s">
        <v>43</v>
      </c>
      <c r="H651" s="12" t="s">
        <v>486</v>
      </c>
      <c r="I651" s="12" t="s">
        <v>477</v>
      </c>
      <c r="J651" s="12" t="s">
        <v>487</v>
      </c>
      <c r="K651" s="12" t="s">
        <v>153</v>
      </c>
      <c r="L651" s="12" t="s">
        <v>488</v>
      </c>
      <c r="M651" s="12" t="s">
        <v>489</v>
      </c>
      <c r="N651" s="12" t="s">
        <v>310</v>
      </c>
      <c r="O651" s="30" t="s">
        <v>51</v>
      </c>
      <c r="P651" s="31"/>
      <c r="Q651" s="11" t="s">
        <v>37</v>
      </c>
      <c r="S651" t="str">
        <f t="shared" si="9"/>
        <v>Result: PASS</v>
      </c>
    </row>
    <row r="652" spans="5:19">
      <c r="E652" s="32" t="s">
        <v>490</v>
      </c>
      <c r="F652" s="33"/>
      <c r="G652" s="11" t="s">
        <v>53</v>
      </c>
      <c r="H652" s="12" t="s">
        <v>51</v>
      </c>
      <c r="I652" s="12" t="s">
        <v>51</v>
      </c>
      <c r="J652" s="12" t="s">
        <v>51</v>
      </c>
      <c r="K652" s="12" t="s">
        <v>51</v>
      </c>
      <c r="L652" s="12" t="s">
        <v>51</v>
      </c>
      <c r="M652" s="12" t="s">
        <v>51</v>
      </c>
      <c r="N652" s="12" t="s">
        <v>51</v>
      </c>
      <c r="O652" s="30" t="s">
        <v>54</v>
      </c>
      <c r="P652" s="31"/>
      <c r="Q652" s="11" t="s">
        <v>37</v>
      </c>
      <c r="S652" t="str">
        <f t="shared" ref="S652:S715" si="10">$E658</f>
        <v>Class</v>
      </c>
    </row>
    <row r="653" spans="5:19">
      <c r="E653" s="34"/>
      <c r="F653" s="35"/>
      <c r="G653" s="11" t="s">
        <v>55</v>
      </c>
      <c r="H653" s="12" t="s">
        <v>37</v>
      </c>
      <c r="I653" s="12" t="s">
        <v>37</v>
      </c>
      <c r="J653" s="12" t="s">
        <v>37</v>
      </c>
      <c r="K653" s="12" t="s">
        <v>37</v>
      </c>
      <c r="L653" s="12" t="s">
        <v>37</v>
      </c>
      <c r="M653" s="12" t="s">
        <v>37</v>
      </c>
      <c r="N653" s="12" t="s">
        <v>37</v>
      </c>
      <c r="O653" s="30" t="s">
        <v>37</v>
      </c>
      <c r="P653" s="31"/>
      <c r="Q653" s="11">
        <v>0</v>
      </c>
      <c r="S653" t="str">
        <f t="shared" si="10"/>
        <v>Term Grade: OA+</v>
      </c>
    </row>
    <row r="654" spans="5:19">
      <c r="E654" s="36"/>
      <c r="F654" s="37"/>
      <c r="G654" s="11" t="s">
        <v>56</v>
      </c>
      <c r="H654" s="12">
        <v>4</v>
      </c>
      <c r="I654" s="12">
        <v>4</v>
      </c>
      <c r="J654" s="12">
        <v>4</v>
      </c>
      <c r="K654" s="12">
        <v>3</v>
      </c>
      <c r="L654" s="12">
        <v>3</v>
      </c>
      <c r="M654" s="12">
        <v>3</v>
      </c>
      <c r="N654" s="12">
        <v>2</v>
      </c>
      <c r="O654" s="30">
        <v>2</v>
      </c>
      <c r="P654" s="31"/>
      <c r="Q654" s="11">
        <v>25</v>
      </c>
      <c r="S654" t="str">
        <f t="shared" si="10"/>
        <v>M.C.No</v>
      </c>
    </row>
    <row r="655" spans="5:19">
      <c r="E655" s="13" t="s">
        <v>57</v>
      </c>
      <c r="F655" s="13">
        <v>8.64</v>
      </c>
      <c r="G655" s="11" t="s">
        <v>58</v>
      </c>
      <c r="H655" s="12">
        <v>8</v>
      </c>
      <c r="I655" s="12">
        <v>10</v>
      </c>
      <c r="J655" s="12">
        <v>8.5</v>
      </c>
      <c r="K655" s="12">
        <v>6.5</v>
      </c>
      <c r="L655" s="12">
        <v>9.5</v>
      </c>
      <c r="M655" s="12">
        <v>8</v>
      </c>
      <c r="N655" s="12">
        <v>9.5</v>
      </c>
      <c r="O655" s="30">
        <v>9.5</v>
      </c>
      <c r="P655" s="31"/>
      <c r="Q655" s="11" t="s">
        <v>37</v>
      </c>
      <c r="S655" t="str">
        <f t="shared" si="10"/>
        <v/>
      </c>
    </row>
    <row r="656" spans="5:19">
      <c r="E656" s="13" t="s">
        <v>59</v>
      </c>
      <c r="F656" s="14">
        <v>8.64</v>
      </c>
      <c r="G656" s="11" t="s">
        <v>60</v>
      </c>
      <c r="H656" s="12">
        <v>32</v>
      </c>
      <c r="I656" s="12">
        <v>40</v>
      </c>
      <c r="J656" s="12">
        <v>34</v>
      </c>
      <c r="K656" s="12">
        <v>19.5</v>
      </c>
      <c r="L656" s="12">
        <v>28.5</v>
      </c>
      <c r="M656" s="12">
        <v>24</v>
      </c>
      <c r="N656" s="12">
        <v>19</v>
      </c>
      <c r="O656" s="30">
        <v>19</v>
      </c>
      <c r="P656" s="31"/>
      <c r="Q656" s="11">
        <v>216</v>
      </c>
      <c r="S656">
        <f t="shared" si="10"/>
        <v>0</v>
      </c>
    </row>
    <row r="657" spans="5:19">
      <c r="E657" s="32" t="s">
        <v>61</v>
      </c>
      <c r="F657" s="31"/>
      <c r="G657" s="11" t="s">
        <v>40</v>
      </c>
      <c r="H657" s="12">
        <v>79</v>
      </c>
      <c r="I657" s="12">
        <v>96</v>
      </c>
      <c r="J657" s="12">
        <v>83</v>
      </c>
      <c r="K657" s="12">
        <v>64</v>
      </c>
      <c r="L657" s="12">
        <v>90</v>
      </c>
      <c r="M657" s="12">
        <v>77</v>
      </c>
      <c r="N657" s="12">
        <v>46</v>
      </c>
      <c r="O657" s="30">
        <v>45</v>
      </c>
      <c r="P657" s="31"/>
      <c r="Q657" s="11">
        <v>580</v>
      </c>
      <c r="S657">
        <f t="shared" si="10"/>
        <v>0</v>
      </c>
    </row>
    <row r="658" spans="5:19">
      <c r="E658" s="13" t="s">
        <v>62</v>
      </c>
      <c r="F658" s="13"/>
      <c r="G658" s="11" t="s">
        <v>63</v>
      </c>
      <c r="H658" s="12">
        <v>100</v>
      </c>
      <c r="I658" s="12">
        <v>100</v>
      </c>
      <c r="J658" s="12">
        <v>100</v>
      </c>
      <c r="K658" s="12">
        <v>100</v>
      </c>
      <c r="L658" s="12">
        <v>100</v>
      </c>
      <c r="M658" s="12">
        <v>100</v>
      </c>
      <c r="N658" s="12">
        <v>50</v>
      </c>
      <c r="O658" s="30">
        <v>50</v>
      </c>
      <c r="P658" s="31"/>
      <c r="Q658" s="11">
        <v>700</v>
      </c>
      <c r="S658" t="str">
        <f t="shared" si="10"/>
        <v>Dr. B.B. Hegde First Grade College, Kundapura, Udupi.</v>
      </c>
    </row>
    <row r="659" spans="5:19">
      <c r="E659" s="32" t="s">
        <v>188</v>
      </c>
      <c r="F659" s="31"/>
      <c r="G659" s="11" t="s">
        <v>65</v>
      </c>
      <c r="H659" s="12" t="s">
        <v>102</v>
      </c>
      <c r="I659" s="12" t="s">
        <v>88</v>
      </c>
      <c r="J659" s="12" t="s">
        <v>70</v>
      </c>
      <c r="K659" s="12" t="s">
        <v>69</v>
      </c>
      <c r="L659" s="12" t="s">
        <v>71</v>
      </c>
      <c r="M659" s="12" t="s">
        <v>102</v>
      </c>
      <c r="N659" s="12" t="s">
        <v>71</v>
      </c>
      <c r="O659" s="30" t="s">
        <v>71</v>
      </c>
      <c r="P659" s="31"/>
      <c r="Q659" s="11" t="s">
        <v>37</v>
      </c>
      <c r="S659" t="str">
        <f t="shared" si="10"/>
        <v>00045</v>
      </c>
    </row>
    <row r="660" spans="5:19">
      <c r="E660" s="15" t="s">
        <v>72</v>
      </c>
      <c r="F660" s="15" t="s">
        <v>491</v>
      </c>
      <c r="G660" s="11" t="s">
        <v>74</v>
      </c>
      <c r="H660" s="12" t="s">
        <v>75</v>
      </c>
      <c r="I660" s="12" t="s">
        <v>75</v>
      </c>
      <c r="J660" s="12" t="s">
        <v>75</v>
      </c>
      <c r="K660" s="12" t="s">
        <v>75</v>
      </c>
      <c r="L660" s="12" t="s">
        <v>75</v>
      </c>
      <c r="M660" s="12" t="s">
        <v>75</v>
      </c>
      <c r="N660" s="12" t="s">
        <v>75</v>
      </c>
      <c r="O660" s="30" t="s">
        <v>75</v>
      </c>
      <c r="P660" s="31"/>
      <c r="Q660" s="11" t="s">
        <v>37</v>
      </c>
      <c r="S660" t="str">
        <f t="shared" si="10"/>
        <v>USN</v>
      </c>
    </row>
    <row r="661" spans="5:19">
      <c r="E661" s="16" t="s">
        <v>37</v>
      </c>
      <c r="F661" s="16" t="s">
        <v>37</v>
      </c>
      <c r="G661" s="16" t="s">
        <v>37</v>
      </c>
      <c r="H661" s="17" t="s">
        <v>37</v>
      </c>
      <c r="I661" s="17" t="s">
        <v>37</v>
      </c>
      <c r="J661" s="17" t="s">
        <v>37</v>
      </c>
      <c r="K661" s="17" t="s">
        <v>37</v>
      </c>
      <c r="L661" s="17" t="s">
        <v>37</v>
      </c>
      <c r="M661" s="17" t="s">
        <v>37</v>
      </c>
      <c r="N661" s="17" t="s">
        <v>37</v>
      </c>
      <c r="O661" s="41" t="s">
        <v>37</v>
      </c>
      <c r="P661" s="28"/>
      <c r="Q661" s="17" t="s">
        <v>37</v>
      </c>
      <c r="S661" t="str">
        <f t="shared" si="10"/>
        <v>NAGENDRA B</v>
      </c>
    </row>
    <row r="662" spans="5:19" ht="0" hidden="1" customHeight="1">
      <c r="S662">
        <f t="shared" si="10"/>
        <v>0</v>
      </c>
    </row>
    <row r="663" spans="5:19" ht="0.6" customHeight="1">
      <c r="S663">
        <f t="shared" si="10"/>
        <v>0</v>
      </c>
    </row>
    <row r="664" spans="5:19">
      <c r="E664" s="38" t="s">
        <v>35</v>
      </c>
      <c r="F664" s="31"/>
      <c r="G664" s="4" t="s">
        <v>36</v>
      </c>
      <c r="H664" s="6" t="s">
        <v>37</v>
      </c>
      <c r="I664" s="6" t="s">
        <v>37</v>
      </c>
      <c r="J664" s="6" t="s">
        <v>37</v>
      </c>
      <c r="K664" s="6" t="s">
        <v>37</v>
      </c>
      <c r="L664" s="6" t="s">
        <v>37</v>
      </c>
      <c r="M664" s="6" t="s">
        <v>37</v>
      </c>
      <c r="N664" s="6" t="s">
        <v>37</v>
      </c>
      <c r="O664" s="39" t="s">
        <v>37</v>
      </c>
      <c r="P664" s="28"/>
      <c r="Q664" s="6" t="s">
        <v>37</v>
      </c>
      <c r="S664" t="str">
        <f t="shared" si="10"/>
        <v>SGPA</v>
      </c>
    </row>
    <row r="665" spans="5:19" ht="21">
      <c r="E665" s="32" t="s">
        <v>492</v>
      </c>
      <c r="F665" s="31"/>
      <c r="G665" s="8" t="s">
        <v>39</v>
      </c>
      <c r="H665" s="8" t="s">
        <v>19</v>
      </c>
      <c r="I665" s="8" t="s">
        <v>9</v>
      </c>
      <c r="J665" s="8" t="s">
        <v>21</v>
      </c>
      <c r="K665" s="8" t="s">
        <v>11</v>
      </c>
      <c r="L665" s="8" t="s">
        <v>17</v>
      </c>
      <c r="M665" s="8" t="s">
        <v>27</v>
      </c>
      <c r="N665" s="8" t="s">
        <v>7</v>
      </c>
      <c r="O665" s="40" t="s">
        <v>23</v>
      </c>
      <c r="P665" s="31"/>
      <c r="Q665" s="8" t="s">
        <v>40</v>
      </c>
      <c r="S665" t="str">
        <f t="shared" si="10"/>
        <v>CGPA</v>
      </c>
    </row>
    <row r="666" spans="5:19" ht="22.5">
      <c r="E666" s="13" t="s">
        <v>41</v>
      </c>
      <c r="F666" s="13" t="s">
        <v>493</v>
      </c>
      <c r="G666" s="11" t="s">
        <v>43</v>
      </c>
      <c r="H666" s="12" t="s">
        <v>215</v>
      </c>
      <c r="I666" s="12" t="s">
        <v>45</v>
      </c>
      <c r="J666" s="12" t="s">
        <v>494</v>
      </c>
      <c r="K666" s="12" t="s">
        <v>495</v>
      </c>
      <c r="L666" s="12" t="s">
        <v>432</v>
      </c>
      <c r="M666" s="12" t="s">
        <v>496</v>
      </c>
      <c r="N666" s="12" t="s">
        <v>497</v>
      </c>
      <c r="O666" s="30" t="s">
        <v>51</v>
      </c>
      <c r="P666" s="31"/>
      <c r="Q666" s="11" t="s">
        <v>37</v>
      </c>
      <c r="S666" t="str">
        <f t="shared" si="10"/>
        <v>Result: PASS</v>
      </c>
    </row>
    <row r="667" spans="5:19">
      <c r="E667" s="32" t="s">
        <v>498</v>
      </c>
      <c r="F667" s="33"/>
      <c r="G667" s="11" t="s">
        <v>53</v>
      </c>
      <c r="H667" s="12" t="s">
        <v>51</v>
      </c>
      <c r="I667" s="12" t="s">
        <v>51</v>
      </c>
      <c r="J667" s="12" t="s">
        <v>51</v>
      </c>
      <c r="K667" s="12" t="s">
        <v>51</v>
      </c>
      <c r="L667" s="12" t="s">
        <v>51</v>
      </c>
      <c r="M667" s="12" t="s">
        <v>51</v>
      </c>
      <c r="N667" s="12" t="s">
        <v>51</v>
      </c>
      <c r="O667" s="30" t="s">
        <v>54</v>
      </c>
      <c r="P667" s="31"/>
      <c r="Q667" s="11" t="s">
        <v>37</v>
      </c>
      <c r="S667" t="str">
        <f t="shared" si="10"/>
        <v>Class</v>
      </c>
    </row>
    <row r="668" spans="5:19">
      <c r="E668" s="34"/>
      <c r="F668" s="35"/>
      <c r="G668" s="11" t="s">
        <v>55</v>
      </c>
      <c r="H668" s="12" t="s">
        <v>37</v>
      </c>
      <c r="I668" s="12" t="s">
        <v>37</v>
      </c>
      <c r="J668" s="12" t="s">
        <v>37</v>
      </c>
      <c r="K668" s="12" t="s">
        <v>37</v>
      </c>
      <c r="L668" s="12" t="s">
        <v>37</v>
      </c>
      <c r="M668" s="12" t="s">
        <v>37</v>
      </c>
      <c r="N668" s="12" t="s">
        <v>37</v>
      </c>
      <c r="O668" s="30" t="s">
        <v>37</v>
      </c>
      <c r="P668" s="31"/>
      <c r="Q668" s="11">
        <v>0</v>
      </c>
      <c r="S668" t="str">
        <f t="shared" si="10"/>
        <v>Term Grade: AA+</v>
      </c>
    </row>
    <row r="669" spans="5:19">
      <c r="E669" s="36"/>
      <c r="F669" s="37"/>
      <c r="G669" s="11" t="s">
        <v>56</v>
      </c>
      <c r="H669" s="12">
        <v>4</v>
      </c>
      <c r="I669" s="12">
        <v>4</v>
      </c>
      <c r="J669" s="12">
        <v>4</v>
      </c>
      <c r="K669" s="12">
        <v>3</v>
      </c>
      <c r="L669" s="12">
        <v>3</v>
      </c>
      <c r="M669" s="12">
        <v>3</v>
      </c>
      <c r="N669" s="12">
        <v>2</v>
      </c>
      <c r="O669" s="30">
        <v>2</v>
      </c>
      <c r="P669" s="31"/>
      <c r="Q669" s="11">
        <v>25</v>
      </c>
      <c r="S669" t="str">
        <f t="shared" si="10"/>
        <v>M.C.No</v>
      </c>
    </row>
    <row r="670" spans="5:19">
      <c r="E670" s="13" t="s">
        <v>57</v>
      </c>
      <c r="F670" s="13">
        <v>7.8</v>
      </c>
      <c r="G670" s="11" t="s">
        <v>58</v>
      </c>
      <c r="H670" s="12">
        <v>7</v>
      </c>
      <c r="I670" s="12">
        <v>9</v>
      </c>
      <c r="J670" s="12">
        <v>8</v>
      </c>
      <c r="K670" s="12">
        <v>6</v>
      </c>
      <c r="L670" s="12">
        <v>8</v>
      </c>
      <c r="M670" s="12">
        <v>7</v>
      </c>
      <c r="N670" s="12">
        <v>8.5</v>
      </c>
      <c r="O670" s="30">
        <v>9.5</v>
      </c>
      <c r="P670" s="31"/>
      <c r="Q670" s="11" t="s">
        <v>37</v>
      </c>
      <c r="S670" t="str">
        <f t="shared" si="10"/>
        <v/>
      </c>
    </row>
    <row r="671" spans="5:19">
      <c r="E671" s="13" t="s">
        <v>59</v>
      </c>
      <c r="F671" s="14">
        <v>7.8</v>
      </c>
      <c r="G671" s="11" t="s">
        <v>60</v>
      </c>
      <c r="H671" s="12">
        <v>28</v>
      </c>
      <c r="I671" s="12">
        <v>36</v>
      </c>
      <c r="J671" s="12">
        <v>32</v>
      </c>
      <c r="K671" s="12">
        <v>18</v>
      </c>
      <c r="L671" s="12">
        <v>24</v>
      </c>
      <c r="M671" s="12">
        <v>21</v>
      </c>
      <c r="N671" s="12">
        <v>17</v>
      </c>
      <c r="O671" s="30">
        <v>19</v>
      </c>
      <c r="P671" s="31"/>
      <c r="Q671" s="11">
        <v>195</v>
      </c>
      <c r="S671">
        <f t="shared" si="10"/>
        <v>0</v>
      </c>
    </row>
    <row r="672" spans="5:19">
      <c r="E672" s="32" t="s">
        <v>61</v>
      </c>
      <c r="F672" s="31"/>
      <c r="G672" s="11" t="s">
        <v>40</v>
      </c>
      <c r="H672" s="12">
        <v>68</v>
      </c>
      <c r="I672" s="12">
        <v>89</v>
      </c>
      <c r="J672" s="12">
        <v>76</v>
      </c>
      <c r="K672" s="12">
        <v>58</v>
      </c>
      <c r="L672" s="12">
        <v>78</v>
      </c>
      <c r="M672" s="12">
        <v>67</v>
      </c>
      <c r="N672" s="12">
        <v>40</v>
      </c>
      <c r="O672" s="30">
        <v>45</v>
      </c>
      <c r="P672" s="31"/>
      <c r="Q672" s="11">
        <v>521</v>
      </c>
      <c r="S672">
        <f t="shared" si="10"/>
        <v>0</v>
      </c>
    </row>
    <row r="673" spans="5:19">
      <c r="E673" s="13" t="s">
        <v>62</v>
      </c>
      <c r="F673" s="13"/>
      <c r="G673" s="11" t="s">
        <v>63</v>
      </c>
      <c r="H673" s="12">
        <v>100</v>
      </c>
      <c r="I673" s="12">
        <v>100</v>
      </c>
      <c r="J673" s="12">
        <v>100</v>
      </c>
      <c r="K673" s="12">
        <v>100</v>
      </c>
      <c r="L673" s="12">
        <v>100</v>
      </c>
      <c r="M673" s="12">
        <v>100</v>
      </c>
      <c r="N673" s="12">
        <v>50</v>
      </c>
      <c r="O673" s="30">
        <v>50</v>
      </c>
      <c r="P673" s="31"/>
      <c r="Q673" s="11">
        <v>700</v>
      </c>
      <c r="S673" t="str">
        <f t="shared" si="10"/>
        <v>Dr. B.B. Hegde First Grade College, Kundapura, Udupi.</v>
      </c>
    </row>
    <row r="674" spans="5:19">
      <c r="E674" s="32" t="s">
        <v>64</v>
      </c>
      <c r="F674" s="31"/>
      <c r="G674" s="11" t="s">
        <v>65</v>
      </c>
      <c r="H674" s="12" t="s">
        <v>66</v>
      </c>
      <c r="I674" s="12" t="s">
        <v>67</v>
      </c>
      <c r="J674" s="12" t="s">
        <v>102</v>
      </c>
      <c r="K674" s="12" t="s">
        <v>103</v>
      </c>
      <c r="L674" s="12" t="s">
        <v>102</v>
      </c>
      <c r="M674" s="12" t="s">
        <v>66</v>
      </c>
      <c r="N674" s="12" t="s">
        <v>70</v>
      </c>
      <c r="O674" s="30" t="s">
        <v>71</v>
      </c>
      <c r="P674" s="31"/>
      <c r="Q674" s="11" t="s">
        <v>37</v>
      </c>
      <c r="S674" t="str">
        <f t="shared" si="10"/>
        <v>00046</v>
      </c>
    </row>
    <row r="675" spans="5:19">
      <c r="E675" s="15" t="s">
        <v>72</v>
      </c>
      <c r="F675" s="15" t="s">
        <v>499</v>
      </c>
      <c r="G675" s="11" t="s">
        <v>74</v>
      </c>
      <c r="H675" s="12" t="s">
        <v>75</v>
      </c>
      <c r="I675" s="12" t="s">
        <v>75</v>
      </c>
      <c r="J675" s="12" t="s">
        <v>75</v>
      </c>
      <c r="K675" s="12" t="s">
        <v>75</v>
      </c>
      <c r="L675" s="12" t="s">
        <v>75</v>
      </c>
      <c r="M675" s="12" t="s">
        <v>75</v>
      </c>
      <c r="N675" s="12" t="s">
        <v>75</v>
      </c>
      <c r="O675" s="30" t="s">
        <v>75</v>
      </c>
      <c r="P675" s="31"/>
      <c r="Q675" s="11" t="s">
        <v>37</v>
      </c>
      <c r="S675" t="str">
        <f t="shared" si="10"/>
        <v>USN</v>
      </c>
    </row>
    <row r="676" spans="5:19">
      <c r="E676" s="16" t="s">
        <v>37</v>
      </c>
      <c r="F676" s="16" t="s">
        <v>37</v>
      </c>
      <c r="G676" s="16" t="s">
        <v>37</v>
      </c>
      <c r="H676" s="17" t="s">
        <v>37</v>
      </c>
      <c r="I676" s="17" t="s">
        <v>37</v>
      </c>
      <c r="J676" s="17" t="s">
        <v>37</v>
      </c>
      <c r="K676" s="17" t="s">
        <v>37</v>
      </c>
      <c r="L676" s="17" t="s">
        <v>37</v>
      </c>
      <c r="M676" s="17" t="s">
        <v>37</v>
      </c>
      <c r="N676" s="17" t="s">
        <v>37</v>
      </c>
      <c r="O676" s="41" t="s">
        <v>37</v>
      </c>
      <c r="P676" s="28"/>
      <c r="Q676" s="17" t="s">
        <v>37</v>
      </c>
      <c r="S676" t="str">
        <f t="shared" si="10"/>
        <v>SHREYA</v>
      </c>
    </row>
    <row r="677" spans="5:19" ht="0" hidden="1" customHeight="1">
      <c r="S677">
        <f t="shared" si="10"/>
        <v>0</v>
      </c>
    </row>
    <row r="678" spans="5:19" ht="0.6" customHeight="1">
      <c r="S678">
        <f t="shared" si="10"/>
        <v>0</v>
      </c>
    </row>
    <row r="679" spans="5:19">
      <c r="E679" s="38" t="s">
        <v>35</v>
      </c>
      <c r="F679" s="31"/>
      <c r="G679" s="4" t="s">
        <v>36</v>
      </c>
      <c r="H679" s="6" t="s">
        <v>37</v>
      </c>
      <c r="I679" s="6" t="s">
        <v>37</v>
      </c>
      <c r="J679" s="6" t="s">
        <v>37</v>
      </c>
      <c r="K679" s="6" t="s">
        <v>37</v>
      </c>
      <c r="L679" s="6" t="s">
        <v>37</v>
      </c>
      <c r="M679" s="6" t="s">
        <v>37</v>
      </c>
      <c r="N679" s="6" t="s">
        <v>37</v>
      </c>
      <c r="O679" s="39" t="s">
        <v>37</v>
      </c>
      <c r="P679" s="28"/>
      <c r="Q679" s="6" t="s">
        <v>37</v>
      </c>
      <c r="S679" t="str">
        <f t="shared" si="10"/>
        <v>SGPA</v>
      </c>
    </row>
    <row r="680" spans="5:19" ht="21">
      <c r="E680" s="32" t="s">
        <v>500</v>
      </c>
      <c r="F680" s="31"/>
      <c r="G680" s="8" t="s">
        <v>39</v>
      </c>
      <c r="H680" s="8" t="s">
        <v>19</v>
      </c>
      <c r="I680" s="8" t="s">
        <v>9</v>
      </c>
      <c r="J680" s="8" t="s">
        <v>21</v>
      </c>
      <c r="K680" s="8" t="s">
        <v>11</v>
      </c>
      <c r="L680" s="8" t="s">
        <v>17</v>
      </c>
      <c r="M680" s="8" t="s">
        <v>27</v>
      </c>
      <c r="N680" s="8" t="s">
        <v>7</v>
      </c>
      <c r="O680" s="40" t="s">
        <v>23</v>
      </c>
      <c r="P680" s="31"/>
      <c r="Q680" s="8" t="s">
        <v>40</v>
      </c>
      <c r="S680" t="str">
        <f t="shared" si="10"/>
        <v>CGPA</v>
      </c>
    </row>
    <row r="681" spans="5:19" ht="22.5">
      <c r="E681" s="13" t="s">
        <v>41</v>
      </c>
      <c r="F681" s="13" t="s">
        <v>501</v>
      </c>
      <c r="G681" s="11" t="s">
        <v>43</v>
      </c>
      <c r="H681" s="12" t="s">
        <v>307</v>
      </c>
      <c r="I681" s="12" t="s">
        <v>502</v>
      </c>
      <c r="J681" s="12" t="s">
        <v>133</v>
      </c>
      <c r="K681" s="12" t="s">
        <v>503</v>
      </c>
      <c r="L681" s="12" t="s">
        <v>504</v>
      </c>
      <c r="M681" s="12" t="s">
        <v>479</v>
      </c>
      <c r="N681" s="12" t="s">
        <v>505</v>
      </c>
      <c r="O681" s="30" t="s">
        <v>51</v>
      </c>
      <c r="P681" s="31"/>
      <c r="Q681" s="11" t="s">
        <v>37</v>
      </c>
      <c r="S681" t="str">
        <f t="shared" si="10"/>
        <v>Result: PASS</v>
      </c>
    </row>
    <row r="682" spans="5:19">
      <c r="E682" s="32" t="s">
        <v>506</v>
      </c>
      <c r="F682" s="33"/>
      <c r="G682" s="11" t="s">
        <v>53</v>
      </c>
      <c r="H682" s="12" t="s">
        <v>51</v>
      </c>
      <c r="I682" s="12" t="s">
        <v>51</v>
      </c>
      <c r="J682" s="12" t="s">
        <v>51</v>
      </c>
      <c r="K682" s="12" t="s">
        <v>51</v>
      </c>
      <c r="L682" s="12" t="s">
        <v>51</v>
      </c>
      <c r="M682" s="12" t="s">
        <v>51</v>
      </c>
      <c r="N682" s="12" t="s">
        <v>51</v>
      </c>
      <c r="O682" s="30" t="s">
        <v>54</v>
      </c>
      <c r="P682" s="31"/>
      <c r="Q682" s="11" t="s">
        <v>37</v>
      </c>
      <c r="S682" t="str">
        <f t="shared" si="10"/>
        <v>Class</v>
      </c>
    </row>
    <row r="683" spans="5:19">
      <c r="E683" s="34"/>
      <c r="F683" s="35"/>
      <c r="G683" s="11" t="s">
        <v>55</v>
      </c>
      <c r="H683" s="12" t="s">
        <v>37</v>
      </c>
      <c r="I683" s="12" t="s">
        <v>37</v>
      </c>
      <c r="J683" s="12" t="s">
        <v>37</v>
      </c>
      <c r="K683" s="12">
        <v>3</v>
      </c>
      <c r="L683" s="12" t="s">
        <v>37</v>
      </c>
      <c r="M683" s="12" t="s">
        <v>37</v>
      </c>
      <c r="N683" s="12" t="s">
        <v>37</v>
      </c>
      <c r="O683" s="30" t="s">
        <v>37</v>
      </c>
      <c r="P683" s="31"/>
      <c r="Q683" s="11">
        <v>3</v>
      </c>
      <c r="S683" t="str">
        <f t="shared" si="10"/>
        <v>Term Grade: AB</v>
      </c>
    </row>
    <row r="684" spans="5:19">
      <c r="E684" s="36"/>
      <c r="F684" s="37"/>
      <c r="G684" s="11" t="s">
        <v>56</v>
      </c>
      <c r="H684" s="12">
        <v>4</v>
      </c>
      <c r="I684" s="12">
        <v>4</v>
      </c>
      <c r="J684" s="12">
        <v>4</v>
      </c>
      <c r="K684" s="12">
        <v>3</v>
      </c>
      <c r="L684" s="12">
        <v>3</v>
      </c>
      <c r="M684" s="12">
        <v>3</v>
      </c>
      <c r="N684" s="12">
        <v>2</v>
      </c>
      <c r="O684" s="30">
        <v>2</v>
      </c>
      <c r="P684" s="31"/>
      <c r="Q684" s="11">
        <v>25</v>
      </c>
      <c r="S684" t="str">
        <f t="shared" si="10"/>
        <v>M.C.No</v>
      </c>
    </row>
    <row r="685" spans="5:19">
      <c r="E685" s="13" t="s">
        <v>57</v>
      </c>
      <c r="F685" s="13">
        <v>6.28</v>
      </c>
      <c r="G685" s="11" t="s">
        <v>58</v>
      </c>
      <c r="H685" s="12">
        <v>6.5</v>
      </c>
      <c r="I685" s="12">
        <v>6</v>
      </c>
      <c r="J685" s="12">
        <v>5.5</v>
      </c>
      <c r="K685" s="12">
        <v>4.5</v>
      </c>
      <c r="L685" s="12">
        <v>7</v>
      </c>
      <c r="M685" s="12">
        <v>5.5</v>
      </c>
      <c r="N685" s="12">
        <v>7.5</v>
      </c>
      <c r="O685" s="30">
        <v>9.5</v>
      </c>
      <c r="P685" s="31"/>
      <c r="Q685" s="11" t="s">
        <v>37</v>
      </c>
      <c r="S685" t="str">
        <f t="shared" si="10"/>
        <v/>
      </c>
    </row>
    <row r="686" spans="5:19">
      <c r="E686" s="13" t="s">
        <v>59</v>
      </c>
      <c r="F686" s="14">
        <v>6.28</v>
      </c>
      <c r="G686" s="11" t="s">
        <v>60</v>
      </c>
      <c r="H686" s="12">
        <v>26</v>
      </c>
      <c r="I686" s="12">
        <v>24</v>
      </c>
      <c r="J686" s="12">
        <v>22</v>
      </c>
      <c r="K686" s="12">
        <v>13.5</v>
      </c>
      <c r="L686" s="12">
        <v>21</v>
      </c>
      <c r="M686" s="12">
        <v>16.5</v>
      </c>
      <c r="N686" s="12">
        <v>15</v>
      </c>
      <c r="O686" s="30">
        <v>19</v>
      </c>
      <c r="P686" s="31"/>
      <c r="Q686" s="11">
        <v>157</v>
      </c>
      <c r="S686">
        <f t="shared" si="10"/>
        <v>0</v>
      </c>
    </row>
    <row r="687" spans="5:19">
      <c r="E687" s="32" t="s">
        <v>61</v>
      </c>
      <c r="F687" s="31"/>
      <c r="G687" s="11" t="s">
        <v>40</v>
      </c>
      <c r="H687" s="12">
        <v>61</v>
      </c>
      <c r="I687" s="12">
        <v>58</v>
      </c>
      <c r="J687" s="12">
        <v>52</v>
      </c>
      <c r="K687" s="12">
        <v>42</v>
      </c>
      <c r="L687" s="12">
        <v>65</v>
      </c>
      <c r="M687" s="12">
        <v>54</v>
      </c>
      <c r="N687" s="12">
        <v>37</v>
      </c>
      <c r="O687" s="30">
        <v>45</v>
      </c>
      <c r="P687" s="31"/>
      <c r="Q687" s="11">
        <v>414</v>
      </c>
      <c r="S687">
        <f t="shared" si="10"/>
        <v>0</v>
      </c>
    </row>
    <row r="688" spans="5:19">
      <c r="E688" s="13" t="s">
        <v>62</v>
      </c>
      <c r="F688" s="13"/>
      <c r="G688" s="11" t="s">
        <v>63</v>
      </c>
      <c r="H688" s="12">
        <v>100</v>
      </c>
      <c r="I688" s="12">
        <v>100</v>
      </c>
      <c r="J688" s="12">
        <v>100</v>
      </c>
      <c r="K688" s="12">
        <v>100</v>
      </c>
      <c r="L688" s="12">
        <v>100</v>
      </c>
      <c r="M688" s="12">
        <v>100</v>
      </c>
      <c r="N688" s="12">
        <v>50</v>
      </c>
      <c r="O688" s="30">
        <v>50</v>
      </c>
      <c r="P688" s="31"/>
      <c r="Q688" s="11">
        <v>700</v>
      </c>
      <c r="S688" t="str">
        <f t="shared" si="10"/>
        <v>Dr. B.B. Hegde First Grade College, Kundapura, Udupi.</v>
      </c>
    </row>
    <row r="689" spans="5:19">
      <c r="E689" s="32" t="s">
        <v>273</v>
      </c>
      <c r="F689" s="31"/>
      <c r="G689" s="11" t="s">
        <v>65</v>
      </c>
      <c r="H689" s="12" t="s">
        <v>69</v>
      </c>
      <c r="I689" s="12" t="s">
        <v>103</v>
      </c>
      <c r="J689" s="12" t="s">
        <v>138</v>
      </c>
      <c r="K689" s="12" t="s">
        <v>303</v>
      </c>
      <c r="L689" s="12" t="s">
        <v>66</v>
      </c>
      <c r="M689" s="12" t="s">
        <v>138</v>
      </c>
      <c r="N689" s="12" t="s">
        <v>68</v>
      </c>
      <c r="O689" s="30" t="s">
        <v>71</v>
      </c>
      <c r="P689" s="31"/>
      <c r="Q689" s="11" t="s">
        <v>37</v>
      </c>
      <c r="S689" t="str">
        <f t="shared" si="10"/>
        <v>00047</v>
      </c>
    </row>
    <row r="690" spans="5:19">
      <c r="E690" s="15" t="s">
        <v>72</v>
      </c>
      <c r="F690" s="15" t="s">
        <v>507</v>
      </c>
      <c r="G690" s="11" t="s">
        <v>74</v>
      </c>
      <c r="H690" s="12" t="s">
        <v>75</v>
      </c>
      <c r="I690" s="12" t="s">
        <v>75</v>
      </c>
      <c r="J690" s="12" t="s">
        <v>75</v>
      </c>
      <c r="K690" s="12" t="s">
        <v>75</v>
      </c>
      <c r="L690" s="12" t="s">
        <v>75</v>
      </c>
      <c r="M690" s="12" t="s">
        <v>75</v>
      </c>
      <c r="N690" s="12" t="s">
        <v>75</v>
      </c>
      <c r="O690" s="30" t="s">
        <v>75</v>
      </c>
      <c r="P690" s="31"/>
      <c r="Q690" s="11" t="s">
        <v>37</v>
      </c>
      <c r="S690" t="str">
        <f t="shared" si="10"/>
        <v>USN</v>
      </c>
    </row>
    <row r="691" spans="5:19">
      <c r="E691" s="16" t="s">
        <v>37</v>
      </c>
      <c r="F691" s="16" t="s">
        <v>37</v>
      </c>
      <c r="G691" s="16" t="s">
        <v>37</v>
      </c>
      <c r="H691" s="17" t="s">
        <v>37</v>
      </c>
      <c r="I691" s="17" t="s">
        <v>37</v>
      </c>
      <c r="J691" s="17" t="s">
        <v>37</v>
      </c>
      <c r="K691" s="17" t="s">
        <v>37</v>
      </c>
      <c r="L691" s="17" t="s">
        <v>37</v>
      </c>
      <c r="M691" s="17" t="s">
        <v>37</v>
      </c>
      <c r="N691" s="17" t="s">
        <v>37</v>
      </c>
      <c r="O691" s="41" t="s">
        <v>37</v>
      </c>
      <c r="P691" s="28"/>
      <c r="Q691" s="17" t="s">
        <v>37</v>
      </c>
      <c r="S691" t="str">
        <f t="shared" si="10"/>
        <v>KISHAN</v>
      </c>
    </row>
    <row r="692" spans="5:19" ht="0" hidden="1" customHeight="1">
      <c r="S692">
        <f t="shared" si="10"/>
        <v>0</v>
      </c>
    </row>
    <row r="693" spans="5:19" ht="0.6" customHeight="1">
      <c r="S693">
        <f t="shared" si="10"/>
        <v>0</v>
      </c>
    </row>
    <row r="694" spans="5:19">
      <c r="E694" s="38" t="s">
        <v>35</v>
      </c>
      <c r="F694" s="31"/>
      <c r="G694" s="4" t="s">
        <v>36</v>
      </c>
      <c r="H694" s="6" t="s">
        <v>37</v>
      </c>
      <c r="I694" s="6" t="s">
        <v>37</v>
      </c>
      <c r="J694" s="6" t="s">
        <v>37</v>
      </c>
      <c r="K694" s="6" t="s">
        <v>37</v>
      </c>
      <c r="L694" s="6" t="s">
        <v>37</v>
      </c>
      <c r="M694" s="6" t="s">
        <v>37</v>
      </c>
      <c r="N694" s="6" t="s">
        <v>37</v>
      </c>
      <c r="O694" s="39" t="s">
        <v>37</v>
      </c>
      <c r="P694" s="28"/>
      <c r="Q694" s="6" t="s">
        <v>37</v>
      </c>
      <c r="S694" t="str">
        <f t="shared" si="10"/>
        <v>SGPA</v>
      </c>
    </row>
    <row r="695" spans="5:19" ht="21">
      <c r="E695" s="32" t="s">
        <v>508</v>
      </c>
      <c r="F695" s="31"/>
      <c r="G695" s="8" t="s">
        <v>39</v>
      </c>
      <c r="H695" s="8" t="s">
        <v>19</v>
      </c>
      <c r="I695" s="8" t="s">
        <v>9</v>
      </c>
      <c r="J695" s="8" t="s">
        <v>21</v>
      </c>
      <c r="K695" s="8" t="s">
        <v>11</v>
      </c>
      <c r="L695" s="8" t="s">
        <v>17</v>
      </c>
      <c r="M695" s="8" t="s">
        <v>27</v>
      </c>
      <c r="N695" s="8" t="s">
        <v>7</v>
      </c>
      <c r="O695" s="40" t="s">
        <v>13</v>
      </c>
      <c r="P695" s="31"/>
      <c r="Q695" s="8" t="s">
        <v>40</v>
      </c>
      <c r="S695" t="str">
        <f t="shared" si="10"/>
        <v>CGPA</v>
      </c>
    </row>
    <row r="696" spans="5:19" ht="22.5">
      <c r="E696" s="13" t="s">
        <v>41</v>
      </c>
      <c r="F696" s="13" t="s">
        <v>509</v>
      </c>
      <c r="G696" s="11" t="s">
        <v>43</v>
      </c>
      <c r="H696" s="12" t="s">
        <v>317</v>
      </c>
      <c r="I696" s="12" t="s">
        <v>183</v>
      </c>
      <c r="J696" s="12" t="s">
        <v>510</v>
      </c>
      <c r="K696" s="12" t="s">
        <v>277</v>
      </c>
      <c r="L696" s="12" t="s">
        <v>511</v>
      </c>
      <c r="M696" s="12" t="s">
        <v>512</v>
      </c>
      <c r="N696" s="12" t="s">
        <v>166</v>
      </c>
      <c r="O696" s="30" t="s">
        <v>51</v>
      </c>
      <c r="P696" s="31"/>
      <c r="Q696" s="11" t="s">
        <v>37</v>
      </c>
      <c r="S696" t="str">
        <f t="shared" si="10"/>
        <v>Result: PASS</v>
      </c>
    </row>
    <row r="697" spans="5:19">
      <c r="E697" s="32" t="s">
        <v>513</v>
      </c>
      <c r="F697" s="33"/>
      <c r="G697" s="11" t="s">
        <v>53</v>
      </c>
      <c r="H697" s="12" t="s">
        <v>51</v>
      </c>
      <c r="I697" s="12" t="s">
        <v>51</v>
      </c>
      <c r="J697" s="12" t="s">
        <v>51</v>
      </c>
      <c r="K697" s="12" t="s">
        <v>51</v>
      </c>
      <c r="L697" s="12" t="s">
        <v>51</v>
      </c>
      <c r="M697" s="12" t="s">
        <v>51</v>
      </c>
      <c r="N697" s="12" t="s">
        <v>51</v>
      </c>
      <c r="O697" s="30" t="s">
        <v>125</v>
      </c>
      <c r="P697" s="31"/>
      <c r="Q697" s="11" t="s">
        <v>37</v>
      </c>
      <c r="S697" t="str">
        <f t="shared" si="10"/>
        <v>Class</v>
      </c>
    </row>
    <row r="698" spans="5:19">
      <c r="E698" s="34"/>
      <c r="F698" s="35"/>
      <c r="G698" s="11" t="s">
        <v>55</v>
      </c>
      <c r="H698" s="12" t="s">
        <v>37</v>
      </c>
      <c r="I698" s="12" t="s">
        <v>37</v>
      </c>
      <c r="J698" s="12" t="s">
        <v>37</v>
      </c>
      <c r="K698" s="12" t="s">
        <v>37</v>
      </c>
      <c r="L698" s="12" t="s">
        <v>37</v>
      </c>
      <c r="M698" s="12" t="s">
        <v>37</v>
      </c>
      <c r="N698" s="12" t="s">
        <v>37</v>
      </c>
      <c r="O698" s="30" t="s">
        <v>37</v>
      </c>
      <c r="P698" s="31"/>
      <c r="Q698" s="11">
        <v>0</v>
      </c>
      <c r="S698" t="str">
        <f t="shared" si="10"/>
        <v>Term Grade: OA+</v>
      </c>
    </row>
    <row r="699" spans="5:19">
      <c r="E699" s="36"/>
      <c r="F699" s="37"/>
      <c r="G699" s="11" t="s">
        <v>56</v>
      </c>
      <c r="H699" s="12">
        <v>4</v>
      </c>
      <c r="I699" s="12">
        <v>4</v>
      </c>
      <c r="J699" s="12">
        <v>4</v>
      </c>
      <c r="K699" s="12">
        <v>3</v>
      </c>
      <c r="L699" s="12">
        <v>3</v>
      </c>
      <c r="M699" s="12">
        <v>3</v>
      </c>
      <c r="N699" s="12">
        <v>2</v>
      </c>
      <c r="O699" s="30">
        <v>2</v>
      </c>
      <c r="P699" s="31"/>
      <c r="Q699" s="11">
        <v>25</v>
      </c>
      <c r="S699" t="str">
        <f t="shared" si="10"/>
        <v>M.C.No</v>
      </c>
    </row>
    <row r="700" spans="5:19">
      <c r="E700" s="13" t="s">
        <v>57</v>
      </c>
      <c r="F700" s="13">
        <v>8.8000000000000007</v>
      </c>
      <c r="G700" s="11" t="s">
        <v>58</v>
      </c>
      <c r="H700" s="12">
        <v>8.5</v>
      </c>
      <c r="I700" s="12">
        <v>9.5</v>
      </c>
      <c r="J700" s="12">
        <v>8.5</v>
      </c>
      <c r="K700" s="12">
        <v>8</v>
      </c>
      <c r="L700" s="12">
        <v>8.5</v>
      </c>
      <c r="M700" s="12">
        <v>8.5</v>
      </c>
      <c r="N700" s="12">
        <v>10</v>
      </c>
      <c r="O700" s="30">
        <v>9.5</v>
      </c>
      <c r="P700" s="31"/>
      <c r="Q700" s="11" t="s">
        <v>37</v>
      </c>
      <c r="S700" t="str">
        <f t="shared" si="10"/>
        <v/>
      </c>
    </row>
    <row r="701" spans="5:19">
      <c r="E701" s="13" t="s">
        <v>59</v>
      </c>
      <c r="F701" s="14">
        <v>8.8000000000000007</v>
      </c>
      <c r="G701" s="11" t="s">
        <v>60</v>
      </c>
      <c r="H701" s="12">
        <v>34</v>
      </c>
      <c r="I701" s="12">
        <v>38</v>
      </c>
      <c r="J701" s="12">
        <v>34</v>
      </c>
      <c r="K701" s="12">
        <v>24</v>
      </c>
      <c r="L701" s="12">
        <v>25.5</v>
      </c>
      <c r="M701" s="12">
        <v>25.5</v>
      </c>
      <c r="N701" s="12">
        <v>20</v>
      </c>
      <c r="O701" s="30">
        <v>19</v>
      </c>
      <c r="P701" s="31"/>
      <c r="Q701" s="11">
        <v>220</v>
      </c>
      <c r="S701">
        <f t="shared" si="10"/>
        <v>0</v>
      </c>
    </row>
    <row r="702" spans="5:19">
      <c r="E702" s="32" t="s">
        <v>61</v>
      </c>
      <c r="F702" s="31"/>
      <c r="G702" s="11" t="s">
        <v>40</v>
      </c>
      <c r="H702" s="12">
        <v>82</v>
      </c>
      <c r="I702" s="12">
        <v>94</v>
      </c>
      <c r="J702" s="12">
        <v>81</v>
      </c>
      <c r="K702" s="12">
        <v>76</v>
      </c>
      <c r="L702" s="12">
        <v>80</v>
      </c>
      <c r="M702" s="12">
        <v>80</v>
      </c>
      <c r="N702" s="12">
        <v>49</v>
      </c>
      <c r="O702" s="30">
        <v>46</v>
      </c>
      <c r="P702" s="31"/>
      <c r="Q702" s="11">
        <v>588</v>
      </c>
      <c r="S702">
        <f t="shared" si="10"/>
        <v>0</v>
      </c>
    </row>
    <row r="703" spans="5:19">
      <c r="E703" s="13" t="s">
        <v>62</v>
      </c>
      <c r="F703" s="13"/>
      <c r="G703" s="11" t="s">
        <v>63</v>
      </c>
      <c r="H703" s="12">
        <v>100</v>
      </c>
      <c r="I703" s="12">
        <v>100</v>
      </c>
      <c r="J703" s="12">
        <v>100</v>
      </c>
      <c r="K703" s="12">
        <v>100</v>
      </c>
      <c r="L703" s="12">
        <v>100</v>
      </c>
      <c r="M703" s="12">
        <v>100</v>
      </c>
      <c r="N703" s="12">
        <v>50</v>
      </c>
      <c r="O703" s="30">
        <v>50</v>
      </c>
      <c r="P703" s="31"/>
      <c r="Q703" s="11">
        <v>700</v>
      </c>
      <c r="S703" t="str">
        <f t="shared" si="10"/>
        <v>Dr. B.B. Hegde First Grade College, Kundapura, Udupi.</v>
      </c>
    </row>
    <row r="704" spans="5:19">
      <c r="E704" s="32" t="s">
        <v>188</v>
      </c>
      <c r="F704" s="31"/>
      <c r="G704" s="11" t="s">
        <v>65</v>
      </c>
      <c r="H704" s="12" t="s">
        <v>70</v>
      </c>
      <c r="I704" s="12" t="s">
        <v>71</v>
      </c>
      <c r="J704" s="12" t="s">
        <v>70</v>
      </c>
      <c r="K704" s="12" t="s">
        <v>102</v>
      </c>
      <c r="L704" s="12" t="s">
        <v>70</v>
      </c>
      <c r="M704" s="12" t="s">
        <v>70</v>
      </c>
      <c r="N704" s="12" t="s">
        <v>88</v>
      </c>
      <c r="O704" s="30" t="s">
        <v>71</v>
      </c>
      <c r="P704" s="31"/>
      <c r="Q704" s="11" t="s">
        <v>37</v>
      </c>
      <c r="S704" t="str">
        <f t="shared" si="10"/>
        <v>00048</v>
      </c>
    </row>
    <row r="705" spans="5:19">
      <c r="E705" s="15" t="s">
        <v>72</v>
      </c>
      <c r="F705" s="15" t="s">
        <v>514</v>
      </c>
      <c r="G705" s="11" t="s">
        <v>74</v>
      </c>
      <c r="H705" s="12" t="s">
        <v>75</v>
      </c>
      <c r="I705" s="12" t="s">
        <v>75</v>
      </c>
      <c r="J705" s="12" t="s">
        <v>75</v>
      </c>
      <c r="K705" s="12" t="s">
        <v>75</v>
      </c>
      <c r="L705" s="12" t="s">
        <v>75</v>
      </c>
      <c r="M705" s="12" t="s">
        <v>75</v>
      </c>
      <c r="N705" s="12" t="s">
        <v>75</v>
      </c>
      <c r="O705" s="30" t="s">
        <v>75</v>
      </c>
      <c r="P705" s="31"/>
      <c r="Q705" s="11" t="s">
        <v>37</v>
      </c>
      <c r="S705" t="str">
        <f t="shared" si="10"/>
        <v>USN</v>
      </c>
    </row>
    <row r="706" spans="5:19">
      <c r="E706" s="16" t="s">
        <v>37</v>
      </c>
      <c r="F706" s="16" t="s">
        <v>37</v>
      </c>
      <c r="G706" s="16" t="s">
        <v>37</v>
      </c>
      <c r="H706" s="17" t="s">
        <v>37</v>
      </c>
      <c r="I706" s="17" t="s">
        <v>37</v>
      </c>
      <c r="J706" s="17" t="s">
        <v>37</v>
      </c>
      <c r="K706" s="17" t="s">
        <v>37</v>
      </c>
      <c r="L706" s="17" t="s">
        <v>37</v>
      </c>
      <c r="M706" s="17" t="s">
        <v>37</v>
      </c>
      <c r="N706" s="17" t="s">
        <v>37</v>
      </c>
      <c r="O706" s="41" t="s">
        <v>37</v>
      </c>
      <c r="P706" s="28"/>
      <c r="Q706" s="17" t="s">
        <v>37</v>
      </c>
      <c r="S706" t="str">
        <f t="shared" si="10"/>
        <v>DHANUSH</v>
      </c>
    </row>
    <row r="707" spans="5:19" ht="0" hidden="1" customHeight="1">
      <c r="S707">
        <f t="shared" si="10"/>
        <v>0</v>
      </c>
    </row>
    <row r="708" spans="5:19" ht="0.6" customHeight="1">
      <c r="S708">
        <f t="shared" si="10"/>
        <v>0</v>
      </c>
    </row>
    <row r="709" spans="5:19">
      <c r="E709" s="38" t="s">
        <v>35</v>
      </c>
      <c r="F709" s="31"/>
      <c r="G709" s="4" t="s">
        <v>36</v>
      </c>
      <c r="H709" s="6" t="s">
        <v>37</v>
      </c>
      <c r="I709" s="6" t="s">
        <v>37</v>
      </c>
      <c r="J709" s="6" t="s">
        <v>37</v>
      </c>
      <c r="K709" s="6" t="s">
        <v>37</v>
      </c>
      <c r="L709" s="6" t="s">
        <v>37</v>
      </c>
      <c r="M709" s="6" t="s">
        <v>37</v>
      </c>
      <c r="N709" s="6" t="s">
        <v>37</v>
      </c>
      <c r="O709" s="39" t="s">
        <v>37</v>
      </c>
      <c r="P709" s="28"/>
      <c r="Q709" s="6" t="s">
        <v>37</v>
      </c>
      <c r="S709" t="str">
        <f t="shared" si="10"/>
        <v>SGPA</v>
      </c>
    </row>
    <row r="710" spans="5:19" ht="21">
      <c r="E710" s="32" t="s">
        <v>515</v>
      </c>
      <c r="F710" s="31"/>
      <c r="G710" s="8" t="s">
        <v>39</v>
      </c>
      <c r="H710" s="8" t="s">
        <v>19</v>
      </c>
      <c r="I710" s="8" t="s">
        <v>9</v>
      </c>
      <c r="J710" s="8" t="s">
        <v>21</v>
      </c>
      <c r="K710" s="8" t="s">
        <v>11</v>
      </c>
      <c r="L710" s="8" t="s">
        <v>17</v>
      </c>
      <c r="M710" s="8" t="s">
        <v>27</v>
      </c>
      <c r="N710" s="8" t="s">
        <v>7</v>
      </c>
      <c r="O710" s="40" t="s">
        <v>33</v>
      </c>
      <c r="P710" s="31"/>
      <c r="Q710" s="8" t="s">
        <v>40</v>
      </c>
      <c r="S710" t="str">
        <f t="shared" si="10"/>
        <v>CGPA</v>
      </c>
    </row>
    <row r="711" spans="5:19" ht="22.5">
      <c r="E711" s="13" t="s">
        <v>41</v>
      </c>
      <c r="F711" s="13" t="s">
        <v>516</v>
      </c>
      <c r="G711" s="11" t="s">
        <v>43</v>
      </c>
      <c r="H711" s="12" t="s">
        <v>517</v>
      </c>
      <c r="I711" s="12" t="s">
        <v>504</v>
      </c>
      <c r="J711" s="12" t="s">
        <v>133</v>
      </c>
      <c r="K711" s="12" t="s">
        <v>252</v>
      </c>
      <c r="L711" s="12" t="s">
        <v>518</v>
      </c>
      <c r="M711" s="12" t="s">
        <v>519</v>
      </c>
      <c r="N711" s="12" t="s">
        <v>520</v>
      </c>
      <c r="O711" s="30" t="s">
        <v>51</v>
      </c>
      <c r="P711" s="31"/>
      <c r="Q711" s="11" t="s">
        <v>37</v>
      </c>
      <c r="S711" t="str">
        <f t="shared" si="10"/>
        <v>Result: PASS</v>
      </c>
    </row>
    <row r="712" spans="5:19">
      <c r="E712" s="32" t="s">
        <v>521</v>
      </c>
      <c r="F712" s="33"/>
      <c r="G712" s="11" t="s">
        <v>53</v>
      </c>
      <c r="H712" s="12" t="s">
        <v>51</v>
      </c>
      <c r="I712" s="12" t="s">
        <v>51</v>
      </c>
      <c r="J712" s="12" t="s">
        <v>51</v>
      </c>
      <c r="K712" s="12" t="s">
        <v>51</v>
      </c>
      <c r="L712" s="12" t="s">
        <v>51</v>
      </c>
      <c r="M712" s="12" t="s">
        <v>51</v>
      </c>
      <c r="N712" s="12" t="s">
        <v>51</v>
      </c>
      <c r="O712" s="30" t="s">
        <v>199</v>
      </c>
      <c r="P712" s="31"/>
      <c r="Q712" s="11" t="s">
        <v>37</v>
      </c>
      <c r="S712" t="str">
        <f t="shared" si="10"/>
        <v>Class</v>
      </c>
    </row>
    <row r="713" spans="5:19">
      <c r="E713" s="34"/>
      <c r="F713" s="35"/>
      <c r="G713" s="11" t="s">
        <v>55</v>
      </c>
      <c r="H713" s="12" t="s">
        <v>37</v>
      </c>
      <c r="I713" s="12" t="s">
        <v>37</v>
      </c>
      <c r="J713" s="12" t="s">
        <v>37</v>
      </c>
      <c r="K713" s="12" t="s">
        <v>37</v>
      </c>
      <c r="L713" s="12" t="s">
        <v>37</v>
      </c>
      <c r="M713" s="12" t="s">
        <v>37</v>
      </c>
      <c r="N713" s="12" t="s">
        <v>37</v>
      </c>
      <c r="O713" s="30" t="s">
        <v>37</v>
      </c>
      <c r="P713" s="31"/>
      <c r="Q713" s="11">
        <v>0</v>
      </c>
      <c r="S713" t="str">
        <f t="shared" si="10"/>
        <v>Term Grade: AB</v>
      </c>
    </row>
    <row r="714" spans="5:19">
      <c r="E714" s="36"/>
      <c r="F714" s="37"/>
      <c r="G714" s="11" t="s">
        <v>56</v>
      </c>
      <c r="H714" s="12">
        <v>4</v>
      </c>
      <c r="I714" s="12">
        <v>4</v>
      </c>
      <c r="J714" s="12">
        <v>4</v>
      </c>
      <c r="K714" s="12">
        <v>3</v>
      </c>
      <c r="L714" s="12">
        <v>3</v>
      </c>
      <c r="M714" s="12">
        <v>3</v>
      </c>
      <c r="N714" s="12">
        <v>2</v>
      </c>
      <c r="O714" s="30">
        <v>2</v>
      </c>
      <c r="P714" s="31"/>
      <c r="Q714" s="11">
        <v>25</v>
      </c>
      <c r="S714" t="str">
        <f t="shared" si="10"/>
        <v>M.C.No</v>
      </c>
    </row>
    <row r="715" spans="5:19">
      <c r="E715" s="13" t="s">
        <v>57</v>
      </c>
      <c r="F715" s="13">
        <v>6.22</v>
      </c>
      <c r="G715" s="11" t="s">
        <v>58</v>
      </c>
      <c r="H715" s="12">
        <v>5.5</v>
      </c>
      <c r="I715" s="12">
        <v>7</v>
      </c>
      <c r="J715" s="12">
        <v>5.5</v>
      </c>
      <c r="K715" s="12">
        <v>5</v>
      </c>
      <c r="L715" s="12">
        <v>6</v>
      </c>
      <c r="M715" s="12">
        <v>4.5</v>
      </c>
      <c r="N715" s="12">
        <v>8.5</v>
      </c>
      <c r="O715" s="30">
        <v>10</v>
      </c>
      <c r="P715" s="31"/>
      <c r="Q715" s="11" t="s">
        <v>37</v>
      </c>
      <c r="S715" t="str">
        <f t="shared" si="10"/>
        <v/>
      </c>
    </row>
    <row r="716" spans="5:19">
      <c r="E716" s="13" t="s">
        <v>59</v>
      </c>
      <c r="F716" s="14">
        <v>6.22</v>
      </c>
      <c r="G716" s="11" t="s">
        <v>60</v>
      </c>
      <c r="H716" s="12">
        <v>22</v>
      </c>
      <c r="I716" s="12">
        <v>28</v>
      </c>
      <c r="J716" s="12">
        <v>22</v>
      </c>
      <c r="K716" s="12">
        <v>15</v>
      </c>
      <c r="L716" s="12">
        <v>18</v>
      </c>
      <c r="M716" s="12">
        <v>13.5</v>
      </c>
      <c r="N716" s="12">
        <v>17</v>
      </c>
      <c r="O716" s="30">
        <v>20</v>
      </c>
      <c r="P716" s="31"/>
      <c r="Q716" s="11">
        <v>155.5</v>
      </c>
      <c r="S716">
        <f t="shared" ref="S716:S779" si="11">$E722</f>
        <v>0</v>
      </c>
    </row>
    <row r="717" spans="5:19">
      <c r="E717" s="32" t="s">
        <v>61</v>
      </c>
      <c r="F717" s="31"/>
      <c r="G717" s="11" t="s">
        <v>40</v>
      </c>
      <c r="H717" s="12">
        <v>51</v>
      </c>
      <c r="I717" s="12">
        <v>65</v>
      </c>
      <c r="J717" s="12">
        <v>52</v>
      </c>
      <c r="K717" s="12">
        <v>47</v>
      </c>
      <c r="L717" s="12">
        <v>59</v>
      </c>
      <c r="M717" s="12">
        <v>42</v>
      </c>
      <c r="N717" s="12">
        <v>41</v>
      </c>
      <c r="O717" s="30">
        <v>49</v>
      </c>
      <c r="P717" s="31"/>
      <c r="Q717" s="11">
        <v>406</v>
      </c>
      <c r="S717" t="str">
        <f t="shared" si="11"/>
        <v>Dr. B.B. Hegde First Grade College, Kundapura, Udupi.</v>
      </c>
    </row>
    <row r="718" spans="5:19">
      <c r="E718" s="13" t="s">
        <v>62</v>
      </c>
      <c r="F718" s="13"/>
      <c r="G718" s="11" t="s">
        <v>63</v>
      </c>
      <c r="H718" s="12">
        <v>100</v>
      </c>
      <c r="I718" s="12">
        <v>100</v>
      </c>
      <c r="J718" s="12">
        <v>100</v>
      </c>
      <c r="K718" s="12">
        <v>100</v>
      </c>
      <c r="L718" s="12">
        <v>100</v>
      </c>
      <c r="M718" s="12">
        <v>100</v>
      </c>
      <c r="N718" s="12">
        <v>50</v>
      </c>
      <c r="O718" s="30">
        <v>50</v>
      </c>
      <c r="P718" s="31"/>
      <c r="Q718" s="11">
        <v>700</v>
      </c>
      <c r="S718" t="str">
        <f t="shared" si="11"/>
        <v>00049</v>
      </c>
    </row>
    <row r="719" spans="5:19">
      <c r="E719" s="32" t="s">
        <v>273</v>
      </c>
      <c r="F719" s="31"/>
      <c r="G719" s="11" t="s">
        <v>65</v>
      </c>
      <c r="H719" s="12" t="s">
        <v>138</v>
      </c>
      <c r="I719" s="12" t="s">
        <v>66</v>
      </c>
      <c r="J719" s="12" t="s">
        <v>138</v>
      </c>
      <c r="K719" s="12" t="s">
        <v>127</v>
      </c>
      <c r="L719" s="12" t="s">
        <v>103</v>
      </c>
      <c r="M719" s="12" t="s">
        <v>303</v>
      </c>
      <c r="N719" s="12" t="s">
        <v>70</v>
      </c>
      <c r="O719" s="30" t="s">
        <v>88</v>
      </c>
      <c r="P719" s="31"/>
      <c r="Q719" s="11" t="s">
        <v>37</v>
      </c>
      <c r="S719" t="str">
        <f t="shared" si="11"/>
        <v>USN</v>
      </c>
    </row>
    <row r="720" spans="5:19">
      <c r="E720" s="15" t="s">
        <v>72</v>
      </c>
      <c r="F720" s="15" t="s">
        <v>522</v>
      </c>
      <c r="G720" s="11" t="s">
        <v>74</v>
      </c>
      <c r="H720" s="12" t="s">
        <v>75</v>
      </c>
      <c r="I720" s="12" t="s">
        <v>75</v>
      </c>
      <c r="J720" s="12" t="s">
        <v>75</v>
      </c>
      <c r="K720" s="12" t="s">
        <v>75</v>
      </c>
      <c r="L720" s="12" t="s">
        <v>75</v>
      </c>
      <c r="M720" s="12" t="s">
        <v>75</v>
      </c>
      <c r="N720" s="12" t="s">
        <v>75</v>
      </c>
      <c r="O720" s="30" t="s">
        <v>75</v>
      </c>
      <c r="P720" s="31"/>
      <c r="Q720" s="11" t="s">
        <v>37</v>
      </c>
      <c r="S720" t="str">
        <f t="shared" si="11"/>
        <v>NAGARAJA CHANDRAHASA SHETTY</v>
      </c>
    </row>
    <row r="721" spans="5:19">
      <c r="E721" s="16" t="s">
        <v>37</v>
      </c>
      <c r="F721" s="16" t="s">
        <v>37</v>
      </c>
      <c r="G721" s="16" t="s">
        <v>37</v>
      </c>
      <c r="H721" s="17" t="s">
        <v>37</v>
      </c>
      <c r="I721" s="17" t="s">
        <v>37</v>
      </c>
      <c r="J721" s="17" t="s">
        <v>37</v>
      </c>
      <c r="K721" s="17" t="s">
        <v>37</v>
      </c>
      <c r="L721" s="17" t="s">
        <v>37</v>
      </c>
      <c r="M721" s="17" t="s">
        <v>37</v>
      </c>
      <c r="N721" s="17" t="s">
        <v>37</v>
      </c>
      <c r="O721" s="41" t="s">
        <v>37</v>
      </c>
      <c r="P721" s="28"/>
      <c r="Q721" s="17" t="s">
        <v>37</v>
      </c>
      <c r="S721">
        <f t="shared" si="11"/>
        <v>0</v>
      </c>
    </row>
    <row r="722" spans="5:19" ht="0.6" customHeight="1">
      <c r="S722">
        <f t="shared" si="11"/>
        <v>0</v>
      </c>
    </row>
    <row r="723" spans="5:19">
      <c r="E723" s="38" t="s">
        <v>35</v>
      </c>
      <c r="F723" s="31"/>
      <c r="G723" s="4" t="s">
        <v>36</v>
      </c>
      <c r="H723" s="6" t="s">
        <v>37</v>
      </c>
      <c r="I723" s="6" t="s">
        <v>37</v>
      </c>
      <c r="J723" s="6" t="s">
        <v>37</v>
      </c>
      <c r="K723" s="6" t="s">
        <v>37</v>
      </c>
      <c r="L723" s="6" t="s">
        <v>37</v>
      </c>
      <c r="M723" s="6" t="s">
        <v>37</v>
      </c>
      <c r="N723" s="6" t="s">
        <v>37</v>
      </c>
      <c r="O723" s="39" t="s">
        <v>37</v>
      </c>
      <c r="P723" s="28"/>
      <c r="Q723" s="6" t="s">
        <v>37</v>
      </c>
      <c r="S723" t="str">
        <f t="shared" si="11"/>
        <v>SGPA</v>
      </c>
    </row>
    <row r="724" spans="5:19" ht="21">
      <c r="E724" s="32" t="s">
        <v>523</v>
      </c>
      <c r="F724" s="31"/>
      <c r="G724" s="8" t="s">
        <v>39</v>
      </c>
      <c r="H724" s="8" t="s">
        <v>19</v>
      </c>
      <c r="I724" s="8" t="s">
        <v>9</v>
      </c>
      <c r="J724" s="8" t="s">
        <v>21</v>
      </c>
      <c r="K724" s="8" t="s">
        <v>11</v>
      </c>
      <c r="L724" s="8" t="s">
        <v>17</v>
      </c>
      <c r="M724" s="8" t="s">
        <v>27</v>
      </c>
      <c r="N724" s="8" t="s">
        <v>7</v>
      </c>
      <c r="O724" s="40" t="s">
        <v>23</v>
      </c>
      <c r="P724" s="31"/>
      <c r="Q724" s="8" t="s">
        <v>40</v>
      </c>
      <c r="S724" t="str">
        <f t="shared" si="11"/>
        <v>CGPA</v>
      </c>
    </row>
    <row r="725" spans="5:19" ht="22.5">
      <c r="E725" s="13" t="s">
        <v>41</v>
      </c>
      <c r="F725" s="13" t="s">
        <v>524</v>
      </c>
      <c r="G725" s="11" t="s">
        <v>43</v>
      </c>
      <c r="H725" s="12" t="s">
        <v>525</v>
      </c>
      <c r="I725" s="12" t="s">
        <v>270</v>
      </c>
      <c r="J725" s="12" t="s">
        <v>267</v>
      </c>
      <c r="K725" s="12" t="s">
        <v>526</v>
      </c>
      <c r="L725" s="12" t="s">
        <v>163</v>
      </c>
      <c r="M725" s="12" t="s">
        <v>331</v>
      </c>
      <c r="N725" s="12" t="s">
        <v>527</v>
      </c>
      <c r="O725" s="30" t="s">
        <v>51</v>
      </c>
      <c r="P725" s="31"/>
      <c r="Q725" s="11" t="s">
        <v>37</v>
      </c>
      <c r="S725" t="str">
        <f t="shared" si="11"/>
        <v>Result: PASS</v>
      </c>
    </row>
    <row r="726" spans="5:19">
      <c r="E726" s="32" t="s">
        <v>528</v>
      </c>
      <c r="F726" s="33"/>
      <c r="G726" s="11" t="s">
        <v>53</v>
      </c>
      <c r="H726" s="12" t="s">
        <v>51</v>
      </c>
      <c r="I726" s="12" t="s">
        <v>51</v>
      </c>
      <c r="J726" s="12" t="s">
        <v>51</v>
      </c>
      <c r="K726" s="12" t="s">
        <v>51</v>
      </c>
      <c r="L726" s="12" t="s">
        <v>51</v>
      </c>
      <c r="M726" s="12" t="s">
        <v>51</v>
      </c>
      <c r="N726" s="12" t="s">
        <v>51</v>
      </c>
      <c r="O726" s="30" t="s">
        <v>54</v>
      </c>
      <c r="P726" s="31"/>
      <c r="Q726" s="11" t="s">
        <v>37</v>
      </c>
      <c r="S726" t="str">
        <f t="shared" si="11"/>
        <v>Class</v>
      </c>
    </row>
    <row r="727" spans="5:19">
      <c r="E727" s="34"/>
      <c r="F727" s="35"/>
      <c r="G727" s="11" t="s">
        <v>55</v>
      </c>
      <c r="H727" s="12" t="s">
        <v>37</v>
      </c>
      <c r="I727" s="12" t="s">
        <v>37</v>
      </c>
      <c r="J727" s="12" t="s">
        <v>37</v>
      </c>
      <c r="K727" s="12">
        <v>3</v>
      </c>
      <c r="L727" s="12" t="s">
        <v>37</v>
      </c>
      <c r="M727" s="12" t="s">
        <v>37</v>
      </c>
      <c r="N727" s="12" t="s">
        <v>37</v>
      </c>
      <c r="O727" s="30" t="s">
        <v>37</v>
      </c>
      <c r="P727" s="31"/>
      <c r="Q727" s="11">
        <v>3</v>
      </c>
      <c r="S727" t="str">
        <f t="shared" si="11"/>
        <v>Term Grade: AB</v>
      </c>
    </row>
    <row r="728" spans="5:19">
      <c r="E728" s="36"/>
      <c r="F728" s="37"/>
      <c r="G728" s="11" t="s">
        <v>56</v>
      </c>
      <c r="H728" s="12">
        <v>4</v>
      </c>
      <c r="I728" s="12">
        <v>4</v>
      </c>
      <c r="J728" s="12">
        <v>4</v>
      </c>
      <c r="K728" s="12">
        <v>3</v>
      </c>
      <c r="L728" s="12">
        <v>3</v>
      </c>
      <c r="M728" s="12">
        <v>3</v>
      </c>
      <c r="N728" s="12">
        <v>2</v>
      </c>
      <c r="O728" s="30">
        <v>2</v>
      </c>
      <c r="P728" s="31"/>
      <c r="Q728" s="11">
        <v>25</v>
      </c>
      <c r="S728" t="str">
        <f t="shared" si="11"/>
        <v>M.C.No</v>
      </c>
    </row>
    <row r="729" spans="5:19">
      <c r="E729" s="13" t="s">
        <v>57</v>
      </c>
      <c r="F729" s="13">
        <v>6.12</v>
      </c>
      <c r="G729" s="11" t="s">
        <v>58</v>
      </c>
      <c r="H729" s="12">
        <v>6</v>
      </c>
      <c r="I729" s="12">
        <v>6.5</v>
      </c>
      <c r="J729" s="12">
        <v>5</v>
      </c>
      <c r="K729" s="12">
        <v>5</v>
      </c>
      <c r="L729" s="12">
        <v>5.5</v>
      </c>
      <c r="M729" s="12">
        <v>5.5</v>
      </c>
      <c r="N729" s="12">
        <v>8</v>
      </c>
      <c r="O729" s="30">
        <v>9.5</v>
      </c>
      <c r="P729" s="31"/>
      <c r="Q729" s="11" t="s">
        <v>37</v>
      </c>
      <c r="S729" t="str">
        <f t="shared" si="11"/>
        <v/>
      </c>
    </row>
    <row r="730" spans="5:19">
      <c r="E730" s="13" t="s">
        <v>59</v>
      </c>
      <c r="F730" s="14">
        <v>6.12</v>
      </c>
      <c r="G730" s="11" t="s">
        <v>60</v>
      </c>
      <c r="H730" s="12">
        <v>24</v>
      </c>
      <c r="I730" s="12">
        <v>26</v>
      </c>
      <c r="J730" s="12">
        <v>20</v>
      </c>
      <c r="K730" s="12">
        <v>15</v>
      </c>
      <c r="L730" s="12">
        <v>16.5</v>
      </c>
      <c r="M730" s="12">
        <v>16.5</v>
      </c>
      <c r="N730" s="12">
        <v>16</v>
      </c>
      <c r="O730" s="30">
        <v>19</v>
      </c>
      <c r="P730" s="31"/>
      <c r="Q730" s="11">
        <v>153</v>
      </c>
      <c r="S730">
        <f t="shared" si="11"/>
        <v>0</v>
      </c>
    </row>
    <row r="731" spans="5:19">
      <c r="E731" s="32" t="s">
        <v>61</v>
      </c>
      <c r="F731" s="31"/>
      <c r="G731" s="11" t="s">
        <v>40</v>
      </c>
      <c r="H731" s="12">
        <v>57</v>
      </c>
      <c r="I731" s="12">
        <v>62</v>
      </c>
      <c r="J731" s="12">
        <v>48</v>
      </c>
      <c r="K731" s="12">
        <v>46</v>
      </c>
      <c r="L731" s="12">
        <v>53</v>
      </c>
      <c r="M731" s="12">
        <v>50</v>
      </c>
      <c r="N731" s="12">
        <v>38</v>
      </c>
      <c r="O731" s="30">
        <v>45</v>
      </c>
      <c r="P731" s="31"/>
      <c r="Q731" s="11">
        <v>399</v>
      </c>
      <c r="S731">
        <f t="shared" si="11"/>
        <v>0</v>
      </c>
    </row>
    <row r="732" spans="5:19">
      <c r="E732" s="13" t="s">
        <v>62</v>
      </c>
      <c r="F732" s="13"/>
      <c r="G732" s="11" t="s">
        <v>63</v>
      </c>
      <c r="H732" s="12">
        <v>100</v>
      </c>
      <c r="I732" s="12">
        <v>100</v>
      </c>
      <c r="J732" s="12">
        <v>100</v>
      </c>
      <c r="K732" s="12">
        <v>100</v>
      </c>
      <c r="L732" s="12">
        <v>100</v>
      </c>
      <c r="M732" s="12">
        <v>100</v>
      </c>
      <c r="N732" s="12">
        <v>50</v>
      </c>
      <c r="O732" s="30">
        <v>50</v>
      </c>
      <c r="P732" s="31"/>
      <c r="Q732" s="11">
        <v>700</v>
      </c>
      <c r="S732" t="str">
        <f t="shared" si="11"/>
        <v>Dr. B.B. Hegde First Grade College, Kundapura, Udupi.</v>
      </c>
    </row>
    <row r="733" spans="5:19">
      <c r="E733" s="32" t="s">
        <v>273</v>
      </c>
      <c r="F733" s="31"/>
      <c r="G733" s="11" t="s">
        <v>65</v>
      </c>
      <c r="H733" s="12" t="s">
        <v>103</v>
      </c>
      <c r="I733" s="12" t="s">
        <v>69</v>
      </c>
      <c r="J733" s="12" t="s">
        <v>127</v>
      </c>
      <c r="K733" s="12" t="s">
        <v>127</v>
      </c>
      <c r="L733" s="12" t="s">
        <v>138</v>
      </c>
      <c r="M733" s="12" t="s">
        <v>138</v>
      </c>
      <c r="N733" s="12" t="s">
        <v>102</v>
      </c>
      <c r="O733" s="30" t="s">
        <v>71</v>
      </c>
      <c r="P733" s="31"/>
      <c r="Q733" s="11" t="s">
        <v>37</v>
      </c>
      <c r="S733" t="str">
        <f t="shared" si="11"/>
        <v>00050</v>
      </c>
    </row>
    <row r="734" spans="5:19">
      <c r="E734" s="15" t="s">
        <v>72</v>
      </c>
      <c r="F734" s="15" t="s">
        <v>529</v>
      </c>
      <c r="G734" s="11" t="s">
        <v>74</v>
      </c>
      <c r="H734" s="12" t="s">
        <v>75</v>
      </c>
      <c r="I734" s="12" t="s">
        <v>75</v>
      </c>
      <c r="J734" s="12" t="s">
        <v>75</v>
      </c>
      <c r="K734" s="12" t="s">
        <v>75</v>
      </c>
      <c r="L734" s="12" t="s">
        <v>75</v>
      </c>
      <c r="M734" s="12" t="s">
        <v>75</v>
      </c>
      <c r="N734" s="12" t="s">
        <v>75</v>
      </c>
      <c r="O734" s="30" t="s">
        <v>75</v>
      </c>
      <c r="P734" s="31"/>
      <c r="Q734" s="11" t="s">
        <v>37</v>
      </c>
      <c r="S734" t="str">
        <f t="shared" si="11"/>
        <v>USN</v>
      </c>
    </row>
    <row r="735" spans="5:19">
      <c r="E735" s="16" t="s">
        <v>37</v>
      </c>
      <c r="F735" s="16" t="s">
        <v>37</v>
      </c>
      <c r="G735" s="16" t="s">
        <v>37</v>
      </c>
      <c r="H735" s="17" t="s">
        <v>37</v>
      </c>
      <c r="I735" s="17" t="s">
        <v>37</v>
      </c>
      <c r="J735" s="17" t="s">
        <v>37</v>
      </c>
      <c r="K735" s="17" t="s">
        <v>37</v>
      </c>
      <c r="L735" s="17" t="s">
        <v>37</v>
      </c>
      <c r="M735" s="17" t="s">
        <v>37</v>
      </c>
      <c r="N735" s="17" t="s">
        <v>37</v>
      </c>
      <c r="O735" s="41" t="s">
        <v>37</v>
      </c>
      <c r="P735" s="28"/>
      <c r="Q735" s="17" t="s">
        <v>37</v>
      </c>
      <c r="S735" t="str">
        <f t="shared" si="11"/>
        <v>AISHWARYA</v>
      </c>
    </row>
    <row r="736" spans="5:19" ht="0" hidden="1" customHeight="1">
      <c r="S736">
        <f t="shared" si="11"/>
        <v>0</v>
      </c>
    </row>
    <row r="737" spans="5:19" ht="0.6" customHeight="1">
      <c r="S737">
        <f t="shared" si="11"/>
        <v>0</v>
      </c>
    </row>
    <row r="738" spans="5:19">
      <c r="E738" s="38" t="s">
        <v>35</v>
      </c>
      <c r="F738" s="31"/>
      <c r="G738" s="4" t="s">
        <v>36</v>
      </c>
      <c r="H738" s="6" t="s">
        <v>37</v>
      </c>
      <c r="I738" s="6" t="s">
        <v>37</v>
      </c>
      <c r="J738" s="6" t="s">
        <v>37</v>
      </c>
      <c r="K738" s="6" t="s">
        <v>37</v>
      </c>
      <c r="L738" s="6" t="s">
        <v>37</v>
      </c>
      <c r="M738" s="6" t="s">
        <v>37</v>
      </c>
      <c r="N738" s="6" t="s">
        <v>37</v>
      </c>
      <c r="O738" s="39" t="s">
        <v>37</v>
      </c>
      <c r="P738" s="28"/>
      <c r="Q738" s="6" t="s">
        <v>37</v>
      </c>
      <c r="S738" t="str">
        <f t="shared" si="11"/>
        <v>SGPA</v>
      </c>
    </row>
    <row r="739" spans="5:19" ht="21">
      <c r="E739" s="32" t="s">
        <v>530</v>
      </c>
      <c r="F739" s="31"/>
      <c r="G739" s="8" t="s">
        <v>39</v>
      </c>
      <c r="H739" s="8" t="s">
        <v>19</v>
      </c>
      <c r="I739" s="8" t="s">
        <v>9</v>
      </c>
      <c r="J739" s="8" t="s">
        <v>21</v>
      </c>
      <c r="K739" s="8" t="s">
        <v>11</v>
      </c>
      <c r="L739" s="8" t="s">
        <v>17</v>
      </c>
      <c r="M739" s="8" t="s">
        <v>27</v>
      </c>
      <c r="N739" s="8" t="s">
        <v>7</v>
      </c>
      <c r="O739" s="40" t="s">
        <v>29</v>
      </c>
      <c r="P739" s="31"/>
      <c r="Q739" s="8" t="s">
        <v>40</v>
      </c>
      <c r="S739" t="str">
        <f t="shared" si="11"/>
        <v>CGPA</v>
      </c>
    </row>
    <row r="740" spans="5:19" ht="22.5">
      <c r="E740" s="13" t="s">
        <v>41</v>
      </c>
      <c r="F740" s="13" t="s">
        <v>531</v>
      </c>
      <c r="G740" s="11" t="s">
        <v>43</v>
      </c>
      <c r="H740" s="12" t="s">
        <v>78</v>
      </c>
      <c r="I740" s="12" t="s">
        <v>82</v>
      </c>
      <c r="J740" s="12" t="s">
        <v>280</v>
      </c>
      <c r="K740" s="12" t="s">
        <v>277</v>
      </c>
      <c r="L740" s="12" t="s">
        <v>532</v>
      </c>
      <c r="M740" s="12" t="s">
        <v>82</v>
      </c>
      <c r="N740" s="12" t="s">
        <v>209</v>
      </c>
      <c r="O740" s="30" t="s">
        <v>51</v>
      </c>
      <c r="P740" s="31"/>
      <c r="Q740" s="11" t="s">
        <v>37</v>
      </c>
      <c r="S740" t="str">
        <f t="shared" si="11"/>
        <v>Result: PASS</v>
      </c>
    </row>
    <row r="741" spans="5:19">
      <c r="E741" s="32" t="s">
        <v>533</v>
      </c>
      <c r="F741" s="33"/>
      <c r="G741" s="11" t="s">
        <v>53</v>
      </c>
      <c r="H741" s="12" t="s">
        <v>51</v>
      </c>
      <c r="I741" s="12" t="s">
        <v>51</v>
      </c>
      <c r="J741" s="12" t="s">
        <v>51</v>
      </c>
      <c r="K741" s="12" t="s">
        <v>51</v>
      </c>
      <c r="L741" s="12" t="s">
        <v>51</v>
      </c>
      <c r="M741" s="12" t="s">
        <v>51</v>
      </c>
      <c r="N741" s="12" t="s">
        <v>51</v>
      </c>
      <c r="O741" s="30" t="s">
        <v>86</v>
      </c>
      <c r="P741" s="31"/>
      <c r="Q741" s="11" t="s">
        <v>37</v>
      </c>
      <c r="S741" t="str">
        <f t="shared" si="11"/>
        <v>Class</v>
      </c>
    </row>
    <row r="742" spans="5:19">
      <c r="E742" s="34"/>
      <c r="F742" s="35"/>
      <c r="G742" s="11" t="s">
        <v>55</v>
      </c>
      <c r="H742" s="12" t="s">
        <v>37</v>
      </c>
      <c r="I742" s="12" t="s">
        <v>37</v>
      </c>
      <c r="J742" s="12" t="s">
        <v>37</v>
      </c>
      <c r="K742" s="12" t="s">
        <v>37</v>
      </c>
      <c r="L742" s="12" t="s">
        <v>37</v>
      </c>
      <c r="M742" s="12" t="s">
        <v>37</v>
      </c>
      <c r="N742" s="12" t="s">
        <v>37</v>
      </c>
      <c r="O742" s="30" t="s">
        <v>37</v>
      </c>
      <c r="P742" s="31"/>
      <c r="Q742" s="11">
        <v>0</v>
      </c>
      <c r="S742" t="str">
        <f t="shared" si="11"/>
        <v>Term Grade: OO</v>
      </c>
    </row>
    <row r="743" spans="5:19">
      <c r="E743" s="36"/>
      <c r="F743" s="37"/>
      <c r="G743" s="11" t="s">
        <v>56</v>
      </c>
      <c r="H743" s="12">
        <v>4</v>
      </c>
      <c r="I743" s="12">
        <v>4</v>
      </c>
      <c r="J743" s="12">
        <v>4</v>
      </c>
      <c r="K743" s="12">
        <v>3</v>
      </c>
      <c r="L743" s="12">
        <v>3</v>
      </c>
      <c r="M743" s="12">
        <v>3</v>
      </c>
      <c r="N743" s="12">
        <v>2</v>
      </c>
      <c r="O743" s="30">
        <v>2</v>
      </c>
      <c r="P743" s="31"/>
      <c r="Q743" s="11">
        <v>25</v>
      </c>
      <c r="S743" t="str">
        <f t="shared" si="11"/>
        <v>M.C.No</v>
      </c>
    </row>
    <row r="744" spans="5:19">
      <c r="E744" s="13" t="s">
        <v>57</v>
      </c>
      <c r="F744" s="13">
        <v>9.32</v>
      </c>
      <c r="G744" s="11" t="s">
        <v>58</v>
      </c>
      <c r="H744" s="12">
        <v>9</v>
      </c>
      <c r="I744" s="12">
        <v>10</v>
      </c>
      <c r="J744" s="12">
        <v>9</v>
      </c>
      <c r="K744" s="12">
        <v>8</v>
      </c>
      <c r="L744" s="12">
        <v>9</v>
      </c>
      <c r="M744" s="12">
        <v>10</v>
      </c>
      <c r="N744" s="12">
        <v>10</v>
      </c>
      <c r="O744" s="30">
        <v>10</v>
      </c>
      <c r="P744" s="31"/>
      <c r="Q744" s="11" t="s">
        <v>37</v>
      </c>
      <c r="S744" t="str">
        <f t="shared" si="11"/>
        <v/>
      </c>
    </row>
    <row r="745" spans="5:19">
      <c r="E745" s="13" t="s">
        <v>59</v>
      </c>
      <c r="F745" s="14">
        <v>9.32</v>
      </c>
      <c r="G745" s="11" t="s">
        <v>60</v>
      </c>
      <c r="H745" s="12">
        <v>36</v>
      </c>
      <c r="I745" s="12">
        <v>40</v>
      </c>
      <c r="J745" s="12">
        <v>36</v>
      </c>
      <c r="K745" s="12">
        <v>24</v>
      </c>
      <c r="L745" s="12">
        <v>27</v>
      </c>
      <c r="M745" s="12">
        <v>30</v>
      </c>
      <c r="N745" s="12">
        <v>20</v>
      </c>
      <c r="O745" s="30">
        <v>20</v>
      </c>
      <c r="P745" s="31"/>
      <c r="Q745" s="11">
        <v>233</v>
      </c>
      <c r="S745">
        <f t="shared" si="11"/>
        <v>0</v>
      </c>
    </row>
    <row r="746" spans="5:19">
      <c r="E746" s="32" t="s">
        <v>61</v>
      </c>
      <c r="F746" s="31"/>
      <c r="G746" s="11" t="s">
        <v>40</v>
      </c>
      <c r="H746" s="12">
        <v>86</v>
      </c>
      <c r="I746" s="12">
        <v>98</v>
      </c>
      <c r="J746" s="12">
        <v>86</v>
      </c>
      <c r="K746" s="12">
        <v>76</v>
      </c>
      <c r="L746" s="12">
        <v>88</v>
      </c>
      <c r="M746" s="12">
        <v>98</v>
      </c>
      <c r="N746" s="12">
        <v>50</v>
      </c>
      <c r="O746" s="30">
        <v>48</v>
      </c>
      <c r="P746" s="31"/>
      <c r="Q746" s="11">
        <v>630</v>
      </c>
      <c r="S746">
        <f t="shared" si="11"/>
        <v>0</v>
      </c>
    </row>
    <row r="747" spans="5:19">
      <c r="E747" s="13" t="s">
        <v>62</v>
      </c>
      <c r="F747" s="13"/>
      <c r="G747" s="11" t="s">
        <v>63</v>
      </c>
      <c r="H747" s="12">
        <v>100</v>
      </c>
      <c r="I747" s="12">
        <v>100</v>
      </c>
      <c r="J747" s="12">
        <v>100</v>
      </c>
      <c r="K747" s="12">
        <v>100</v>
      </c>
      <c r="L747" s="12">
        <v>100</v>
      </c>
      <c r="M747" s="12">
        <v>100</v>
      </c>
      <c r="N747" s="12">
        <v>50</v>
      </c>
      <c r="O747" s="30">
        <v>50</v>
      </c>
      <c r="P747" s="31"/>
      <c r="Q747" s="11">
        <v>700</v>
      </c>
      <c r="S747" t="str">
        <f t="shared" si="11"/>
        <v>Dr. B.B. Hegde First Grade College, Kundapura, Udupi.</v>
      </c>
    </row>
    <row r="748" spans="5:19">
      <c r="E748" s="32" t="s">
        <v>87</v>
      </c>
      <c r="F748" s="31"/>
      <c r="G748" s="11" t="s">
        <v>65</v>
      </c>
      <c r="H748" s="12" t="s">
        <v>67</v>
      </c>
      <c r="I748" s="12" t="s">
        <v>88</v>
      </c>
      <c r="J748" s="12" t="s">
        <v>67</v>
      </c>
      <c r="K748" s="12" t="s">
        <v>102</v>
      </c>
      <c r="L748" s="12" t="s">
        <v>67</v>
      </c>
      <c r="M748" s="12" t="s">
        <v>88</v>
      </c>
      <c r="N748" s="12" t="s">
        <v>88</v>
      </c>
      <c r="O748" s="30" t="s">
        <v>88</v>
      </c>
      <c r="P748" s="31"/>
      <c r="Q748" s="11" t="s">
        <v>37</v>
      </c>
      <c r="S748" t="str">
        <f t="shared" si="11"/>
        <v>00051</v>
      </c>
    </row>
    <row r="749" spans="5:19">
      <c r="E749" s="15" t="s">
        <v>72</v>
      </c>
      <c r="F749" s="15" t="s">
        <v>534</v>
      </c>
      <c r="G749" s="11" t="s">
        <v>74</v>
      </c>
      <c r="H749" s="12" t="s">
        <v>75</v>
      </c>
      <c r="I749" s="12" t="s">
        <v>75</v>
      </c>
      <c r="J749" s="12" t="s">
        <v>75</v>
      </c>
      <c r="K749" s="12" t="s">
        <v>75</v>
      </c>
      <c r="L749" s="12" t="s">
        <v>75</v>
      </c>
      <c r="M749" s="12" t="s">
        <v>75</v>
      </c>
      <c r="N749" s="12" t="s">
        <v>75</v>
      </c>
      <c r="O749" s="30" t="s">
        <v>75</v>
      </c>
      <c r="P749" s="31"/>
      <c r="Q749" s="11" t="s">
        <v>37</v>
      </c>
      <c r="S749" t="str">
        <f t="shared" si="11"/>
        <v>USN</v>
      </c>
    </row>
    <row r="750" spans="5:19">
      <c r="E750" s="16" t="s">
        <v>37</v>
      </c>
      <c r="F750" s="16" t="s">
        <v>37</v>
      </c>
      <c r="G750" s="16" t="s">
        <v>37</v>
      </c>
      <c r="H750" s="17" t="s">
        <v>37</v>
      </c>
      <c r="I750" s="17" t="s">
        <v>37</v>
      </c>
      <c r="J750" s="17" t="s">
        <v>37</v>
      </c>
      <c r="K750" s="17" t="s">
        <v>37</v>
      </c>
      <c r="L750" s="17" t="s">
        <v>37</v>
      </c>
      <c r="M750" s="17" t="s">
        <v>37</v>
      </c>
      <c r="N750" s="17" t="s">
        <v>37</v>
      </c>
      <c r="O750" s="41" t="s">
        <v>37</v>
      </c>
      <c r="P750" s="28"/>
      <c r="Q750" s="17" t="s">
        <v>37</v>
      </c>
      <c r="S750" t="str">
        <f t="shared" si="11"/>
        <v>KEERTHANA N</v>
      </c>
    </row>
    <row r="751" spans="5:19" ht="0" hidden="1" customHeight="1">
      <c r="S751">
        <f t="shared" si="11"/>
        <v>0</v>
      </c>
    </row>
    <row r="752" spans="5:19" ht="0.6" customHeight="1">
      <c r="S752">
        <f t="shared" si="11"/>
        <v>0</v>
      </c>
    </row>
    <row r="753" spans="5:19">
      <c r="E753" s="38" t="s">
        <v>35</v>
      </c>
      <c r="F753" s="31"/>
      <c r="G753" s="4" t="s">
        <v>36</v>
      </c>
      <c r="H753" s="6" t="s">
        <v>37</v>
      </c>
      <c r="I753" s="6" t="s">
        <v>37</v>
      </c>
      <c r="J753" s="6" t="s">
        <v>37</v>
      </c>
      <c r="K753" s="6" t="s">
        <v>37</v>
      </c>
      <c r="L753" s="6" t="s">
        <v>37</v>
      </c>
      <c r="M753" s="6" t="s">
        <v>37</v>
      </c>
      <c r="N753" s="6" t="s">
        <v>37</v>
      </c>
      <c r="O753" s="39" t="s">
        <v>37</v>
      </c>
      <c r="P753" s="28"/>
      <c r="Q753" s="6" t="s">
        <v>37</v>
      </c>
      <c r="S753" t="str">
        <f t="shared" si="11"/>
        <v>SGPA</v>
      </c>
    </row>
    <row r="754" spans="5:19" ht="21">
      <c r="E754" s="32" t="s">
        <v>535</v>
      </c>
      <c r="F754" s="31"/>
      <c r="G754" s="8" t="s">
        <v>39</v>
      </c>
      <c r="H754" s="8" t="s">
        <v>19</v>
      </c>
      <c r="I754" s="8" t="s">
        <v>9</v>
      </c>
      <c r="J754" s="8" t="s">
        <v>21</v>
      </c>
      <c r="K754" s="8" t="s">
        <v>11</v>
      </c>
      <c r="L754" s="8" t="s">
        <v>17</v>
      </c>
      <c r="M754" s="8" t="s">
        <v>27</v>
      </c>
      <c r="N754" s="8" t="s">
        <v>7</v>
      </c>
      <c r="O754" s="40" t="s">
        <v>25</v>
      </c>
      <c r="P754" s="31"/>
      <c r="Q754" s="8" t="s">
        <v>40</v>
      </c>
      <c r="S754" t="str">
        <f t="shared" si="11"/>
        <v>CGPA</v>
      </c>
    </row>
    <row r="755" spans="5:19" ht="22.5">
      <c r="E755" s="13" t="s">
        <v>41</v>
      </c>
      <c r="F755" s="13" t="s">
        <v>536</v>
      </c>
      <c r="G755" s="11" t="s">
        <v>43</v>
      </c>
      <c r="H755" s="12" t="s">
        <v>537</v>
      </c>
      <c r="I755" s="12" t="s">
        <v>538</v>
      </c>
      <c r="J755" s="12" t="s">
        <v>143</v>
      </c>
      <c r="K755" s="12" t="s">
        <v>539</v>
      </c>
      <c r="L755" s="12" t="s">
        <v>540</v>
      </c>
      <c r="M755" s="12" t="s">
        <v>541</v>
      </c>
      <c r="N755" s="12" t="s">
        <v>297</v>
      </c>
      <c r="O755" s="30" t="s">
        <v>51</v>
      </c>
      <c r="P755" s="31"/>
      <c r="Q755" s="11" t="s">
        <v>37</v>
      </c>
      <c r="S755" t="str">
        <f t="shared" si="11"/>
        <v>Result: PASS</v>
      </c>
    </row>
    <row r="756" spans="5:19">
      <c r="E756" s="32" t="s">
        <v>542</v>
      </c>
      <c r="F756" s="33"/>
      <c r="G756" s="11" t="s">
        <v>53</v>
      </c>
      <c r="H756" s="12" t="s">
        <v>51</v>
      </c>
      <c r="I756" s="12" t="s">
        <v>51</v>
      </c>
      <c r="J756" s="12" t="s">
        <v>51</v>
      </c>
      <c r="K756" s="12" t="s">
        <v>51</v>
      </c>
      <c r="L756" s="12" t="s">
        <v>51</v>
      </c>
      <c r="M756" s="12" t="s">
        <v>51</v>
      </c>
      <c r="N756" s="12" t="s">
        <v>51</v>
      </c>
      <c r="O756" s="30" t="s">
        <v>100</v>
      </c>
      <c r="P756" s="31"/>
      <c r="Q756" s="11" t="s">
        <v>37</v>
      </c>
      <c r="S756" t="str">
        <f t="shared" si="11"/>
        <v>Class</v>
      </c>
    </row>
    <row r="757" spans="5:19">
      <c r="E757" s="34"/>
      <c r="F757" s="35"/>
      <c r="G757" s="11" t="s">
        <v>55</v>
      </c>
      <c r="H757" s="12" t="s">
        <v>37</v>
      </c>
      <c r="I757" s="12" t="s">
        <v>37</v>
      </c>
      <c r="J757" s="12" t="s">
        <v>37</v>
      </c>
      <c r="K757" s="12" t="s">
        <v>37</v>
      </c>
      <c r="L757" s="12" t="s">
        <v>37</v>
      </c>
      <c r="M757" s="12" t="s">
        <v>37</v>
      </c>
      <c r="N757" s="12" t="s">
        <v>37</v>
      </c>
      <c r="O757" s="30" t="s">
        <v>37</v>
      </c>
      <c r="P757" s="31"/>
      <c r="Q757" s="11">
        <v>0</v>
      </c>
      <c r="S757" t="str">
        <f t="shared" si="11"/>
        <v>Term Grade: OA</v>
      </c>
    </row>
    <row r="758" spans="5:19">
      <c r="E758" s="36"/>
      <c r="F758" s="37"/>
      <c r="G758" s="11" t="s">
        <v>56</v>
      </c>
      <c r="H758" s="12">
        <v>4</v>
      </c>
      <c r="I758" s="12">
        <v>4</v>
      </c>
      <c r="J758" s="12">
        <v>4</v>
      </c>
      <c r="K758" s="12">
        <v>3</v>
      </c>
      <c r="L758" s="12">
        <v>3</v>
      </c>
      <c r="M758" s="12">
        <v>3</v>
      </c>
      <c r="N758" s="12">
        <v>2</v>
      </c>
      <c r="O758" s="30">
        <v>2</v>
      </c>
      <c r="P758" s="31"/>
      <c r="Q758" s="11">
        <v>25</v>
      </c>
      <c r="S758" t="str">
        <f t="shared" si="11"/>
        <v>M.C.No</v>
      </c>
    </row>
    <row r="759" spans="5:19">
      <c r="E759" s="13" t="s">
        <v>57</v>
      </c>
      <c r="F759" s="13">
        <v>8.1199999999999992</v>
      </c>
      <c r="G759" s="11" t="s">
        <v>58</v>
      </c>
      <c r="H759" s="12">
        <v>8</v>
      </c>
      <c r="I759" s="12">
        <v>7.5</v>
      </c>
      <c r="J759" s="12">
        <v>7</v>
      </c>
      <c r="K759" s="12">
        <v>7</v>
      </c>
      <c r="L759" s="12">
        <v>9.5</v>
      </c>
      <c r="M759" s="12">
        <v>8.5</v>
      </c>
      <c r="N759" s="12">
        <v>9</v>
      </c>
      <c r="O759" s="30">
        <v>10</v>
      </c>
      <c r="P759" s="31"/>
      <c r="Q759" s="11" t="s">
        <v>37</v>
      </c>
      <c r="S759" t="str">
        <f t="shared" si="11"/>
        <v/>
      </c>
    </row>
    <row r="760" spans="5:19">
      <c r="E760" s="13" t="s">
        <v>59</v>
      </c>
      <c r="F760" s="14">
        <v>8.1199999999999992</v>
      </c>
      <c r="G760" s="11" t="s">
        <v>60</v>
      </c>
      <c r="H760" s="12">
        <v>32</v>
      </c>
      <c r="I760" s="12">
        <v>30</v>
      </c>
      <c r="J760" s="12">
        <v>28</v>
      </c>
      <c r="K760" s="12">
        <v>21</v>
      </c>
      <c r="L760" s="12">
        <v>28.5</v>
      </c>
      <c r="M760" s="12">
        <v>25.5</v>
      </c>
      <c r="N760" s="12">
        <v>18</v>
      </c>
      <c r="O760" s="30">
        <v>20</v>
      </c>
      <c r="P760" s="31"/>
      <c r="Q760" s="11">
        <v>203</v>
      </c>
      <c r="S760">
        <f t="shared" si="11"/>
        <v>0</v>
      </c>
    </row>
    <row r="761" spans="5:19">
      <c r="E761" s="32" t="s">
        <v>61</v>
      </c>
      <c r="F761" s="31"/>
      <c r="G761" s="11" t="s">
        <v>40</v>
      </c>
      <c r="H761" s="12">
        <v>75</v>
      </c>
      <c r="I761" s="12">
        <v>73</v>
      </c>
      <c r="J761" s="12">
        <v>65</v>
      </c>
      <c r="K761" s="12">
        <v>65</v>
      </c>
      <c r="L761" s="12">
        <v>93</v>
      </c>
      <c r="M761" s="12">
        <v>81</v>
      </c>
      <c r="N761" s="12">
        <v>44</v>
      </c>
      <c r="O761" s="30">
        <v>50</v>
      </c>
      <c r="P761" s="31"/>
      <c r="Q761" s="11">
        <v>546</v>
      </c>
      <c r="S761">
        <f t="shared" si="11"/>
        <v>0</v>
      </c>
    </row>
    <row r="762" spans="5:19">
      <c r="E762" s="13" t="s">
        <v>62</v>
      </c>
      <c r="F762" s="13"/>
      <c r="G762" s="11" t="s">
        <v>63</v>
      </c>
      <c r="H762" s="12">
        <v>100</v>
      </c>
      <c r="I762" s="12">
        <v>100</v>
      </c>
      <c r="J762" s="12">
        <v>100</v>
      </c>
      <c r="K762" s="12">
        <v>100</v>
      </c>
      <c r="L762" s="12">
        <v>100</v>
      </c>
      <c r="M762" s="12">
        <v>100</v>
      </c>
      <c r="N762" s="12">
        <v>50</v>
      </c>
      <c r="O762" s="30">
        <v>50</v>
      </c>
      <c r="P762" s="31"/>
      <c r="Q762" s="11">
        <v>700</v>
      </c>
      <c r="S762" t="str">
        <f t="shared" si="11"/>
        <v>Dr. B.B. Hegde First Grade College, Kundapura, Udupi.</v>
      </c>
    </row>
    <row r="763" spans="5:19">
      <c r="E763" s="32" t="s">
        <v>200</v>
      </c>
      <c r="F763" s="31"/>
      <c r="G763" s="11" t="s">
        <v>65</v>
      </c>
      <c r="H763" s="12" t="s">
        <v>102</v>
      </c>
      <c r="I763" s="12" t="s">
        <v>68</v>
      </c>
      <c r="J763" s="12" t="s">
        <v>66</v>
      </c>
      <c r="K763" s="12" t="s">
        <v>66</v>
      </c>
      <c r="L763" s="12" t="s">
        <v>71</v>
      </c>
      <c r="M763" s="12" t="s">
        <v>70</v>
      </c>
      <c r="N763" s="12" t="s">
        <v>67</v>
      </c>
      <c r="O763" s="30" t="s">
        <v>88</v>
      </c>
      <c r="P763" s="31"/>
      <c r="Q763" s="11" t="s">
        <v>37</v>
      </c>
      <c r="S763" t="str">
        <f t="shared" si="11"/>
        <v>00052</v>
      </c>
    </row>
    <row r="764" spans="5:19">
      <c r="E764" s="15" t="s">
        <v>72</v>
      </c>
      <c r="F764" s="15" t="s">
        <v>543</v>
      </c>
      <c r="G764" s="11" t="s">
        <v>74</v>
      </c>
      <c r="H764" s="12" t="s">
        <v>75</v>
      </c>
      <c r="I764" s="12" t="s">
        <v>75</v>
      </c>
      <c r="J764" s="12" t="s">
        <v>75</v>
      </c>
      <c r="K764" s="12" t="s">
        <v>75</v>
      </c>
      <c r="L764" s="12" t="s">
        <v>75</v>
      </c>
      <c r="M764" s="12" t="s">
        <v>75</v>
      </c>
      <c r="N764" s="12" t="s">
        <v>75</v>
      </c>
      <c r="O764" s="30" t="s">
        <v>75</v>
      </c>
      <c r="P764" s="31"/>
      <c r="Q764" s="11" t="s">
        <v>37</v>
      </c>
      <c r="S764" t="str">
        <f t="shared" si="11"/>
        <v>USN</v>
      </c>
    </row>
    <row r="765" spans="5:19">
      <c r="E765" s="16" t="s">
        <v>37</v>
      </c>
      <c r="F765" s="16" t="s">
        <v>37</v>
      </c>
      <c r="G765" s="16" t="s">
        <v>37</v>
      </c>
      <c r="H765" s="17" t="s">
        <v>37</v>
      </c>
      <c r="I765" s="17" t="s">
        <v>37</v>
      </c>
      <c r="J765" s="17" t="s">
        <v>37</v>
      </c>
      <c r="K765" s="17" t="s">
        <v>37</v>
      </c>
      <c r="L765" s="17" t="s">
        <v>37</v>
      </c>
      <c r="M765" s="17" t="s">
        <v>37</v>
      </c>
      <c r="N765" s="17" t="s">
        <v>37</v>
      </c>
      <c r="O765" s="41" t="s">
        <v>37</v>
      </c>
      <c r="P765" s="28"/>
      <c r="Q765" s="17" t="s">
        <v>37</v>
      </c>
      <c r="S765" t="str">
        <f t="shared" si="11"/>
        <v>ASHIK MANDARA</v>
      </c>
    </row>
    <row r="766" spans="5:19" ht="0" hidden="1" customHeight="1">
      <c r="S766">
        <f t="shared" si="11"/>
        <v>0</v>
      </c>
    </row>
    <row r="767" spans="5:19" ht="0.6" customHeight="1">
      <c r="S767">
        <f t="shared" si="11"/>
        <v>0</v>
      </c>
    </row>
    <row r="768" spans="5:19">
      <c r="E768" s="38" t="s">
        <v>35</v>
      </c>
      <c r="F768" s="31"/>
      <c r="G768" s="4" t="s">
        <v>36</v>
      </c>
      <c r="H768" s="6" t="s">
        <v>37</v>
      </c>
      <c r="I768" s="6" t="s">
        <v>37</v>
      </c>
      <c r="J768" s="6" t="s">
        <v>37</v>
      </c>
      <c r="K768" s="6" t="s">
        <v>37</v>
      </c>
      <c r="L768" s="6" t="s">
        <v>37</v>
      </c>
      <c r="M768" s="6" t="s">
        <v>37</v>
      </c>
      <c r="N768" s="6" t="s">
        <v>37</v>
      </c>
      <c r="O768" s="39" t="s">
        <v>37</v>
      </c>
      <c r="P768" s="28"/>
      <c r="Q768" s="6" t="s">
        <v>37</v>
      </c>
      <c r="S768" t="str">
        <f t="shared" si="11"/>
        <v>SGPA</v>
      </c>
    </row>
    <row r="769" spans="5:19" ht="21">
      <c r="E769" s="32" t="s">
        <v>544</v>
      </c>
      <c r="F769" s="31"/>
      <c r="G769" s="8" t="s">
        <v>39</v>
      </c>
      <c r="H769" s="8" t="s">
        <v>19</v>
      </c>
      <c r="I769" s="8" t="s">
        <v>9</v>
      </c>
      <c r="J769" s="8" t="s">
        <v>21</v>
      </c>
      <c r="K769" s="8" t="s">
        <v>11</v>
      </c>
      <c r="L769" s="8" t="s">
        <v>17</v>
      </c>
      <c r="M769" s="8" t="s">
        <v>27</v>
      </c>
      <c r="N769" s="8" t="s">
        <v>7</v>
      </c>
      <c r="O769" s="40" t="s">
        <v>33</v>
      </c>
      <c r="P769" s="31"/>
      <c r="Q769" s="8" t="s">
        <v>40</v>
      </c>
      <c r="S769" t="str">
        <f t="shared" si="11"/>
        <v>CGPA</v>
      </c>
    </row>
    <row r="770" spans="5:19" ht="22.5">
      <c r="E770" s="13" t="s">
        <v>41</v>
      </c>
      <c r="F770" s="13" t="s">
        <v>545</v>
      </c>
      <c r="G770" s="11" t="s">
        <v>43</v>
      </c>
      <c r="H770" s="12" t="s">
        <v>546</v>
      </c>
      <c r="I770" s="12" t="s">
        <v>547</v>
      </c>
      <c r="J770" s="12" t="s">
        <v>299</v>
      </c>
      <c r="K770" s="12" t="s">
        <v>548</v>
      </c>
      <c r="L770" s="12" t="s">
        <v>480</v>
      </c>
      <c r="M770" s="12" t="s">
        <v>549</v>
      </c>
      <c r="N770" s="12" t="s">
        <v>550</v>
      </c>
      <c r="O770" s="30" t="s">
        <v>51</v>
      </c>
      <c r="P770" s="31"/>
      <c r="Q770" s="11" t="s">
        <v>37</v>
      </c>
      <c r="S770" t="str">
        <f t="shared" si="11"/>
        <v>Result: PASS</v>
      </c>
    </row>
    <row r="771" spans="5:19">
      <c r="E771" s="32" t="s">
        <v>551</v>
      </c>
      <c r="F771" s="33"/>
      <c r="G771" s="11" t="s">
        <v>53</v>
      </c>
      <c r="H771" s="12" t="s">
        <v>51</v>
      </c>
      <c r="I771" s="12" t="s">
        <v>51</v>
      </c>
      <c r="J771" s="12" t="s">
        <v>51</v>
      </c>
      <c r="K771" s="12" t="s">
        <v>51</v>
      </c>
      <c r="L771" s="12" t="s">
        <v>51</v>
      </c>
      <c r="M771" s="12" t="s">
        <v>51</v>
      </c>
      <c r="N771" s="12" t="s">
        <v>51</v>
      </c>
      <c r="O771" s="30" t="s">
        <v>552</v>
      </c>
      <c r="P771" s="31"/>
      <c r="Q771" s="11" t="s">
        <v>37</v>
      </c>
      <c r="S771" t="str">
        <f t="shared" si="11"/>
        <v>Class</v>
      </c>
    </row>
    <row r="772" spans="5:19">
      <c r="E772" s="34"/>
      <c r="F772" s="35"/>
      <c r="G772" s="11" t="s">
        <v>55</v>
      </c>
      <c r="H772" s="12" t="s">
        <v>37</v>
      </c>
      <c r="I772" s="12" t="s">
        <v>37</v>
      </c>
      <c r="J772" s="12" t="s">
        <v>37</v>
      </c>
      <c r="K772" s="12" t="s">
        <v>37</v>
      </c>
      <c r="L772" s="12" t="s">
        <v>37</v>
      </c>
      <c r="M772" s="12" t="s">
        <v>37</v>
      </c>
      <c r="N772" s="12" t="s">
        <v>37</v>
      </c>
      <c r="O772" s="30" t="s">
        <v>37</v>
      </c>
      <c r="P772" s="31"/>
      <c r="Q772" s="11">
        <v>0</v>
      </c>
      <c r="S772" t="str">
        <f t="shared" si="11"/>
        <v>Term Grade: OA</v>
      </c>
    </row>
    <row r="773" spans="5:19">
      <c r="E773" s="36"/>
      <c r="F773" s="37"/>
      <c r="G773" s="11" t="s">
        <v>56</v>
      </c>
      <c r="H773" s="12">
        <v>4</v>
      </c>
      <c r="I773" s="12">
        <v>4</v>
      </c>
      <c r="J773" s="12">
        <v>4</v>
      </c>
      <c r="K773" s="12">
        <v>3</v>
      </c>
      <c r="L773" s="12">
        <v>3</v>
      </c>
      <c r="M773" s="12">
        <v>3</v>
      </c>
      <c r="N773" s="12">
        <v>2</v>
      </c>
      <c r="O773" s="30">
        <v>2</v>
      </c>
      <c r="P773" s="31"/>
      <c r="Q773" s="11">
        <v>25</v>
      </c>
      <c r="S773" t="str">
        <f t="shared" si="11"/>
        <v>M.C.No</v>
      </c>
    </row>
    <row r="774" spans="5:19">
      <c r="E774" s="13" t="s">
        <v>57</v>
      </c>
      <c r="F774" s="13">
        <v>8.06</v>
      </c>
      <c r="G774" s="11" t="s">
        <v>58</v>
      </c>
      <c r="H774" s="12">
        <v>8.5</v>
      </c>
      <c r="I774" s="12">
        <v>8.5</v>
      </c>
      <c r="J774" s="12">
        <v>7.5</v>
      </c>
      <c r="K774" s="12">
        <v>6</v>
      </c>
      <c r="L774" s="12">
        <v>8.5</v>
      </c>
      <c r="M774" s="12">
        <v>9</v>
      </c>
      <c r="N774" s="12">
        <v>8</v>
      </c>
      <c r="O774" s="30">
        <v>8.5</v>
      </c>
      <c r="P774" s="31"/>
      <c r="Q774" s="11" t="s">
        <v>37</v>
      </c>
      <c r="S774" t="str">
        <f t="shared" si="11"/>
        <v/>
      </c>
    </row>
    <row r="775" spans="5:19">
      <c r="E775" s="13" t="s">
        <v>59</v>
      </c>
      <c r="F775" s="14">
        <v>8.06</v>
      </c>
      <c r="G775" s="11" t="s">
        <v>60</v>
      </c>
      <c r="H775" s="12">
        <v>34</v>
      </c>
      <c r="I775" s="12">
        <v>34</v>
      </c>
      <c r="J775" s="12">
        <v>30</v>
      </c>
      <c r="K775" s="12">
        <v>18</v>
      </c>
      <c r="L775" s="12">
        <v>25.5</v>
      </c>
      <c r="M775" s="12">
        <v>27</v>
      </c>
      <c r="N775" s="12">
        <v>16</v>
      </c>
      <c r="O775" s="30">
        <v>17</v>
      </c>
      <c r="P775" s="31"/>
      <c r="Q775" s="11">
        <v>201.5</v>
      </c>
      <c r="S775">
        <f t="shared" si="11"/>
        <v>0</v>
      </c>
    </row>
    <row r="776" spans="5:19">
      <c r="E776" s="32" t="s">
        <v>61</v>
      </c>
      <c r="F776" s="31"/>
      <c r="G776" s="11" t="s">
        <v>40</v>
      </c>
      <c r="H776" s="12">
        <v>80</v>
      </c>
      <c r="I776" s="12">
        <v>80</v>
      </c>
      <c r="J776" s="12">
        <v>73</v>
      </c>
      <c r="K776" s="12">
        <v>57</v>
      </c>
      <c r="L776" s="12">
        <v>82</v>
      </c>
      <c r="M776" s="12">
        <v>88</v>
      </c>
      <c r="N776" s="12">
        <v>38</v>
      </c>
      <c r="O776" s="30">
        <v>40</v>
      </c>
      <c r="P776" s="31"/>
      <c r="Q776" s="11">
        <v>538</v>
      </c>
      <c r="S776">
        <f t="shared" si="11"/>
        <v>0</v>
      </c>
    </row>
    <row r="777" spans="5:19">
      <c r="E777" s="13" t="s">
        <v>62</v>
      </c>
      <c r="F777" s="13"/>
      <c r="G777" s="11" t="s">
        <v>63</v>
      </c>
      <c r="H777" s="12">
        <v>100</v>
      </c>
      <c r="I777" s="12">
        <v>100</v>
      </c>
      <c r="J777" s="12">
        <v>100</v>
      </c>
      <c r="K777" s="12">
        <v>100</v>
      </c>
      <c r="L777" s="12">
        <v>100</v>
      </c>
      <c r="M777" s="12">
        <v>100</v>
      </c>
      <c r="N777" s="12">
        <v>50</v>
      </c>
      <c r="O777" s="30">
        <v>50</v>
      </c>
      <c r="P777" s="31"/>
      <c r="Q777" s="11">
        <v>700</v>
      </c>
      <c r="S777" t="str">
        <f t="shared" si="11"/>
        <v>Dr. B.B. Hegde First Grade College, Kundapura, Udupi.</v>
      </c>
    </row>
    <row r="778" spans="5:19">
      <c r="E778" s="32" t="s">
        <v>200</v>
      </c>
      <c r="F778" s="31"/>
      <c r="G778" s="11" t="s">
        <v>65</v>
      </c>
      <c r="H778" s="12" t="s">
        <v>70</v>
      </c>
      <c r="I778" s="12" t="s">
        <v>70</v>
      </c>
      <c r="J778" s="12" t="s">
        <v>68</v>
      </c>
      <c r="K778" s="12" t="s">
        <v>103</v>
      </c>
      <c r="L778" s="12" t="s">
        <v>70</v>
      </c>
      <c r="M778" s="12" t="s">
        <v>67</v>
      </c>
      <c r="N778" s="12" t="s">
        <v>102</v>
      </c>
      <c r="O778" s="30" t="s">
        <v>70</v>
      </c>
      <c r="P778" s="31"/>
      <c r="Q778" s="11" t="s">
        <v>37</v>
      </c>
      <c r="S778" t="str">
        <f t="shared" si="11"/>
        <v>00053</v>
      </c>
    </row>
    <row r="779" spans="5:19">
      <c r="E779" s="15" t="s">
        <v>72</v>
      </c>
      <c r="F779" s="15" t="s">
        <v>553</v>
      </c>
      <c r="G779" s="11" t="s">
        <v>74</v>
      </c>
      <c r="H779" s="12" t="s">
        <v>75</v>
      </c>
      <c r="I779" s="12" t="s">
        <v>75</v>
      </c>
      <c r="J779" s="12" t="s">
        <v>75</v>
      </c>
      <c r="K779" s="12" t="s">
        <v>75</v>
      </c>
      <c r="L779" s="12" t="s">
        <v>75</v>
      </c>
      <c r="M779" s="12" t="s">
        <v>75</v>
      </c>
      <c r="N779" s="12" t="s">
        <v>75</v>
      </c>
      <c r="O779" s="30" t="s">
        <v>75</v>
      </c>
      <c r="P779" s="31"/>
      <c r="Q779" s="11" t="s">
        <v>37</v>
      </c>
      <c r="S779" t="str">
        <f t="shared" si="11"/>
        <v>USN</v>
      </c>
    </row>
    <row r="780" spans="5:19">
      <c r="E780" s="16" t="s">
        <v>37</v>
      </c>
      <c r="F780" s="16" t="s">
        <v>37</v>
      </c>
      <c r="G780" s="16" t="s">
        <v>37</v>
      </c>
      <c r="H780" s="17" t="s">
        <v>37</v>
      </c>
      <c r="I780" s="17" t="s">
        <v>37</v>
      </c>
      <c r="J780" s="17" t="s">
        <v>37</v>
      </c>
      <c r="K780" s="17" t="s">
        <v>37</v>
      </c>
      <c r="L780" s="17" t="s">
        <v>37</v>
      </c>
      <c r="M780" s="17" t="s">
        <v>37</v>
      </c>
      <c r="N780" s="17" t="s">
        <v>37</v>
      </c>
      <c r="O780" s="41" t="s">
        <v>37</v>
      </c>
      <c r="P780" s="28"/>
      <c r="Q780" s="17" t="s">
        <v>37</v>
      </c>
      <c r="S780" t="str">
        <f t="shared" ref="S780:S843" si="12">$E786</f>
        <v>LAVA</v>
      </c>
    </row>
    <row r="781" spans="5:19" ht="0" hidden="1" customHeight="1">
      <c r="S781">
        <f t="shared" si="12"/>
        <v>0</v>
      </c>
    </row>
    <row r="782" spans="5:19" ht="0.6" customHeight="1">
      <c r="S782">
        <f t="shared" si="12"/>
        <v>0</v>
      </c>
    </row>
    <row r="783" spans="5:19">
      <c r="E783" s="38" t="s">
        <v>35</v>
      </c>
      <c r="F783" s="31"/>
      <c r="G783" s="4" t="s">
        <v>36</v>
      </c>
      <c r="H783" s="6" t="s">
        <v>37</v>
      </c>
      <c r="I783" s="6" t="s">
        <v>37</v>
      </c>
      <c r="J783" s="6" t="s">
        <v>37</v>
      </c>
      <c r="K783" s="6" t="s">
        <v>37</v>
      </c>
      <c r="L783" s="6" t="s">
        <v>37</v>
      </c>
      <c r="M783" s="6" t="s">
        <v>37</v>
      </c>
      <c r="N783" s="6" t="s">
        <v>37</v>
      </c>
      <c r="O783" s="39" t="s">
        <v>37</v>
      </c>
      <c r="P783" s="28"/>
      <c r="Q783" s="6" t="s">
        <v>37</v>
      </c>
      <c r="S783" t="str">
        <f t="shared" si="12"/>
        <v>SGPA</v>
      </c>
    </row>
    <row r="784" spans="5:19" ht="21">
      <c r="E784" s="32" t="s">
        <v>554</v>
      </c>
      <c r="F784" s="31"/>
      <c r="G784" s="8" t="s">
        <v>39</v>
      </c>
      <c r="H784" s="8" t="s">
        <v>19</v>
      </c>
      <c r="I784" s="8" t="s">
        <v>9</v>
      </c>
      <c r="J784" s="8" t="s">
        <v>21</v>
      </c>
      <c r="K784" s="8" t="s">
        <v>11</v>
      </c>
      <c r="L784" s="8" t="s">
        <v>17</v>
      </c>
      <c r="M784" s="8" t="s">
        <v>27</v>
      </c>
      <c r="N784" s="8" t="s">
        <v>7</v>
      </c>
      <c r="O784" s="40" t="s">
        <v>29</v>
      </c>
      <c r="P784" s="31"/>
      <c r="Q784" s="8" t="s">
        <v>40</v>
      </c>
      <c r="S784" t="str">
        <f t="shared" si="12"/>
        <v>CGPA</v>
      </c>
    </row>
    <row r="785" spans="5:19" ht="22.5">
      <c r="E785" s="13" t="s">
        <v>41</v>
      </c>
      <c r="F785" s="13" t="s">
        <v>555</v>
      </c>
      <c r="G785" s="11" t="s">
        <v>43</v>
      </c>
      <c r="H785" s="12" t="s">
        <v>206</v>
      </c>
      <c r="I785" s="12" t="s">
        <v>556</v>
      </c>
      <c r="J785" s="12" t="s">
        <v>511</v>
      </c>
      <c r="K785" s="12" t="s">
        <v>121</v>
      </c>
      <c r="L785" s="12" t="s">
        <v>557</v>
      </c>
      <c r="M785" s="12" t="s">
        <v>558</v>
      </c>
      <c r="N785" s="12" t="s">
        <v>559</v>
      </c>
      <c r="O785" s="30" t="s">
        <v>51</v>
      </c>
      <c r="P785" s="31"/>
      <c r="Q785" s="11" t="s">
        <v>37</v>
      </c>
      <c r="S785" t="str">
        <f t="shared" si="12"/>
        <v>Result: PASS</v>
      </c>
    </row>
    <row r="786" spans="5:19">
      <c r="E786" s="32" t="s">
        <v>560</v>
      </c>
      <c r="F786" s="33"/>
      <c r="G786" s="11" t="s">
        <v>53</v>
      </c>
      <c r="H786" s="12" t="s">
        <v>51</v>
      </c>
      <c r="I786" s="12" t="s">
        <v>51</v>
      </c>
      <c r="J786" s="12" t="s">
        <v>51</v>
      </c>
      <c r="K786" s="12" t="s">
        <v>51</v>
      </c>
      <c r="L786" s="12" t="s">
        <v>51</v>
      </c>
      <c r="M786" s="12" t="s">
        <v>51</v>
      </c>
      <c r="N786" s="12" t="s">
        <v>51</v>
      </c>
      <c r="O786" s="30" t="s">
        <v>178</v>
      </c>
      <c r="P786" s="31"/>
      <c r="Q786" s="11" t="s">
        <v>37</v>
      </c>
      <c r="S786" t="str">
        <f t="shared" si="12"/>
        <v>Class</v>
      </c>
    </row>
    <row r="787" spans="5:19">
      <c r="E787" s="34"/>
      <c r="F787" s="35"/>
      <c r="G787" s="11" t="s">
        <v>55</v>
      </c>
      <c r="H787" s="12" t="s">
        <v>37</v>
      </c>
      <c r="I787" s="12" t="s">
        <v>37</v>
      </c>
      <c r="J787" s="12" t="s">
        <v>37</v>
      </c>
      <c r="K787" s="12" t="s">
        <v>37</v>
      </c>
      <c r="L787" s="12" t="s">
        <v>37</v>
      </c>
      <c r="M787" s="12" t="s">
        <v>37</v>
      </c>
      <c r="N787" s="12" t="s">
        <v>37</v>
      </c>
      <c r="O787" s="30" t="s">
        <v>37</v>
      </c>
      <c r="P787" s="31"/>
      <c r="Q787" s="11">
        <v>0</v>
      </c>
      <c r="S787" t="str">
        <f t="shared" si="12"/>
        <v>Term Grade: OA</v>
      </c>
    </row>
    <row r="788" spans="5:19">
      <c r="E788" s="36"/>
      <c r="F788" s="37"/>
      <c r="G788" s="11" t="s">
        <v>56</v>
      </c>
      <c r="H788" s="12">
        <v>4</v>
      </c>
      <c r="I788" s="12">
        <v>4</v>
      </c>
      <c r="J788" s="12">
        <v>4</v>
      </c>
      <c r="K788" s="12">
        <v>3</v>
      </c>
      <c r="L788" s="12">
        <v>3</v>
      </c>
      <c r="M788" s="12">
        <v>3</v>
      </c>
      <c r="N788" s="12">
        <v>2</v>
      </c>
      <c r="O788" s="30">
        <v>2</v>
      </c>
      <c r="P788" s="31"/>
      <c r="Q788" s="11">
        <v>25</v>
      </c>
      <c r="S788" t="str">
        <f t="shared" si="12"/>
        <v>M.C.No</v>
      </c>
    </row>
    <row r="789" spans="5:19">
      <c r="E789" s="13" t="s">
        <v>57</v>
      </c>
      <c r="F789" s="13">
        <v>8.44</v>
      </c>
      <c r="G789" s="11" t="s">
        <v>58</v>
      </c>
      <c r="H789" s="12">
        <v>8</v>
      </c>
      <c r="I789" s="12">
        <v>8.5</v>
      </c>
      <c r="J789" s="12">
        <v>8.5</v>
      </c>
      <c r="K789" s="12">
        <v>7</v>
      </c>
      <c r="L789" s="12">
        <v>8.5</v>
      </c>
      <c r="M789" s="12">
        <v>9.5</v>
      </c>
      <c r="N789" s="12">
        <v>8.5</v>
      </c>
      <c r="O789" s="30">
        <v>9.5</v>
      </c>
      <c r="P789" s="31"/>
      <c r="Q789" s="11" t="s">
        <v>37</v>
      </c>
      <c r="S789" t="str">
        <f t="shared" si="12"/>
        <v/>
      </c>
    </row>
    <row r="790" spans="5:19">
      <c r="E790" s="13" t="s">
        <v>59</v>
      </c>
      <c r="F790" s="14">
        <v>8.44</v>
      </c>
      <c r="G790" s="11" t="s">
        <v>60</v>
      </c>
      <c r="H790" s="12">
        <v>32</v>
      </c>
      <c r="I790" s="12">
        <v>34</v>
      </c>
      <c r="J790" s="12">
        <v>34</v>
      </c>
      <c r="K790" s="12">
        <v>21</v>
      </c>
      <c r="L790" s="12">
        <v>25.5</v>
      </c>
      <c r="M790" s="12">
        <v>28.5</v>
      </c>
      <c r="N790" s="12">
        <v>17</v>
      </c>
      <c r="O790" s="30">
        <v>19</v>
      </c>
      <c r="P790" s="31"/>
      <c r="Q790" s="11">
        <v>211</v>
      </c>
      <c r="S790">
        <f t="shared" si="12"/>
        <v>0</v>
      </c>
    </row>
    <row r="791" spans="5:19">
      <c r="E791" s="32" t="s">
        <v>61</v>
      </c>
      <c r="F791" s="31"/>
      <c r="G791" s="11" t="s">
        <v>40</v>
      </c>
      <c r="H791" s="12">
        <v>76</v>
      </c>
      <c r="I791" s="12">
        <v>81</v>
      </c>
      <c r="J791" s="12">
        <v>80</v>
      </c>
      <c r="K791" s="12">
        <v>65</v>
      </c>
      <c r="L791" s="12">
        <v>83</v>
      </c>
      <c r="M791" s="12">
        <v>93</v>
      </c>
      <c r="N791" s="12">
        <v>41</v>
      </c>
      <c r="O791" s="30">
        <v>47</v>
      </c>
      <c r="P791" s="31"/>
      <c r="Q791" s="11">
        <v>566</v>
      </c>
      <c r="S791">
        <f t="shared" si="12"/>
        <v>0</v>
      </c>
    </row>
    <row r="792" spans="5:19">
      <c r="E792" s="13" t="s">
        <v>62</v>
      </c>
      <c r="F792" s="13"/>
      <c r="G792" s="11" t="s">
        <v>63</v>
      </c>
      <c r="H792" s="12">
        <v>100</v>
      </c>
      <c r="I792" s="12">
        <v>100</v>
      </c>
      <c r="J792" s="12">
        <v>100</v>
      </c>
      <c r="K792" s="12">
        <v>100</v>
      </c>
      <c r="L792" s="12">
        <v>100</v>
      </c>
      <c r="M792" s="12">
        <v>100</v>
      </c>
      <c r="N792" s="12">
        <v>50</v>
      </c>
      <c r="O792" s="30">
        <v>50</v>
      </c>
      <c r="P792" s="31"/>
      <c r="Q792" s="11">
        <v>700</v>
      </c>
      <c r="S792" t="str">
        <f t="shared" si="12"/>
        <v>Dr. B.B. Hegde First Grade College, Kundapura, Udupi.</v>
      </c>
    </row>
    <row r="793" spans="5:19">
      <c r="E793" s="32" t="s">
        <v>200</v>
      </c>
      <c r="F793" s="31"/>
      <c r="G793" s="11" t="s">
        <v>65</v>
      </c>
      <c r="H793" s="12" t="s">
        <v>102</v>
      </c>
      <c r="I793" s="12" t="s">
        <v>70</v>
      </c>
      <c r="J793" s="12" t="s">
        <v>70</v>
      </c>
      <c r="K793" s="12" t="s">
        <v>66</v>
      </c>
      <c r="L793" s="12" t="s">
        <v>70</v>
      </c>
      <c r="M793" s="12" t="s">
        <v>71</v>
      </c>
      <c r="N793" s="12" t="s">
        <v>70</v>
      </c>
      <c r="O793" s="30" t="s">
        <v>71</v>
      </c>
      <c r="P793" s="31"/>
      <c r="Q793" s="11" t="s">
        <v>37</v>
      </c>
      <c r="S793" t="str">
        <f t="shared" si="12"/>
        <v>00054</v>
      </c>
    </row>
    <row r="794" spans="5:19">
      <c r="E794" s="15" t="s">
        <v>72</v>
      </c>
      <c r="F794" s="15" t="s">
        <v>561</v>
      </c>
      <c r="G794" s="11" t="s">
        <v>74</v>
      </c>
      <c r="H794" s="12" t="s">
        <v>75</v>
      </c>
      <c r="I794" s="12" t="s">
        <v>75</v>
      </c>
      <c r="J794" s="12" t="s">
        <v>75</v>
      </c>
      <c r="K794" s="12" t="s">
        <v>75</v>
      </c>
      <c r="L794" s="12" t="s">
        <v>75</v>
      </c>
      <c r="M794" s="12" t="s">
        <v>75</v>
      </c>
      <c r="N794" s="12" t="s">
        <v>75</v>
      </c>
      <c r="O794" s="30" t="s">
        <v>75</v>
      </c>
      <c r="P794" s="31"/>
      <c r="Q794" s="11" t="s">
        <v>37</v>
      </c>
      <c r="S794" t="str">
        <f t="shared" si="12"/>
        <v>USN</v>
      </c>
    </row>
    <row r="795" spans="5:19">
      <c r="E795" s="16" t="s">
        <v>37</v>
      </c>
      <c r="F795" s="16" t="s">
        <v>37</v>
      </c>
      <c r="G795" s="16" t="s">
        <v>37</v>
      </c>
      <c r="H795" s="17" t="s">
        <v>37</v>
      </c>
      <c r="I795" s="17" t="s">
        <v>37</v>
      </c>
      <c r="J795" s="17" t="s">
        <v>37</v>
      </c>
      <c r="K795" s="17" t="s">
        <v>37</v>
      </c>
      <c r="L795" s="17" t="s">
        <v>37</v>
      </c>
      <c r="M795" s="17" t="s">
        <v>37</v>
      </c>
      <c r="N795" s="17" t="s">
        <v>37</v>
      </c>
      <c r="O795" s="41" t="s">
        <v>37</v>
      </c>
      <c r="P795" s="28"/>
      <c r="Q795" s="17" t="s">
        <v>37</v>
      </c>
      <c r="S795" t="str">
        <f t="shared" si="12"/>
        <v>SUHAS V MALLYA</v>
      </c>
    </row>
    <row r="796" spans="5:19" ht="0" hidden="1" customHeight="1">
      <c r="S796">
        <f t="shared" si="12"/>
        <v>0</v>
      </c>
    </row>
    <row r="797" spans="5:19" ht="0.6" customHeight="1">
      <c r="S797">
        <f t="shared" si="12"/>
        <v>0</v>
      </c>
    </row>
    <row r="798" spans="5:19">
      <c r="E798" s="38" t="s">
        <v>35</v>
      </c>
      <c r="F798" s="31"/>
      <c r="G798" s="4" t="s">
        <v>36</v>
      </c>
      <c r="H798" s="6" t="s">
        <v>37</v>
      </c>
      <c r="I798" s="6" t="s">
        <v>37</v>
      </c>
      <c r="J798" s="6" t="s">
        <v>37</v>
      </c>
      <c r="K798" s="6" t="s">
        <v>37</v>
      </c>
      <c r="L798" s="6" t="s">
        <v>37</v>
      </c>
      <c r="M798" s="6" t="s">
        <v>37</v>
      </c>
      <c r="N798" s="6" t="s">
        <v>37</v>
      </c>
      <c r="O798" s="39" t="s">
        <v>37</v>
      </c>
      <c r="P798" s="28"/>
      <c r="Q798" s="6" t="s">
        <v>37</v>
      </c>
      <c r="S798" t="str">
        <f t="shared" si="12"/>
        <v>SGPA</v>
      </c>
    </row>
    <row r="799" spans="5:19" ht="21">
      <c r="E799" s="32" t="s">
        <v>562</v>
      </c>
      <c r="F799" s="31"/>
      <c r="G799" s="8" t="s">
        <v>39</v>
      </c>
      <c r="H799" s="8" t="s">
        <v>19</v>
      </c>
      <c r="I799" s="8" t="s">
        <v>9</v>
      </c>
      <c r="J799" s="8" t="s">
        <v>21</v>
      </c>
      <c r="K799" s="8" t="s">
        <v>11</v>
      </c>
      <c r="L799" s="8" t="s">
        <v>15</v>
      </c>
      <c r="M799" s="8" t="s">
        <v>27</v>
      </c>
      <c r="N799" s="8" t="s">
        <v>7</v>
      </c>
      <c r="O799" s="40" t="s">
        <v>25</v>
      </c>
      <c r="P799" s="31"/>
      <c r="Q799" s="8" t="s">
        <v>40</v>
      </c>
      <c r="S799" t="str">
        <f t="shared" si="12"/>
        <v>CGPA</v>
      </c>
    </row>
    <row r="800" spans="5:19" ht="22.5">
      <c r="E800" s="13" t="s">
        <v>41</v>
      </c>
      <c r="F800" s="13" t="s">
        <v>563</v>
      </c>
      <c r="G800" s="11" t="s">
        <v>43</v>
      </c>
      <c r="H800" s="12" t="s">
        <v>94</v>
      </c>
      <c r="I800" s="12" t="s">
        <v>424</v>
      </c>
      <c r="J800" s="12" t="s">
        <v>564</v>
      </c>
      <c r="K800" s="12" t="s">
        <v>153</v>
      </c>
      <c r="L800" s="12" t="s">
        <v>403</v>
      </c>
      <c r="M800" s="12" t="s">
        <v>565</v>
      </c>
      <c r="N800" s="12" t="s">
        <v>566</v>
      </c>
      <c r="O800" s="30" t="s">
        <v>51</v>
      </c>
      <c r="P800" s="31"/>
      <c r="Q800" s="11" t="s">
        <v>37</v>
      </c>
      <c r="S800" t="str">
        <f t="shared" si="12"/>
        <v>Result: PASS</v>
      </c>
    </row>
    <row r="801" spans="5:19">
      <c r="E801" s="32" t="s">
        <v>567</v>
      </c>
      <c r="F801" s="33"/>
      <c r="G801" s="11" t="s">
        <v>53</v>
      </c>
      <c r="H801" s="12" t="s">
        <v>51</v>
      </c>
      <c r="I801" s="12" t="s">
        <v>51</v>
      </c>
      <c r="J801" s="12" t="s">
        <v>51</v>
      </c>
      <c r="K801" s="12" t="s">
        <v>51</v>
      </c>
      <c r="L801" s="12" t="s">
        <v>51</v>
      </c>
      <c r="M801" s="12" t="s">
        <v>51</v>
      </c>
      <c r="N801" s="12" t="s">
        <v>51</v>
      </c>
      <c r="O801" s="30" t="s">
        <v>100</v>
      </c>
      <c r="P801" s="31"/>
      <c r="Q801" s="11" t="s">
        <v>37</v>
      </c>
      <c r="S801" t="str">
        <f t="shared" si="12"/>
        <v>Class</v>
      </c>
    </row>
    <row r="802" spans="5:19">
      <c r="E802" s="34"/>
      <c r="F802" s="35"/>
      <c r="G802" s="11" t="s">
        <v>55</v>
      </c>
      <c r="H802" s="12" t="s">
        <v>37</v>
      </c>
      <c r="I802" s="12" t="s">
        <v>37</v>
      </c>
      <c r="J802" s="12" t="s">
        <v>37</v>
      </c>
      <c r="K802" s="12" t="s">
        <v>37</v>
      </c>
      <c r="L802" s="12" t="s">
        <v>37</v>
      </c>
      <c r="M802" s="12" t="s">
        <v>37</v>
      </c>
      <c r="N802" s="12" t="s">
        <v>37</v>
      </c>
      <c r="O802" s="30" t="s">
        <v>37</v>
      </c>
      <c r="P802" s="31"/>
      <c r="Q802" s="11">
        <v>0</v>
      </c>
      <c r="S802" t="str">
        <f t="shared" si="12"/>
        <v>Term Grade: AA</v>
      </c>
    </row>
    <row r="803" spans="5:19">
      <c r="E803" s="36"/>
      <c r="F803" s="37"/>
      <c r="G803" s="11" t="s">
        <v>56</v>
      </c>
      <c r="H803" s="12">
        <v>4</v>
      </c>
      <c r="I803" s="12">
        <v>4</v>
      </c>
      <c r="J803" s="12">
        <v>4</v>
      </c>
      <c r="K803" s="12">
        <v>3</v>
      </c>
      <c r="L803" s="12">
        <v>3</v>
      </c>
      <c r="M803" s="12">
        <v>3</v>
      </c>
      <c r="N803" s="12">
        <v>2</v>
      </c>
      <c r="O803" s="30">
        <v>2</v>
      </c>
      <c r="P803" s="31"/>
      <c r="Q803" s="11">
        <v>25</v>
      </c>
      <c r="S803" t="str">
        <f t="shared" si="12"/>
        <v>M.C.No</v>
      </c>
    </row>
    <row r="804" spans="5:19">
      <c r="E804" s="13" t="s">
        <v>57</v>
      </c>
      <c r="F804" s="13">
        <v>7.24</v>
      </c>
      <c r="G804" s="11" t="s">
        <v>58</v>
      </c>
      <c r="H804" s="12">
        <v>7</v>
      </c>
      <c r="I804" s="12">
        <v>8.5</v>
      </c>
      <c r="J804" s="12">
        <v>5</v>
      </c>
      <c r="K804" s="12">
        <v>6.5</v>
      </c>
      <c r="L804" s="12">
        <v>8</v>
      </c>
      <c r="M804" s="12">
        <v>6.5</v>
      </c>
      <c r="N804" s="12">
        <v>8</v>
      </c>
      <c r="O804" s="30">
        <v>10</v>
      </c>
      <c r="P804" s="31"/>
      <c r="Q804" s="11" t="s">
        <v>37</v>
      </c>
      <c r="S804" t="str">
        <f t="shared" si="12"/>
        <v/>
      </c>
    </row>
    <row r="805" spans="5:19">
      <c r="E805" s="13" t="s">
        <v>59</v>
      </c>
      <c r="F805" s="14">
        <v>7.24</v>
      </c>
      <c r="G805" s="11" t="s">
        <v>60</v>
      </c>
      <c r="H805" s="12">
        <v>28</v>
      </c>
      <c r="I805" s="12">
        <v>34</v>
      </c>
      <c r="J805" s="12">
        <v>20</v>
      </c>
      <c r="K805" s="12">
        <v>19.5</v>
      </c>
      <c r="L805" s="12">
        <v>24</v>
      </c>
      <c r="M805" s="12">
        <v>19.5</v>
      </c>
      <c r="N805" s="12">
        <v>16</v>
      </c>
      <c r="O805" s="30">
        <v>20</v>
      </c>
      <c r="P805" s="31"/>
      <c r="Q805" s="11">
        <v>181</v>
      </c>
      <c r="S805">
        <f t="shared" si="12"/>
        <v>0</v>
      </c>
    </row>
    <row r="806" spans="5:19">
      <c r="E806" s="32" t="s">
        <v>61</v>
      </c>
      <c r="F806" s="31"/>
      <c r="G806" s="11" t="s">
        <v>40</v>
      </c>
      <c r="H806" s="12">
        <v>66</v>
      </c>
      <c r="I806" s="12">
        <v>82</v>
      </c>
      <c r="J806" s="12">
        <v>49</v>
      </c>
      <c r="K806" s="12">
        <v>64</v>
      </c>
      <c r="L806" s="12">
        <v>75</v>
      </c>
      <c r="M806" s="12">
        <v>62</v>
      </c>
      <c r="N806" s="12">
        <v>38</v>
      </c>
      <c r="O806" s="30">
        <v>50</v>
      </c>
      <c r="P806" s="31"/>
      <c r="Q806" s="11">
        <v>486</v>
      </c>
      <c r="S806">
        <f t="shared" si="12"/>
        <v>0</v>
      </c>
    </row>
    <row r="807" spans="5:19">
      <c r="E807" s="13" t="s">
        <v>62</v>
      </c>
      <c r="F807" s="13"/>
      <c r="G807" s="11" t="s">
        <v>63</v>
      </c>
      <c r="H807" s="12">
        <v>100</v>
      </c>
      <c r="I807" s="12">
        <v>100</v>
      </c>
      <c r="J807" s="12">
        <v>100</v>
      </c>
      <c r="K807" s="12">
        <v>100</v>
      </c>
      <c r="L807" s="12">
        <v>100</v>
      </c>
      <c r="M807" s="12">
        <v>100</v>
      </c>
      <c r="N807" s="12">
        <v>50</v>
      </c>
      <c r="O807" s="30">
        <v>50</v>
      </c>
      <c r="P807" s="31"/>
      <c r="Q807" s="11">
        <v>700</v>
      </c>
      <c r="S807" t="str">
        <f t="shared" si="12"/>
        <v>Dr. B.B. Hegde First Grade College, Kundapura, Udupi.</v>
      </c>
    </row>
    <row r="808" spans="5:19">
      <c r="E808" s="32" t="s">
        <v>101</v>
      </c>
      <c r="F808" s="31"/>
      <c r="G808" s="11" t="s">
        <v>65</v>
      </c>
      <c r="H808" s="12" t="s">
        <v>66</v>
      </c>
      <c r="I808" s="12" t="s">
        <v>70</v>
      </c>
      <c r="J808" s="12" t="s">
        <v>127</v>
      </c>
      <c r="K808" s="12" t="s">
        <v>69</v>
      </c>
      <c r="L808" s="12" t="s">
        <v>102</v>
      </c>
      <c r="M808" s="12" t="s">
        <v>69</v>
      </c>
      <c r="N808" s="12" t="s">
        <v>102</v>
      </c>
      <c r="O808" s="30" t="s">
        <v>88</v>
      </c>
      <c r="P808" s="31"/>
      <c r="Q808" s="11" t="s">
        <v>37</v>
      </c>
      <c r="S808" t="str">
        <f t="shared" si="12"/>
        <v>00055</v>
      </c>
    </row>
    <row r="809" spans="5:19">
      <c r="E809" s="15" t="s">
        <v>72</v>
      </c>
      <c r="F809" s="15" t="s">
        <v>568</v>
      </c>
      <c r="G809" s="11" t="s">
        <v>74</v>
      </c>
      <c r="H809" s="12" t="s">
        <v>75</v>
      </c>
      <c r="I809" s="12" t="s">
        <v>75</v>
      </c>
      <c r="J809" s="12" t="s">
        <v>75</v>
      </c>
      <c r="K809" s="12" t="s">
        <v>75</v>
      </c>
      <c r="L809" s="12" t="s">
        <v>75</v>
      </c>
      <c r="M809" s="12" t="s">
        <v>75</v>
      </c>
      <c r="N809" s="12" t="s">
        <v>75</v>
      </c>
      <c r="O809" s="30" t="s">
        <v>75</v>
      </c>
      <c r="P809" s="31"/>
      <c r="Q809" s="11" t="s">
        <v>37</v>
      </c>
      <c r="S809" t="str">
        <f t="shared" si="12"/>
        <v>USN</v>
      </c>
    </row>
    <row r="810" spans="5:19">
      <c r="E810" s="16" t="s">
        <v>37</v>
      </c>
      <c r="F810" s="16" t="s">
        <v>37</v>
      </c>
      <c r="G810" s="16" t="s">
        <v>37</v>
      </c>
      <c r="H810" s="17" t="s">
        <v>37</v>
      </c>
      <c r="I810" s="17" t="s">
        <v>37</v>
      </c>
      <c r="J810" s="17" t="s">
        <v>37</v>
      </c>
      <c r="K810" s="17" t="s">
        <v>37</v>
      </c>
      <c r="L810" s="17" t="s">
        <v>37</v>
      </c>
      <c r="M810" s="17" t="s">
        <v>37</v>
      </c>
      <c r="N810" s="17" t="s">
        <v>37</v>
      </c>
      <c r="O810" s="41" t="s">
        <v>37</v>
      </c>
      <c r="P810" s="28"/>
      <c r="Q810" s="17" t="s">
        <v>37</v>
      </c>
      <c r="S810" t="str">
        <f t="shared" si="12"/>
        <v>PRAVEENA</v>
      </c>
    </row>
    <row r="811" spans="5:19" ht="0" hidden="1" customHeight="1">
      <c r="S811">
        <f t="shared" si="12"/>
        <v>0</v>
      </c>
    </row>
    <row r="812" spans="5:19" ht="0.6" customHeight="1">
      <c r="S812">
        <f t="shared" si="12"/>
        <v>0</v>
      </c>
    </row>
    <row r="813" spans="5:19">
      <c r="E813" s="38" t="s">
        <v>35</v>
      </c>
      <c r="F813" s="31"/>
      <c r="G813" s="4" t="s">
        <v>36</v>
      </c>
      <c r="H813" s="6" t="s">
        <v>37</v>
      </c>
      <c r="I813" s="6" t="s">
        <v>37</v>
      </c>
      <c r="J813" s="6" t="s">
        <v>37</v>
      </c>
      <c r="K813" s="6" t="s">
        <v>37</v>
      </c>
      <c r="L813" s="6" t="s">
        <v>37</v>
      </c>
      <c r="M813" s="6" t="s">
        <v>37</v>
      </c>
      <c r="N813" s="6" t="s">
        <v>37</v>
      </c>
      <c r="O813" s="39" t="s">
        <v>37</v>
      </c>
      <c r="P813" s="28"/>
      <c r="Q813" s="6" t="s">
        <v>37</v>
      </c>
      <c r="S813" t="str">
        <f t="shared" si="12"/>
        <v>SGPA</v>
      </c>
    </row>
    <row r="814" spans="5:19" ht="21">
      <c r="E814" s="32" t="s">
        <v>569</v>
      </c>
      <c r="F814" s="31"/>
      <c r="G814" s="8" t="s">
        <v>39</v>
      </c>
      <c r="H814" s="8" t="s">
        <v>19</v>
      </c>
      <c r="I814" s="8" t="s">
        <v>9</v>
      </c>
      <c r="J814" s="8" t="s">
        <v>21</v>
      </c>
      <c r="K814" s="8" t="s">
        <v>11</v>
      </c>
      <c r="L814" s="8" t="s">
        <v>17</v>
      </c>
      <c r="M814" s="8" t="s">
        <v>27</v>
      </c>
      <c r="N814" s="8" t="s">
        <v>7</v>
      </c>
      <c r="O814" s="40" t="s">
        <v>25</v>
      </c>
      <c r="P814" s="31"/>
      <c r="Q814" s="8" t="s">
        <v>40</v>
      </c>
      <c r="S814" t="str">
        <f t="shared" si="12"/>
        <v>CGPA</v>
      </c>
    </row>
    <row r="815" spans="5:19" ht="22.5">
      <c r="E815" s="13" t="s">
        <v>41</v>
      </c>
      <c r="F815" s="13" t="s">
        <v>570</v>
      </c>
      <c r="G815" s="11" t="s">
        <v>43</v>
      </c>
      <c r="H815" s="12" t="s">
        <v>132</v>
      </c>
      <c r="I815" s="12" t="s">
        <v>108</v>
      </c>
      <c r="J815" s="12" t="s">
        <v>571</v>
      </c>
      <c r="K815" s="12" t="s">
        <v>572</v>
      </c>
      <c r="L815" s="12" t="s">
        <v>573</v>
      </c>
      <c r="M815" s="12" t="s">
        <v>574</v>
      </c>
      <c r="N815" s="12" t="s">
        <v>434</v>
      </c>
      <c r="O815" s="30" t="s">
        <v>51</v>
      </c>
      <c r="P815" s="31"/>
      <c r="Q815" s="11" t="s">
        <v>37</v>
      </c>
      <c r="S815" t="str">
        <f t="shared" si="12"/>
        <v>Result: PASS</v>
      </c>
    </row>
    <row r="816" spans="5:19">
      <c r="E816" s="32" t="s">
        <v>137</v>
      </c>
      <c r="F816" s="33"/>
      <c r="G816" s="11" t="s">
        <v>53</v>
      </c>
      <c r="H816" s="12" t="s">
        <v>51</v>
      </c>
      <c r="I816" s="12" t="s">
        <v>51</v>
      </c>
      <c r="J816" s="12" t="s">
        <v>51</v>
      </c>
      <c r="K816" s="12" t="s">
        <v>51</v>
      </c>
      <c r="L816" s="12" t="s">
        <v>51</v>
      </c>
      <c r="M816" s="12" t="s">
        <v>51</v>
      </c>
      <c r="N816" s="12" t="s">
        <v>51</v>
      </c>
      <c r="O816" s="30" t="s">
        <v>54</v>
      </c>
      <c r="P816" s="31"/>
      <c r="Q816" s="11" t="s">
        <v>37</v>
      </c>
      <c r="S816" t="str">
        <f t="shared" si="12"/>
        <v>Class</v>
      </c>
    </row>
    <row r="817" spans="5:19">
      <c r="E817" s="34"/>
      <c r="F817" s="35"/>
      <c r="G817" s="11" t="s">
        <v>55</v>
      </c>
      <c r="H817" s="12" t="s">
        <v>37</v>
      </c>
      <c r="I817" s="12" t="s">
        <v>37</v>
      </c>
      <c r="J817" s="12" t="s">
        <v>37</v>
      </c>
      <c r="K817" s="12" t="s">
        <v>37</v>
      </c>
      <c r="L817" s="12" t="s">
        <v>37</v>
      </c>
      <c r="M817" s="12" t="s">
        <v>37</v>
      </c>
      <c r="N817" s="12" t="s">
        <v>37</v>
      </c>
      <c r="O817" s="30" t="s">
        <v>37</v>
      </c>
      <c r="P817" s="31"/>
      <c r="Q817" s="11">
        <v>0</v>
      </c>
      <c r="S817" t="str">
        <f t="shared" si="12"/>
        <v>Term Grade: AA</v>
      </c>
    </row>
    <row r="818" spans="5:19">
      <c r="E818" s="36"/>
      <c r="F818" s="37"/>
      <c r="G818" s="11" t="s">
        <v>56</v>
      </c>
      <c r="H818" s="12">
        <v>4</v>
      </c>
      <c r="I818" s="12">
        <v>4</v>
      </c>
      <c r="J818" s="12">
        <v>4</v>
      </c>
      <c r="K818" s="12">
        <v>3</v>
      </c>
      <c r="L818" s="12">
        <v>3</v>
      </c>
      <c r="M818" s="12">
        <v>3</v>
      </c>
      <c r="N818" s="12">
        <v>2</v>
      </c>
      <c r="O818" s="30">
        <v>2</v>
      </c>
      <c r="P818" s="31"/>
      <c r="Q818" s="11">
        <v>25</v>
      </c>
      <c r="S818" t="str">
        <f t="shared" si="12"/>
        <v>M.C.No</v>
      </c>
    </row>
    <row r="819" spans="5:19">
      <c r="E819" s="13" t="s">
        <v>57</v>
      </c>
      <c r="F819" s="13">
        <v>7.28</v>
      </c>
      <c r="G819" s="11" t="s">
        <v>58</v>
      </c>
      <c r="H819" s="12">
        <v>7.5</v>
      </c>
      <c r="I819" s="12">
        <v>7</v>
      </c>
      <c r="J819" s="12">
        <v>6.5</v>
      </c>
      <c r="K819" s="12">
        <v>5.5</v>
      </c>
      <c r="L819" s="12">
        <v>7.5</v>
      </c>
      <c r="M819" s="12">
        <v>7</v>
      </c>
      <c r="N819" s="12">
        <v>9.5</v>
      </c>
      <c r="O819" s="30">
        <v>9.5</v>
      </c>
      <c r="P819" s="31"/>
      <c r="Q819" s="11" t="s">
        <v>37</v>
      </c>
      <c r="S819" t="str">
        <f t="shared" si="12"/>
        <v/>
      </c>
    </row>
    <row r="820" spans="5:19">
      <c r="E820" s="13" t="s">
        <v>59</v>
      </c>
      <c r="F820" s="14">
        <v>7.28</v>
      </c>
      <c r="G820" s="11" t="s">
        <v>60</v>
      </c>
      <c r="H820" s="12">
        <v>30</v>
      </c>
      <c r="I820" s="12">
        <v>28</v>
      </c>
      <c r="J820" s="12">
        <v>26</v>
      </c>
      <c r="K820" s="12">
        <v>16.5</v>
      </c>
      <c r="L820" s="12">
        <v>22.5</v>
      </c>
      <c r="M820" s="12">
        <v>21</v>
      </c>
      <c r="N820" s="12">
        <v>19</v>
      </c>
      <c r="O820" s="30">
        <v>19</v>
      </c>
      <c r="P820" s="31"/>
      <c r="Q820" s="11">
        <v>182</v>
      </c>
      <c r="S820">
        <f t="shared" si="12"/>
        <v>0</v>
      </c>
    </row>
    <row r="821" spans="5:19">
      <c r="E821" s="32" t="s">
        <v>61</v>
      </c>
      <c r="F821" s="31"/>
      <c r="G821" s="11" t="s">
        <v>40</v>
      </c>
      <c r="H821" s="12">
        <v>73</v>
      </c>
      <c r="I821" s="12">
        <v>67</v>
      </c>
      <c r="J821" s="12">
        <v>63</v>
      </c>
      <c r="K821" s="12">
        <v>54</v>
      </c>
      <c r="L821" s="12">
        <v>71</v>
      </c>
      <c r="M821" s="12">
        <v>66</v>
      </c>
      <c r="N821" s="12">
        <v>45</v>
      </c>
      <c r="O821" s="30">
        <v>45</v>
      </c>
      <c r="P821" s="31"/>
      <c r="Q821" s="11">
        <v>484</v>
      </c>
      <c r="S821">
        <f t="shared" si="12"/>
        <v>0</v>
      </c>
    </row>
    <row r="822" spans="5:19">
      <c r="E822" s="13" t="s">
        <v>62</v>
      </c>
      <c r="F822" s="13"/>
      <c r="G822" s="11" t="s">
        <v>63</v>
      </c>
      <c r="H822" s="12">
        <v>100</v>
      </c>
      <c r="I822" s="12">
        <v>100</v>
      </c>
      <c r="J822" s="12">
        <v>100</v>
      </c>
      <c r="K822" s="12">
        <v>100</v>
      </c>
      <c r="L822" s="12">
        <v>100</v>
      </c>
      <c r="M822" s="12">
        <v>100</v>
      </c>
      <c r="N822" s="12">
        <v>50</v>
      </c>
      <c r="O822" s="30">
        <v>50</v>
      </c>
      <c r="P822" s="31"/>
      <c r="Q822" s="11">
        <v>700</v>
      </c>
      <c r="S822" t="str">
        <f t="shared" si="12"/>
        <v>Dr. B.B. Hegde First Grade College, Kundapura, Udupi.</v>
      </c>
    </row>
    <row r="823" spans="5:19">
      <c r="E823" s="32" t="s">
        <v>101</v>
      </c>
      <c r="F823" s="31"/>
      <c r="G823" s="11" t="s">
        <v>65</v>
      </c>
      <c r="H823" s="12" t="s">
        <v>68</v>
      </c>
      <c r="I823" s="12" t="s">
        <v>66</v>
      </c>
      <c r="J823" s="12" t="s">
        <v>69</v>
      </c>
      <c r="K823" s="12" t="s">
        <v>138</v>
      </c>
      <c r="L823" s="12" t="s">
        <v>68</v>
      </c>
      <c r="M823" s="12" t="s">
        <v>66</v>
      </c>
      <c r="N823" s="12" t="s">
        <v>71</v>
      </c>
      <c r="O823" s="30" t="s">
        <v>71</v>
      </c>
      <c r="P823" s="31"/>
      <c r="Q823" s="11" t="s">
        <v>37</v>
      </c>
      <c r="S823" t="str">
        <f t="shared" si="12"/>
        <v>00056</v>
      </c>
    </row>
    <row r="824" spans="5:19">
      <c r="E824" s="15" t="s">
        <v>72</v>
      </c>
      <c r="F824" s="15" t="s">
        <v>575</v>
      </c>
      <c r="G824" s="11" t="s">
        <v>74</v>
      </c>
      <c r="H824" s="12" t="s">
        <v>75</v>
      </c>
      <c r="I824" s="12" t="s">
        <v>75</v>
      </c>
      <c r="J824" s="12" t="s">
        <v>75</v>
      </c>
      <c r="K824" s="12" t="s">
        <v>75</v>
      </c>
      <c r="L824" s="12" t="s">
        <v>75</v>
      </c>
      <c r="M824" s="12" t="s">
        <v>75</v>
      </c>
      <c r="N824" s="12" t="s">
        <v>75</v>
      </c>
      <c r="O824" s="30" t="s">
        <v>75</v>
      </c>
      <c r="P824" s="31"/>
      <c r="Q824" s="11" t="s">
        <v>37</v>
      </c>
      <c r="S824" t="str">
        <f t="shared" si="12"/>
        <v>USN</v>
      </c>
    </row>
    <row r="825" spans="5:19">
      <c r="E825" s="16" t="s">
        <v>37</v>
      </c>
      <c r="F825" s="16" t="s">
        <v>37</v>
      </c>
      <c r="G825" s="16" t="s">
        <v>37</v>
      </c>
      <c r="H825" s="17" t="s">
        <v>37</v>
      </c>
      <c r="I825" s="17" t="s">
        <v>37</v>
      </c>
      <c r="J825" s="17" t="s">
        <v>37</v>
      </c>
      <c r="K825" s="17" t="s">
        <v>37</v>
      </c>
      <c r="L825" s="17" t="s">
        <v>37</v>
      </c>
      <c r="M825" s="17" t="s">
        <v>37</v>
      </c>
      <c r="N825" s="17" t="s">
        <v>37</v>
      </c>
      <c r="O825" s="41" t="s">
        <v>37</v>
      </c>
      <c r="P825" s="28"/>
      <c r="Q825" s="17" t="s">
        <v>37</v>
      </c>
      <c r="S825" t="str">
        <f t="shared" si="12"/>
        <v>NITHESH</v>
      </c>
    </row>
    <row r="826" spans="5:19" ht="0" hidden="1" customHeight="1">
      <c r="S826">
        <f t="shared" si="12"/>
        <v>0</v>
      </c>
    </row>
    <row r="827" spans="5:19" ht="0.6" customHeight="1">
      <c r="S827">
        <f t="shared" si="12"/>
        <v>0</v>
      </c>
    </row>
    <row r="828" spans="5:19">
      <c r="E828" s="38" t="s">
        <v>35</v>
      </c>
      <c r="F828" s="31"/>
      <c r="G828" s="4" t="s">
        <v>36</v>
      </c>
      <c r="H828" s="6" t="s">
        <v>37</v>
      </c>
      <c r="I828" s="6" t="s">
        <v>37</v>
      </c>
      <c r="J828" s="6" t="s">
        <v>37</v>
      </c>
      <c r="K828" s="6" t="s">
        <v>37</v>
      </c>
      <c r="L828" s="6" t="s">
        <v>37</v>
      </c>
      <c r="M828" s="6" t="s">
        <v>37</v>
      </c>
      <c r="N828" s="6" t="s">
        <v>37</v>
      </c>
      <c r="O828" s="39" t="s">
        <v>37</v>
      </c>
      <c r="P828" s="28"/>
      <c r="Q828" s="6" t="s">
        <v>37</v>
      </c>
      <c r="S828" t="str">
        <f t="shared" si="12"/>
        <v>SGPA</v>
      </c>
    </row>
    <row r="829" spans="5:19" ht="21">
      <c r="E829" s="32" t="s">
        <v>576</v>
      </c>
      <c r="F829" s="31"/>
      <c r="G829" s="8" t="s">
        <v>39</v>
      </c>
      <c r="H829" s="8" t="s">
        <v>19</v>
      </c>
      <c r="I829" s="8" t="s">
        <v>9</v>
      </c>
      <c r="J829" s="8" t="s">
        <v>21</v>
      </c>
      <c r="K829" s="8" t="s">
        <v>11</v>
      </c>
      <c r="L829" s="8" t="s">
        <v>17</v>
      </c>
      <c r="M829" s="8" t="s">
        <v>27</v>
      </c>
      <c r="N829" s="8" t="s">
        <v>7</v>
      </c>
      <c r="O829" s="40" t="s">
        <v>33</v>
      </c>
      <c r="P829" s="31"/>
      <c r="Q829" s="8" t="s">
        <v>40</v>
      </c>
      <c r="S829" t="str">
        <f t="shared" si="12"/>
        <v>CGPA</v>
      </c>
    </row>
    <row r="830" spans="5:19" ht="22.5">
      <c r="E830" s="13" t="s">
        <v>41</v>
      </c>
      <c r="F830" s="13" t="s">
        <v>577</v>
      </c>
      <c r="G830" s="11" t="s">
        <v>43</v>
      </c>
      <c r="H830" s="12" t="s">
        <v>152</v>
      </c>
      <c r="I830" s="12" t="s">
        <v>296</v>
      </c>
      <c r="J830" s="12" t="s">
        <v>578</v>
      </c>
      <c r="K830" s="12" t="s">
        <v>442</v>
      </c>
      <c r="L830" s="12" t="s">
        <v>579</v>
      </c>
      <c r="M830" s="12" t="s">
        <v>580</v>
      </c>
      <c r="N830" s="12" t="s">
        <v>581</v>
      </c>
      <c r="O830" s="30" t="s">
        <v>51</v>
      </c>
      <c r="P830" s="31"/>
      <c r="Q830" s="11" t="s">
        <v>37</v>
      </c>
      <c r="S830" t="str">
        <f t="shared" si="12"/>
        <v>Result: PASS</v>
      </c>
    </row>
    <row r="831" spans="5:19">
      <c r="E831" s="32" t="s">
        <v>419</v>
      </c>
      <c r="F831" s="33"/>
      <c r="G831" s="11" t="s">
        <v>53</v>
      </c>
      <c r="H831" s="12" t="s">
        <v>51</v>
      </c>
      <c r="I831" s="12" t="s">
        <v>51</v>
      </c>
      <c r="J831" s="12" t="s">
        <v>51</v>
      </c>
      <c r="K831" s="12" t="s">
        <v>51</v>
      </c>
      <c r="L831" s="12" t="s">
        <v>51</v>
      </c>
      <c r="M831" s="12" t="s">
        <v>51</v>
      </c>
      <c r="N831" s="12" t="s">
        <v>51</v>
      </c>
      <c r="O831" s="30" t="s">
        <v>582</v>
      </c>
      <c r="P831" s="31"/>
      <c r="Q831" s="11" t="s">
        <v>37</v>
      </c>
      <c r="S831" t="str">
        <f t="shared" si="12"/>
        <v>Class</v>
      </c>
    </row>
    <row r="832" spans="5:19">
      <c r="E832" s="34"/>
      <c r="F832" s="35"/>
      <c r="G832" s="11" t="s">
        <v>55</v>
      </c>
      <c r="H832" s="12" t="s">
        <v>37</v>
      </c>
      <c r="I832" s="12" t="s">
        <v>37</v>
      </c>
      <c r="J832" s="12" t="s">
        <v>37</v>
      </c>
      <c r="K832" s="12" t="s">
        <v>37</v>
      </c>
      <c r="L832" s="12" t="s">
        <v>37</v>
      </c>
      <c r="M832" s="12" t="s">
        <v>37</v>
      </c>
      <c r="N832" s="12" t="s">
        <v>37</v>
      </c>
      <c r="O832" s="30" t="s">
        <v>37</v>
      </c>
      <c r="P832" s="31"/>
      <c r="Q832" s="11">
        <v>0</v>
      </c>
      <c r="S832" t="str">
        <f t="shared" si="12"/>
        <v>Term Grade: AB</v>
      </c>
    </row>
    <row r="833" spans="5:19">
      <c r="E833" s="36"/>
      <c r="F833" s="37"/>
      <c r="G833" s="11" t="s">
        <v>56</v>
      </c>
      <c r="H833" s="12">
        <v>4</v>
      </c>
      <c r="I833" s="12">
        <v>4</v>
      </c>
      <c r="J833" s="12">
        <v>4</v>
      </c>
      <c r="K833" s="12">
        <v>3</v>
      </c>
      <c r="L833" s="12">
        <v>3</v>
      </c>
      <c r="M833" s="12">
        <v>3</v>
      </c>
      <c r="N833" s="12">
        <v>2</v>
      </c>
      <c r="O833" s="30">
        <v>2</v>
      </c>
      <c r="P833" s="31"/>
      <c r="Q833" s="11">
        <v>25</v>
      </c>
      <c r="S833" t="str">
        <f t="shared" si="12"/>
        <v>M.C.No</v>
      </c>
    </row>
    <row r="834" spans="5:19">
      <c r="E834" s="13" t="s">
        <v>57</v>
      </c>
      <c r="F834" s="13">
        <v>6.08</v>
      </c>
      <c r="G834" s="11" t="s">
        <v>58</v>
      </c>
      <c r="H834" s="12">
        <v>7</v>
      </c>
      <c r="I834" s="12">
        <v>6.5</v>
      </c>
      <c r="J834" s="12">
        <v>4.5</v>
      </c>
      <c r="K834" s="12">
        <v>4.5</v>
      </c>
      <c r="L834" s="12">
        <v>6.5</v>
      </c>
      <c r="M834" s="12">
        <v>6</v>
      </c>
      <c r="N834" s="12">
        <v>6.5</v>
      </c>
      <c r="O834" s="30">
        <v>8</v>
      </c>
      <c r="P834" s="31"/>
      <c r="Q834" s="11" t="s">
        <v>37</v>
      </c>
      <c r="S834" t="str">
        <f t="shared" si="12"/>
        <v/>
      </c>
    </row>
    <row r="835" spans="5:19">
      <c r="E835" s="13" t="s">
        <v>59</v>
      </c>
      <c r="F835" s="14">
        <v>6.08</v>
      </c>
      <c r="G835" s="11" t="s">
        <v>60</v>
      </c>
      <c r="H835" s="12">
        <v>28</v>
      </c>
      <c r="I835" s="12">
        <v>26</v>
      </c>
      <c r="J835" s="12">
        <v>18</v>
      </c>
      <c r="K835" s="12">
        <v>13.5</v>
      </c>
      <c r="L835" s="12">
        <v>19.5</v>
      </c>
      <c r="M835" s="12">
        <v>18</v>
      </c>
      <c r="N835" s="12">
        <v>13</v>
      </c>
      <c r="O835" s="30">
        <v>16</v>
      </c>
      <c r="P835" s="31"/>
      <c r="Q835" s="11">
        <v>152</v>
      </c>
      <c r="S835">
        <f t="shared" si="12"/>
        <v>0</v>
      </c>
    </row>
    <row r="836" spans="5:19">
      <c r="E836" s="32" t="s">
        <v>61</v>
      </c>
      <c r="F836" s="31"/>
      <c r="G836" s="11" t="s">
        <v>40</v>
      </c>
      <c r="H836" s="12">
        <v>68</v>
      </c>
      <c r="I836" s="12">
        <v>61</v>
      </c>
      <c r="J836" s="12">
        <v>42</v>
      </c>
      <c r="K836" s="12">
        <v>43</v>
      </c>
      <c r="L836" s="12">
        <v>63</v>
      </c>
      <c r="M836" s="12">
        <v>55</v>
      </c>
      <c r="N836" s="12">
        <v>32</v>
      </c>
      <c r="O836" s="30">
        <v>38</v>
      </c>
      <c r="P836" s="31"/>
      <c r="Q836" s="11">
        <v>402</v>
      </c>
      <c r="S836">
        <f t="shared" si="12"/>
        <v>0</v>
      </c>
    </row>
    <row r="837" spans="5:19">
      <c r="E837" s="13" t="s">
        <v>62</v>
      </c>
      <c r="F837" s="13"/>
      <c r="G837" s="11" t="s">
        <v>63</v>
      </c>
      <c r="H837" s="12">
        <v>100</v>
      </c>
      <c r="I837" s="12">
        <v>100</v>
      </c>
      <c r="J837" s="12">
        <v>100</v>
      </c>
      <c r="K837" s="12">
        <v>100</v>
      </c>
      <c r="L837" s="12">
        <v>100</v>
      </c>
      <c r="M837" s="12">
        <v>100</v>
      </c>
      <c r="N837" s="12">
        <v>50</v>
      </c>
      <c r="O837" s="30">
        <v>50</v>
      </c>
      <c r="P837" s="31"/>
      <c r="Q837" s="11">
        <v>700</v>
      </c>
      <c r="S837" t="str">
        <f t="shared" si="12"/>
        <v>Dr. B.B. Hegde First Grade College, Kundapura, Udupi.</v>
      </c>
    </row>
    <row r="838" spans="5:19">
      <c r="E838" s="32" t="s">
        <v>273</v>
      </c>
      <c r="F838" s="31"/>
      <c r="G838" s="11" t="s">
        <v>65</v>
      </c>
      <c r="H838" s="12" t="s">
        <v>66</v>
      </c>
      <c r="I838" s="12" t="s">
        <v>69</v>
      </c>
      <c r="J838" s="12" t="s">
        <v>303</v>
      </c>
      <c r="K838" s="12" t="s">
        <v>303</v>
      </c>
      <c r="L838" s="12" t="s">
        <v>69</v>
      </c>
      <c r="M838" s="12" t="s">
        <v>103</v>
      </c>
      <c r="N838" s="12" t="s">
        <v>69</v>
      </c>
      <c r="O838" s="30" t="s">
        <v>102</v>
      </c>
      <c r="P838" s="31"/>
      <c r="Q838" s="11" t="s">
        <v>37</v>
      </c>
      <c r="S838" t="str">
        <f t="shared" si="12"/>
        <v>00057</v>
      </c>
    </row>
    <row r="839" spans="5:19">
      <c r="E839" s="15" t="s">
        <v>72</v>
      </c>
      <c r="F839" s="15" t="s">
        <v>583</v>
      </c>
      <c r="G839" s="11" t="s">
        <v>74</v>
      </c>
      <c r="H839" s="12" t="s">
        <v>75</v>
      </c>
      <c r="I839" s="12" t="s">
        <v>75</v>
      </c>
      <c r="J839" s="12" t="s">
        <v>75</v>
      </c>
      <c r="K839" s="12" t="s">
        <v>75</v>
      </c>
      <c r="L839" s="12" t="s">
        <v>75</v>
      </c>
      <c r="M839" s="12" t="s">
        <v>75</v>
      </c>
      <c r="N839" s="12" t="s">
        <v>75</v>
      </c>
      <c r="O839" s="30" t="s">
        <v>75</v>
      </c>
      <c r="P839" s="31"/>
      <c r="Q839" s="11" t="s">
        <v>37</v>
      </c>
      <c r="S839" t="str">
        <f t="shared" si="12"/>
        <v>USN</v>
      </c>
    </row>
    <row r="840" spans="5:19">
      <c r="E840" s="16" t="s">
        <v>37</v>
      </c>
      <c r="F840" s="16" t="s">
        <v>37</v>
      </c>
      <c r="G840" s="16" t="s">
        <v>37</v>
      </c>
      <c r="H840" s="17" t="s">
        <v>37</v>
      </c>
      <c r="I840" s="17" t="s">
        <v>37</v>
      </c>
      <c r="J840" s="17" t="s">
        <v>37</v>
      </c>
      <c r="K840" s="17" t="s">
        <v>37</v>
      </c>
      <c r="L840" s="17" t="s">
        <v>37</v>
      </c>
      <c r="M840" s="17" t="s">
        <v>37</v>
      </c>
      <c r="N840" s="17" t="s">
        <v>37</v>
      </c>
      <c r="O840" s="41" t="s">
        <v>37</v>
      </c>
      <c r="P840" s="28"/>
      <c r="Q840" s="17" t="s">
        <v>37</v>
      </c>
      <c r="S840" t="str">
        <f t="shared" si="12"/>
        <v>SHREYAS DEVADIGA</v>
      </c>
    </row>
    <row r="841" spans="5:19" ht="0" hidden="1" customHeight="1">
      <c r="S841">
        <f t="shared" si="12"/>
        <v>0</v>
      </c>
    </row>
    <row r="842" spans="5:19" ht="0.6" customHeight="1">
      <c r="S842">
        <f t="shared" si="12"/>
        <v>0</v>
      </c>
    </row>
    <row r="843" spans="5:19">
      <c r="E843" s="38" t="s">
        <v>35</v>
      </c>
      <c r="F843" s="31"/>
      <c r="G843" s="4" t="s">
        <v>36</v>
      </c>
      <c r="H843" s="6" t="s">
        <v>37</v>
      </c>
      <c r="I843" s="6" t="s">
        <v>37</v>
      </c>
      <c r="J843" s="6" t="s">
        <v>37</v>
      </c>
      <c r="K843" s="6" t="s">
        <v>37</v>
      </c>
      <c r="L843" s="6" t="s">
        <v>37</v>
      </c>
      <c r="M843" s="6" t="s">
        <v>37</v>
      </c>
      <c r="N843" s="6" t="s">
        <v>37</v>
      </c>
      <c r="O843" s="39" t="s">
        <v>37</v>
      </c>
      <c r="P843" s="28"/>
      <c r="Q843" s="6" t="s">
        <v>37</v>
      </c>
      <c r="S843" t="str">
        <f t="shared" si="12"/>
        <v>SGPA</v>
      </c>
    </row>
    <row r="844" spans="5:19" ht="21">
      <c r="E844" s="32" t="s">
        <v>584</v>
      </c>
      <c r="F844" s="31"/>
      <c r="G844" s="8" t="s">
        <v>39</v>
      </c>
      <c r="H844" s="8" t="s">
        <v>19</v>
      </c>
      <c r="I844" s="8" t="s">
        <v>9</v>
      </c>
      <c r="J844" s="8" t="s">
        <v>21</v>
      </c>
      <c r="K844" s="8" t="s">
        <v>11</v>
      </c>
      <c r="L844" s="8" t="s">
        <v>17</v>
      </c>
      <c r="M844" s="8" t="s">
        <v>27</v>
      </c>
      <c r="N844" s="8" t="s">
        <v>7</v>
      </c>
      <c r="O844" s="40" t="s">
        <v>25</v>
      </c>
      <c r="P844" s="31"/>
      <c r="Q844" s="8" t="s">
        <v>40</v>
      </c>
      <c r="S844" t="str">
        <f t="shared" ref="S844:S907" si="13">$E850</f>
        <v>CGPA</v>
      </c>
    </row>
    <row r="845" spans="5:19" ht="22.5">
      <c r="E845" s="13" t="s">
        <v>41</v>
      </c>
      <c r="F845" s="13" t="s">
        <v>585</v>
      </c>
      <c r="G845" s="11" t="s">
        <v>43</v>
      </c>
      <c r="H845" s="12" t="s">
        <v>586</v>
      </c>
      <c r="I845" s="12" t="s">
        <v>587</v>
      </c>
      <c r="J845" s="12" t="s">
        <v>334</v>
      </c>
      <c r="K845" s="12" t="s">
        <v>588</v>
      </c>
      <c r="L845" s="12" t="s">
        <v>589</v>
      </c>
      <c r="M845" s="12" t="s">
        <v>590</v>
      </c>
      <c r="N845" s="12" t="s">
        <v>591</v>
      </c>
      <c r="O845" s="30" t="s">
        <v>51</v>
      </c>
      <c r="P845" s="31"/>
      <c r="Q845" s="11" t="s">
        <v>37</v>
      </c>
      <c r="S845" t="str">
        <f t="shared" si="13"/>
        <v>Result: PASS</v>
      </c>
    </row>
    <row r="846" spans="5:19">
      <c r="E846" s="32" t="s">
        <v>592</v>
      </c>
      <c r="F846" s="33"/>
      <c r="G846" s="11" t="s">
        <v>53</v>
      </c>
      <c r="H846" s="12" t="s">
        <v>51</v>
      </c>
      <c r="I846" s="12" t="s">
        <v>51</v>
      </c>
      <c r="J846" s="12" t="s">
        <v>51</v>
      </c>
      <c r="K846" s="12" t="s">
        <v>51</v>
      </c>
      <c r="L846" s="12" t="s">
        <v>51</v>
      </c>
      <c r="M846" s="12" t="s">
        <v>51</v>
      </c>
      <c r="N846" s="12" t="s">
        <v>51</v>
      </c>
      <c r="O846" s="30" t="s">
        <v>54</v>
      </c>
      <c r="P846" s="31"/>
      <c r="Q846" s="11" t="s">
        <v>37</v>
      </c>
      <c r="S846" t="str">
        <f t="shared" si="13"/>
        <v>Class</v>
      </c>
    </row>
    <row r="847" spans="5:19">
      <c r="E847" s="34"/>
      <c r="F847" s="35"/>
      <c r="G847" s="11" t="s">
        <v>55</v>
      </c>
      <c r="H847" s="12" t="s">
        <v>37</v>
      </c>
      <c r="I847" s="12" t="s">
        <v>37</v>
      </c>
      <c r="J847" s="12" t="s">
        <v>37</v>
      </c>
      <c r="K847" s="12" t="s">
        <v>37</v>
      </c>
      <c r="L847" s="12" t="s">
        <v>37</v>
      </c>
      <c r="M847" s="12" t="s">
        <v>37</v>
      </c>
      <c r="N847" s="12" t="s">
        <v>37</v>
      </c>
      <c r="O847" s="30" t="s">
        <v>37</v>
      </c>
      <c r="P847" s="31"/>
      <c r="Q847" s="11">
        <v>0</v>
      </c>
      <c r="S847" t="str">
        <f t="shared" si="13"/>
        <v>Term Grade: BB+</v>
      </c>
    </row>
    <row r="848" spans="5:19">
      <c r="E848" s="36"/>
      <c r="F848" s="37"/>
      <c r="G848" s="11" t="s">
        <v>56</v>
      </c>
      <c r="H848" s="12">
        <v>4</v>
      </c>
      <c r="I848" s="12">
        <v>4</v>
      </c>
      <c r="J848" s="12">
        <v>4</v>
      </c>
      <c r="K848" s="12">
        <v>3</v>
      </c>
      <c r="L848" s="12">
        <v>3</v>
      </c>
      <c r="M848" s="12">
        <v>3</v>
      </c>
      <c r="N848" s="12">
        <v>2</v>
      </c>
      <c r="O848" s="30">
        <v>2</v>
      </c>
      <c r="P848" s="31"/>
      <c r="Q848" s="11">
        <v>25</v>
      </c>
      <c r="S848" t="str">
        <f t="shared" si="13"/>
        <v>M.C.No</v>
      </c>
    </row>
    <row r="849" spans="5:19">
      <c r="E849" s="13" t="s">
        <v>57</v>
      </c>
      <c r="F849" s="13">
        <v>5.82</v>
      </c>
      <c r="G849" s="11" t="s">
        <v>58</v>
      </c>
      <c r="H849" s="12">
        <v>5.5</v>
      </c>
      <c r="I849" s="12">
        <v>6.5</v>
      </c>
      <c r="J849" s="12">
        <v>4.5</v>
      </c>
      <c r="K849" s="12">
        <v>4.5</v>
      </c>
      <c r="L849" s="12">
        <v>7.5</v>
      </c>
      <c r="M849" s="12">
        <v>4.5</v>
      </c>
      <c r="N849" s="12">
        <v>5.5</v>
      </c>
      <c r="O849" s="30">
        <v>9.5</v>
      </c>
      <c r="P849" s="31"/>
      <c r="Q849" s="11" t="s">
        <v>37</v>
      </c>
      <c r="S849" t="str">
        <f t="shared" si="13"/>
        <v/>
      </c>
    </row>
    <row r="850" spans="5:19">
      <c r="E850" s="13" t="s">
        <v>59</v>
      </c>
      <c r="F850" s="14">
        <v>5.82</v>
      </c>
      <c r="G850" s="11" t="s">
        <v>60</v>
      </c>
      <c r="H850" s="12">
        <v>22</v>
      </c>
      <c r="I850" s="12">
        <v>26</v>
      </c>
      <c r="J850" s="12">
        <v>18</v>
      </c>
      <c r="K850" s="12">
        <v>13.5</v>
      </c>
      <c r="L850" s="12">
        <v>22.5</v>
      </c>
      <c r="M850" s="12">
        <v>13.5</v>
      </c>
      <c r="N850" s="12">
        <v>11</v>
      </c>
      <c r="O850" s="30">
        <v>19</v>
      </c>
      <c r="P850" s="31"/>
      <c r="Q850" s="11">
        <v>145.5</v>
      </c>
      <c r="S850">
        <f t="shared" si="13"/>
        <v>0</v>
      </c>
    </row>
    <row r="851" spans="5:19">
      <c r="E851" s="32" t="s">
        <v>61</v>
      </c>
      <c r="F851" s="31"/>
      <c r="G851" s="11" t="s">
        <v>40</v>
      </c>
      <c r="H851" s="12">
        <v>51</v>
      </c>
      <c r="I851" s="12">
        <v>62</v>
      </c>
      <c r="J851" s="12">
        <v>40</v>
      </c>
      <c r="K851" s="12">
        <v>40</v>
      </c>
      <c r="L851" s="12">
        <v>72</v>
      </c>
      <c r="M851" s="12">
        <v>43</v>
      </c>
      <c r="N851" s="12">
        <v>27</v>
      </c>
      <c r="O851" s="30">
        <v>45</v>
      </c>
      <c r="P851" s="31"/>
      <c r="Q851" s="11">
        <v>380</v>
      </c>
      <c r="S851" t="str">
        <f t="shared" si="13"/>
        <v>Dr. B.B. Hegde First Grade College, Kundapura, Udupi.</v>
      </c>
    </row>
    <row r="852" spans="5:19">
      <c r="E852" s="13" t="s">
        <v>62</v>
      </c>
      <c r="F852" s="13"/>
      <c r="G852" s="11" t="s">
        <v>63</v>
      </c>
      <c r="H852" s="12">
        <v>100</v>
      </c>
      <c r="I852" s="12">
        <v>100</v>
      </c>
      <c r="J852" s="12">
        <v>100</v>
      </c>
      <c r="K852" s="12">
        <v>100</v>
      </c>
      <c r="L852" s="12">
        <v>100</v>
      </c>
      <c r="M852" s="12">
        <v>100</v>
      </c>
      <c r="N852" s="12">
        <v>50</v>
      </c>
      <c r="O852" s="30">
        <v>50</v>
      </c>
      <c r="P852" s="31"/>
      <c r="Q852" s="11">
        <v>700</v>
      </c>
      <c r="S852" t="str">
        <f t="shared" si="13"/>
        <v>00058</v>
      </c>
    </row>
    <row r="853" spans="5:19">
      <c r="E853" s="32" t="s">
        <v>375</v>
      </c>
      <c r="F853" s="31"/>
      <c r="G853" s="11" t="s">
        <v>65</v>
      </c>
      <c r="H853" s="12" t="s">
        <v>138</v>
      </c>
      <c r="I853" s="12" t="s">
        <v>69</v>
      </c>
      <c r="J853" s="12" t="s">
        <v>303</v>
      </c>
      <c r="K853" s="12" t="s">
        <v>303</v>
      </c>
      <c r="L853" s="12" t="s">
        <v>68</v>
      </c>
      <c r="M853" s="12" t="s">
        <v>303</v>
      </c>
      <c r="N853" s="12" t="s">
        <v>138</v>
      </c>
      <c r="O853" s="30" t="s">
        <v>71</v>
      </c>
      <c r="P853" s="31"/>
      <c r="Q853" s="11" t="s">
        <v>37</v>
      </c>
      <c r="S853" t="str">
        <f t="shared" si="13"/>
        <v>USN</v>
      </c>
    </row>
    <row r="854" spans="5:19">
      <c r="E854" s="15" t="s">
        <v>72</v>
      </c>
      <c r="F854" s="15" t="s">
        <v>593</v>
      </c>
      <c r="G854" s="11" t="s">
        <v>74</v>
      </c>
      <c r="H854" s="12" t="s">
        <v>75</v>
      </c>
      <c r="I854" s="12" t="s">
        <v>75</v>
      </c>
      <c r="J854" s="12" t="s">
        <v>75</v>
      </c>
      <c r="K854" s="12" t="s">
        <v>75</v>
      </c>
      <c r="L854" s="12" t="s">
        <v>75</v>
      </c>
      <c r="M854" s="12" t="s">
        <v>75</v>
      </c>
      <c r="N854" s="12" t="s">
        <v>75</v>
      </c>
      <c r="O854" s="30" t="s">
        <v>75</v>
      </c>
      <c r="P854" s="31"/>
      <c r="Q854" s="11" t="s">
        <v>37</v>
      </c>
      <c r="S854" t="str">
        <f t="shared" si="13"/>
        <v>SINCHANA</v>
      </c>
    </row>
    <row r="855" spans="5:19">
      <c r="E855" s="16" t="s">
        <v>37</v>
      </c>
      <c r="F855" s="16" t="s">
        <v>37</v>
      </c>
      <c r="G855" s="16" t="s">
        <v>37</v>
      </c>
      <c r="H855" s="17" t="s">
        <v>37</v>
      </c>
      <c r="I855" s="17" t="s">
        <v>37</v>
      </c>
      <c r="J855" s="17" t="s">
        <v>37</v>
      </c>
      <c r="K855" s="17" t="s">
        <v>37</v>
      </c>
      <c r="L855" s="17" t="s">
        <v>37</v>
      </c>
      <c r="M855" s="17" t="s">
        <v>37</v>
      </c>
      <c r="N855" s="17" t="s">
        <v>37</v>
      </c>
      <c r="O855" s="41" t="s">
        <v>37</v>
      </c>
      <c r="P855" s="28"/>
      <c r="Q855" s="17" t="s">
        <v>37</v>
      </c>
      <c r="S855">
        <f t="shared" si="13"/>
        <v>0</v>
      </c>
    </row>
    <row r="856" spans="5:19" ht="0.6" customHeight="1">
      <c r="S856">
        <f t="shared" si="13"/>
        <v>0</v>
      </c>
    </row>
    <row r="857" spans="5:19">
      <c r="E857" s="38" t="s">
        <v>35</v>
      </c>
      <c r="F857" s="31"/>
      <c r="G857" s="4" t="s">
        <v>36</v>
      </c>
      <c r="H857" s="6" t="s">
        <v>37</v>
      </c>
      <c r="I857" s="6" t="s">
        <v>37</v>
      </c>
      <c r="J857" s="6" t="s">
        <v>37</v>
      </c>
      <c r="K857" s="6" t="s">
        <v>37</v>
      </c>
      <c r="L857" s="6" t="s">
        <v>37</v>
      </c>
      <c r="M857" s="6" t="s">
        <v>37</v>
      </c>
      <c r="N857" s="6" t="s">
        <v>37</v>
      </c>
      <c r="O857" s="39" t="s">
        <v>37</v>
      </c>
      <c r="P857" s="28"/>
      <c r="Q857" s="6" t="s">
        <v>37</v>
      </c>
      <c r="S857" t="str">
        <f t="shared" si="13"/>
        <v>SGPA</v>
      </c>
    </row>
    <row r="858" spans="5:19" ht="21">
      <c r="E858" s="32" t="s">
        <v>594</v>
      </c>
      <c r="F858" s="31"/>
      <c r="G858" s="8" t="s">
        <v>39</v>
      </c>
      <c r="H858" s="8" t="s">
        <v>19</v>
      </c>
      <c r="I858" s="8" t="s">
        <v>9</v>
      </c>
      <c r="J858" s="8" t="s">
        <v>21</v>
      </c>
      <c r="K858" s="8" t="s">
        <v>11</v>
      </c>
      <c r="L858" s="8" t="s">
        <v>17</v>
      </c>
      <c r="M858" s="8" t="s">
        <v>27</v>
      </c>
      <c r="N858" s="8" t="s">
        <v>7</v>
      </c>
      <c r="O858" s="40" t="s">
        <v>23</v>
      </c>
      <c r="P858" s="31"/>
      <c r="Q858" s="8" t="s">
        <v>40</v>
      </c>
      <c r="S858" t="str">
        <f t="shared" si="13"/>
        <v>CGPA</v>
      </c>
    </row>
    <row r="859" spans="5:19" ht="22.5">
      <c r="E859" s="13" t="s">
        <v>41</v>
      </c>
      <c r="F859" s="13" t="s">
        <v>595</v>
      </c>
      <c r="G859" s="11" t="s">
        <v>43</v>
      </c>
      <c r="H859" s="12" t="s">
        <v>460</v>
      </c>
      <c r="I859" s="12" t="s">
        <v>323</v>
      </c>
      <c r="J859" s="12" t="s">
        <v>78</v>
      </c>
      <c r="K859" s="12" t="s">
        <v>206</v>
      </c>
      <c r="L859" s="12" t="s">
        <v>488</v>
      </c>
      <c r="M859" s="12" t="s">
        <v>596</v>
      </c>
      <c r="N859" s="12" t="s">
        <v>318</v>
      </c>
      <c r="O859" s="30" t="s">
        <v>51</v>
      </c>
      <c r="P859" s="31"/>
      <c r="Q859" s="11" t="s">
        <v>37</v>
      </c>
      <c r="S859" t="str">
        <f t="shared" si="13"/>
        <v>Result: PASS</v>
      </c>
    </row>
    <row r="860" spans="5:19">
      <c r="E860" s="32" t="s">
        <v>198</v>
      </c>
      <c r="F860" s="33"/>
      <c r="G860" s="11" t="s">
        <v>53</v>
      </c>
      <c r="H860" s="12" t="s">
        <v>51</v>
      </c>
      <c r="I860" s="12" t="s">
        <v>51</v>
      </c>
      <c r="J860" s="12" t="s">
        <v>51</v>
      </c>
      <c r="K860" s="12" t="s">
        <v>51</v>
      </c>
      <c r="L860" s="12" t="s">
        <v>51</v>
      </c>
      <c r="M860" s="12" t="s">
        <v>51</v>
      </c>
      <c r="N860" s="12" t="s">
        <v>51</v>
      </c>
      <c r="O860" s="30" t="s">
        <v>199</v>
      </c>
      <c r="P860" s="31"/>
      <c r="Q860" s="11" t="s">
        <v>37</v>
      </c>
      <c r="S860" t="str">
        <f t="shared" si="13"/>
        <v>Class</v>
      </c>
    </row>
    <row r="861" spans="5:19">
      <c r="E861" s="34"/>
      <c r="F861" s="35"/>
      <c r="G861" s="11" t="s">
        <v>55</v>
      </c>
      <c r="H861" s="12" t="s">
        <v>37</v>
      </c>
      <c r="I861" s="12" t="s">
        <v>37</v>
      </c>
      <c r="J861" s="12" t="s">
        <v>37</v>
      </c>
      <c r="K861" s="12" t="s">
        <v>37</v>
      </c>
      <c r="L861" s="12" t="s">
        <v>37</v>
      </c>
      <c r="M861" s="12" t="s">
        <v>37</v>
      </c>
      <c r="N861" s="12" t="s">
        <v>37</v>
      </c>
      <c r="O861" s="30" t="s">
        <v>37</v>
      </c>
      <c r="P861" s="31"/>
      <c r="Q861" s="11">
        <v>0</v>
      </c>
      <c r="S861" t="str">
        <f t="shared" si="13"/>
        <v>Term Grade: OO</v>
      </c>
    </row>
    <row r="862" spans="5:19">
      <c r="E862" s="36"/>
      <c r="F862" s="37"/>
      <c r="G862" s="11" t="s">
        <v>56</v>
      </c>
      <c r="H862" s="12">
        <v>4</v>
      </c>
      <c r="I862" s="12">
        <v>4</v>
      </c>
      <c r="J862" s="12">
        <v>4</v>
      </c>
      <c r="K862" s="12">
        <v>3</v>
      </c>
      <c r="L862" s="12">
        <v>3</v>
      </c>
      <c r="M862" s="12">
        <v>3</v>
      </c>
      <c r="N862" s="12">
        <v>2</v>
      </c>
      <c r="O862" s="30">
        <v>2</v>
      </c>
      <c r="P862" s="31"/>
      <c r="Q862" s="11">
        <v>25</v>
      </c>
      <c r="S862" t="str">
        <f t="shared" si="13"/>
        <v>M.C.No</v>
      </c>
    </row>
    <row r="863" spans="5:19">
      <c r="E863" s="13" t="s">
        <v>57</v>
      </c>
      <c r="F863" s="13">
        <v>9.02</v>
      </c>
      <c r="G863" s="11" t="s">
        <v>58</v>
      </c>
      <c r="H863" s="12">
        <v>8.5</v>
      </c>
      <c r="I863" s="12">
        <v>9</v>
      </c>
      <c r="J863" s="12">
        <v>9</v>
      </c>
      <c r="K863" s="12">
        <v>8</v>
      </c>
      <c r="L863" s="12">
        <v>9.5</v>
      </c>
      <c r="M863" s="12">
        <v>9</v>
      </c>
      <c r="N863" s="12">
        <v>10</v>
      </c>
      <c r="O863" s="30">
        <v>10</v>
      </c>
      <c r="P863" s="31"/>
      <c r="Q863" s="11" t="s">
        <v>37</v>
      </c>
      <c r="S863" t="str">
        <f t="shared" si="13"/>
        <v/>
      </c>
    </row>
    <row r="864" spans="5:19">
      <c r="E864" s="13" t="s">
        <v>59</v>
      </c>
      <c r="F864" s="14">
        <v>9.02</v>
      </c>
      <c r="G864" s="11" t="s">
        <v>60</v>
      </c>
      <c r="H864" s="12">
        <v>34</v>
      </c>
      <c r="I864" s="12">
        <v>36</v>
      </c>
      <c r="J864" s="12">
        <v>36</v>
      </c>
      <c r="K864" s="12">
        <v>24</v>
      </c>
      <c r="L864" s="12">
        <v>28.5</v>
      </c>
      <c r="M864" s="12">
        <v>27</v>
      </c>
      <c r="N864" s="12">
        <v>20</v>
      </c>
      <c r="O864" s="30">
        <v>20</v>
      </c>
      <c r="P864" s="31"/>
      <c r="Q864" s="11">
        <v>225.5</v>
      </c>
      <c r="S864">
        <f t="shared" si="13"/>
        <v>0</v>
      </c>
    </row>
    <row r="865" spans="5:19">
      <c r="E865" s="32" t="s">
        <v>61</v>
      </c>
      <c r="F865" s="31"/>
      <c r="G865" s="11" t="s">
        <v>40</v>
      </c>
      <c r="H865" s="12">
        <v>83</v>
      </c>
      <c r="I865" s="12">
        <v>85</v>
      </c>
      <c r="J865" s="12">
        <v>86</v>
      </c>
      <c r="K865" s="12">
        <v>76</v>
      </c>
      <c r="L865" s="12">
        <v>90</v>
      </c>
      <c r="M865" s="12">
        <v>86</v>
      </c>
      <c r="N865" s="12">
        <v>49</v>
      </c>
      <c r="O865" s="30">
        <v>49</v>
      </c>
      <c r="P865" s="31"/>
      <c r="Q865" s="11">
        <v>604</v>
      </c>
      <c r="S865">
        <f t="shared" si="13"/>
        <v>0</v>
      </c>
    </row>
    <row r="866" spans="5:19">
      <c r="E866" s="13" t="s">
        <v>62</v>
      </c>
      <c r="F866" s="13"/>
      <c r="G866" s="11" t="s">
        <v>63</v>
      </c>
      <c r="H866" s="12">
        <v>100</v>
      </c>
      <c r="I866" s="12">
        <v>100</v>
      </c>
      <c r="J866" s="12">
        <v>100</v>
      </c>
      <c r="K866" s="12">
        <v>100</v>
      </c>
      <c r="L866" s="12">
        <v>100</v>
      </c>
      <c r="M866" s="12">
        <v>100</v>
      </c>
      <c r="N866" s="12">
        <v>50</v>
      </c>
      <c r="O866" s="30">
        <v>50</v>
      </c>
      <c r="P866" s="31"/>
      <c r="Q866" s="11">
        <v>700</v>
      </c>
      <c r="S866" t="str">
        <f t="shared" si="13"/>
        <v>Dr. B.B. Hegde First Grade College, Kundapura, Udupi.</v>
      </c>
    </row>
    <row r="867" spans="5:19">
      <c r="E867" s="32" t="s">
        <v>87</v>
      </c>
      <c r="F867" s="31"/>
      <c r="G867" s="11" t="s">
        <v>65</v>
      </c>
      <c r="H867" s="12" t="s">
        <v>70</v>
      </c>
      <c r="I867" s="12" t="s">
        <v>67</v>
      </c>
      <c r="J867" s="12" t="s">
        <v>67</v>
      </c>
      <c r="K867" s="12" t="s">
        <v>102</v>
      </c>
      <c r="L867" s="12" t="s">
        <v>71</v>
      </c>
      <c r="M867" s="12" t="s">
        <v>67</v>
      </c>
      <c r="N867" s="12" t="s">
        <v>88</v>
      </c>
      <c r="O867" s="30" t="s">
        <v>88</v>
      </c>
      <c r="P867" s="31"/>
      <c r="Q867" s="11" t="s">
        <v>37</v>
      </c>
      <c r="S867" t="str">
        <f t="shared" si="13"/>
        <v>00059</v>
      </c>
    </row>
    <row r="868" spans="5:19">
      <c r="E868" s="15" t="s">
        <v>72</v>
      </c>
      <c r="F868" s="15" t="s">
        <v>597</v>
      </c>
      <c r="G868" s="11" t="s">
        <v>74</v>
      </c>
      <c r="H868" s="12" t="s">
        <v>75</v>
      </c>
      <c r="I868" s="12" t="s">
        <v>75</v>
      </c>
      <c r="J868" s="12" t="s">
        <v>75</v>
      </c>
      <c r="K868" s="12" t="s">
        <v>75</v>
      </c>
      <c r="L868" s="12" t="s">
        <v>75</v>
      </c>
      <c r="M868" s="12" t="s">
        <v>75</v>
      </c>
      <c r="N868" s="12" t="s">
        <v>75</v>
      </c>
      <c r="O868" s="30" t="s">
        <v>75</v>
      </c>
      <c r="P868" s="31"/>
      <c r="Q868" s="11" t="s">
        <v>37</v>
      </c>
      <c r="S868" t="str">
        <f t="shared" si="13"/>
        <v>USN</v>
      </c>
    </row>
    <row r="869" spans="5:19">
      <c r="E869" s="16" t="s">
        <v>37</v>
      </c>
      <c r="F869" s="16" t="s">
        <v>37</v>
      </c>
      <c r="G869" s="16" t="s">
        <v>37</v>
      </c>
      <c r="H869" s="17" t="s">
        <v>37</v>
      </c>
      <c r="I869" s="17" t="s">
        <v>37</v>
      </c>
      <c r="J869" s="17" t="s">
        <v>37</v>
      </c>
      <c r="K869" s="17" t="s">
        <v>37</v>
      </c>
      <c r="L869" s="17" t="s">
        <v>37</v>
      </c>
      <c r="M869" s="17" t="s">
        <v>37</v>
      </c>
      <c r="N869" s="17" t="s">
        <v>37</v>
      </c>
      <c r="O869" s="41" t="s">
        <v>37</v>
      </c>
      <c r="P869" s="28"/>
      <c r="Q869" s="17" t="s">
        <v>37</v>
      </c>
      <c r="S869" t="str">
        <f t="shared" si="13"/>
        <v>ANISHA</v>
      </c>
    </row>
    <row r="870" spans="5:19" ht="0" hidden="1" customHeight="1">
      <c r="S870">
        <f t="shared" si="13"/>
        <v>0</v>
      </c>
    </row>
    <row r="871" spans="5:19" ht="0.6" customHeight="1">
      <c r="S871">
        <f t="shared" si="13"/>
        <v>0</v>
      </c>
    </row>
    <row r="872" spans="5:19">
      <c r="E872" s="38" t="s">
        <v>35</v>
      </c>
      <c r="F872" s="31"/>
      <c r="G872" s="4" t="s">
        <v>36</v>
      </c>
      <c r="H872" s="6" t="s">
        <v>37</v>
      </c>
      <c r="I872" s="6" t="s">
        <v>37</v>
      </c>
      <c r="J872" s="6" t="s">
        <v>37</v>
      </c>
      <c r="K872" s="6" t="s">
        <v>37</v>
      </c>
      <c r="L872" s="6" t="s">
        <v>37</v>
      </c>
      <c r="M872" s="6" t="s">
        <v>37</v>
      </c>
      <c r="N872" s="6" t="s">
        <v>37</v>
      </c>
      <c r="O872" s="39" t="s">
        <v>37</v>
      </c>
      <c r="P872" s="28"/>
      <c r="Q872" s="6" t="s">
        <v>37</v>
      </c>
      <c r="S872" t="str">
        <f t="shared" si="13"/>
        <v>SGPA</v>
      </c>
    </row>
    <row r="873" spans="5:19" ht="21">
      <c r="E873" s="32" t="s">
        <v>598</v>
      </c>
      <c r="F873" s="31"/>
      <c r="G873" s="8" t="s">
        <v>39</v>
      </c>
      <c r="H873" s="8" t="s">
        <v>19</v>
      </c>
      <c r="I873" s="8" t="s">
        <v>9</v>
      </c>
      <c r="J873" s="8" t="s">
        <v>21</v>
      </c>
      <c r="K873" s="8" t="s">
        <v>11</v>
      </c>
      <c r="L873" s="8" t="s">
        <v>17</v>
      </c>
      <c r="M873" s="8" t="s">
        <v>27</v>
      </c>
      <c r="N873" s="8" t="s">
        <v>7</v>
      </c>
      <c r="O873" s="40" t="s">
        <v>29</v>
      </c>
      <c r="P873" s="31"/>
      <c r="Q873" s="8" t="s">
        <v>40</v>
      </c>
      <c r="S873" t="str">
        <f t="shared" si="13"/>
        <v>CGPA</v>
      </c>
    </row>
    <row r="874" spans="5:19" ht="22.5">
      <c r="E874" s="13" t="s">
        <v>41</v>
      </c>
      <c r="F874" s="13" t="s">
        <v>599</v>
      </c>
      <c r="G874" s="11" t="s">
        <v>43</v>
      </c>
      <c r="H874" s="12" t="s">
        <v>195</v>
      </c>
      <c r="I874" s="12" t="s">
        <v>79</v>
      </c>
      <c r="J874" s="12" t="s">
        <v>600</v>
      </c>
      <c r="K874" s="12" t="s">
        <v>601</v>
      </c>
      <c r="L874" s="12" t="s">
        <v>289</v>
      </c>
      <c r="M874" s="12" t="s">
        <v>602</v>
      </c>
      <c r="N874" s="12" t="s">
        <v>209</v>
      </c>
      <c r="O874" s="30" t="s">
        <v>51</v>
      </c>
      <c r="P874" s="31"/>
      <c r="Q874" s="11" t="s">
        <v>37</v>
      </c>
      <c r="S874" t="str">
        <f t="shared" si="13"/>
        <v>Result: PASS</v>
      </c>
    </row>
    <row r="875" spans="5:19">
      <c r="E875" s="32" t="s">
        <v>603</v>
      </c>
      <c r="F875" s="33"/>
      <c r="G875" s="11" t="s">
        <v>53</v>
      </c>
      <c r="H875" s="12" t="s">
        <v>51</v>
      </c>
      <c r="I875" s="12" t="s">
        <v>51</v>
      </c>
      <c r="J875" s="12" t="s">
        <v>51</v>
      </c>
      <c r="K875" s="12" t="s">
        <v>51</v>
      </c>
      <c r="L875" s="12" t="s">
        <v>51</v>
      </c>
      <c r="M875" s="12" t="s">
        <v>51</v>
      </c>
      <c r="N875" s="12" t="s">
        <v>51</v>
      </c>
      <c r="O875" s="30" t="s">
        <v>86</v>
      </c>
      <c r="P875" s="31"/>
      <c r="Q875" s="11" t="s">
        <v>37</v>
      </c>
      <c r="S875" t="str">
        <f t="shared" si="13"/>
        <v>Class</v>
      </c>
    </row>
    <row r="876" spans="5:19">
      <c r="E876" s="34"/>
      <c r="F876" s="35"/>
      <c r="G876" s="11" t="s">
        <v>55</v>
      </c>
      <c r="H876" s="12" t="s">
        <v>37</v>
      </c>
      <c r="I876" s="12" t="s">
        <v>37</v>
      </c>
      <c r="J876" s="12" t="s">
        <v>37</v>
      </c>
      <c r="K876" s="12" t="s">
        <v>37</v>
      </c>
      <c r="L876" s="12" t="s">
        <v>37</v>
      </c>
      <c r="M876" s="12" t="s">
        <v>37</v>
      </c>
      <c r="N876" s="12" t="s">
        <v>37</v>
      </c>
      <c r="O876" s="30" t="s">
        <v>37</v>
      </c>
      <c r="P876" s="31"/>
      <c r="Q876" s="11">
        <v>0</v>
      </c>
      <c r="S876" t="str">
        <f t="shared" si="13"/>
        <v>Term Grade: OO</v>
      </c>
    </row>
    <row r="877" spans="5:19">
      <c r="E877" s="36"/>
      <c r="F877" s="37"/>
      <c r="G877" s="11" t="s">
        <v>56</v>
      </c>
      <c r="H877" s="12">
        <v>4</v>
      </c>
      <c r="I877" s="12">
        <v>4</v>
      </c>
      <c r="J877" s="12">
        <v>4</v>
      </c>
      <c r="K877" s="12">
        <v>3</v>
      </c>
      <c r="L877" s="12">
        <v>3</v>
      </c>
      <c r="M877" s="12">
        <v>3</v>
      </c>
      <c r="N877" s="12">
        <v>2</v>
      </c>
      <c r="O877" s="30">
        <v>2</v>
      </c>
      <c r="P877" s="31"/>
      <c r="Q877" s="11">
        <v>25</v>
      </c>
      <c r="S877" t="str">
        <f t="shared" si="13"/>
        <v>M.C.No</v>
      </c>
    </row>
    <row r="878" spans="5:19">
      <c r="E878" s="13" t="s">
        <v>57</v>
      </c>
      <c r="F878" s="13">
        <v>9.48</v>
      </c>
      <c r="G878" s="11" t="s">
        <v>58</v>
      </c>
      <c r="H878" s="12">
        <v>9.5</v>
      </c>
      <c r="I878" s="12">
        <v>10</v>
      </c>
      <c r="J878" s="12">
        <v>9.5</v>
      </c>
      <c r="K878" s="12">
        <v>8</v>
      </c>
      <c r="L878" s="12">
        <v>9</v>
      </c>
      <c r="M878" s="12">
        <v>10</v>
      </c>
      <c r="N878" s="12">
        <v>10</v>
      </c>
      <c r="O878" s="30">
        <v>10</v>
      </c>
      <c r="P878" s="31"/>
      <c r="Q878" s="11" t="s">
        <v>37</v>
      </c>
      <c r="S878" t="str">
        <f t="shared" si="13"/>
        <v/>
      </c>
    </row>
    <row r="879" spans="5:19">
      <c r="E879" s="13" t="s">
        <v>59</v>
      </c>
      <c r="F879" s="14">
        <v>9.48</v>
      </c>
      <c r="G879" s="11" t="s">
        <v>60</v>
      </c>
      <c r="H879" s="12">
        <v>38</v>
      </c>
      <c r="I879" s="12">
        <v>40</v>
      </c>
      <c r="J879" s="12">
        <v>38</v>
      </c>
      <c r="K879" s="12">
        <v>24</v>
      </c>
      <c r="L879" s="12">
        <v>27</v>
      </c>
      <c r="M879" s="12">
        <v>30</v>
      </c>
      <c r="N879" s="12">
        <v>20</v>
      </c>
      <c r="O879" s="30">
        <v>20</v>
      </c>
      <c r="P879" s="31"/>
      <c r="Q879" s="11">
        <v>237</v>
      </c>
      <c r="S879">
        <f t="shared" si="13"/>
        <v>0</v>
      </c>
    </row>
    <row r="880" spans="5:19">
      <c r="E880" s="32" t="s">
        <v>61</v>
      </c>
      <c r="F880" s="31"/>
      <c r="G880" s="11" t="s">
        <v>40</v>
      </c>
      <c r="H880" s="12">
        <v>91</v>
      </c>
      <c r="I880" s="12">
        <v>95</v>
      </c>
      <c r="J880" s="12">
        <v>92</v>
      </c>
      <c r="K880" s="12">
        <v>75</v>
      </c>
      <c r="L880" s="12">
        <v>89</v>
      </c>
      <c r="M880" s="12">
        <v>99</v>
      </c>
      <c r="N880" s="12">
        <v>50</v>
      </c>
      <c r="O880" s="30">
        <v>48</v>
      </c>
      <c r="P880" s="31"/>
      <c r="Q880" s="11">
        <v>639</v>
      </c>
      <c r="S880">
        <f t="shared" si="13"/>
        <v>0</v>
      </c>
    </row>
    <row r="881" spans="5:19">
      <c r="E881" s="13" t="s">
        <v>62</v>
      </c>
      <c r="F881" s="13"/>
      <c r="G881" s="11" t="s">
        <v>63</v>
      </c>
      <c r="H881" s="12">
        <v>100</v>
      </c>
      <c r="I881" s="12">
        <v>100</v>
      </c>
      <c r="J881" s="12">
        <v>100</v>
      </c>
      <c r="K881" s="12">
        <v>100</v>
      </c>
      <c r="L881" s="12">
        <v>100</v>
      </c>
      <c r="M881" s="12">
        <v>100</v>
      </c>
      <c r="N881" s="12">
        <v>50</v>
      </c>
      <c r="O881" s="30">
        <v>50</v>
      </c>
      <c r="P881" s="31"/>
      <c r="Q881" s="11">
        <v>700</v>
      </c>
      <c r="S881" t="str">
        <f t="shared" si="13"/>
        <v>Dr. B.B. Hegde First Grade College, Kundapura, Udupi.</v>
      </c>
    </row>
    <row r="882" spans="5:19">
      <c r="E882" s="32" t="s">
        <v>87</v>
      </c>
      <c r="F882" s="31"/>
      <c r="G882" s="11" t="s">
        <v>65</v>
      </c>
      <c r="H882" s="12" t="s">
        <v>71</v>
      </c>
      <c r="I882" s="12" t="s">
        <v>88</v>
      </c>
      <c r="J882" s="12" t="s">
        <v>71</v>
      </c>
      <c r="K882" s="12" t="s">
        <v>102</v>
      </c>
      <c r="L882" s="12" t="s">
        <v>67</v>
      </c>
      <c r="M882" s="12" t="s">
        <v>88</v>
      </c>
      <c r="N882" s="12" t="s">
        <v>88</v>
      </c>
      <c r="O882" s="30" t="s">
        <v>88</v>
      </c>
      <c r="P882" s="31"/>
      <c r="Q882" s="11" t="s">
        <v>37</v>
      </c>
      <c r="S882" t="str">
        <f t="shared" si="13"/>
        <v>00060</v>
      </c>
    </row>
    <row r="883" spans="5:19">
      <c r="E883" s="15" t="s">
        <v>72</v>
      </c>
      <c r="F883" s="15" t="s">
        <v>604</v>
      </c>
      <c r="G883" s="11" t="s">
        <v>74</v>
      </c>
      <c r="H883" s="12" t="s">
        <v>75</v>
      </c>
      <c r="I883" s="12" t="s">
        <v>75</v>
      </c>
      <c r="J883" s="12" t="s">
        <v>75</v>
      </c>
      <c r="K883" s="12" t="s">
        <v>75</v>
      </c>
      <c r="L883" s="12" t="s">
        <v>75</v>
      </c>
      <c r="M883" s="12" t="s">
        <v>75</v>
      </c>
      <c r="N883" s="12" t="s">
        <v>75</v>
      </c>
      <c r="O883" s="30" t="s">
        <v>75</v>
      </c>
      <c r="P883" s="31"/>
      <c r="Q883" s="11" t="s">
        <v>37</v>
      </c>
      <c r="S883" t="str">
        <f t="shared" si="13"/>
        <v>USN</v>
      </c>
    </row>
    <row r="884" spans="5:19">
      <c r="E884" s="16" t="s">
        <v>37</v>
      </c>
      <c r="F884" s="16" t="s">
        <v>37</v>
      </c>
      <c r="G884" s="16" t="s">
        <v>37</v>
      </c>
      <c r="H884" s="17" t="s">
        <v>37</v>
      </c>
      <c r="I884" s="17" t="s">
        <v>37</v>
      </c>
      <c r="J884" s="17" t="s">
        <v>37</v>
      </c>
      <c r="K884" s="17" t="s">
        <v>37</v>
      </c>
      <c r="L884" s="17" t="s">
        <v>37</v>
      </c>
      <c r="M884" s="17" t="s">
        <v>37</v>
      </c>
      <c r="N884" s="17" t="s">
        <v>37</v>
      </c>
      <c r="O884" s="41" t="s">
        <v>37</v>
      </c>
      <c r="P884" s="28"/>
      <c r="Q884" s="17" t="s">
        <v>37</v>
      </c>
      <c r="S884" t="str">
        <f t="shared" si="13"/>
        <v>AISHWARYA SHETTY</v>
      </c>
    </row>
    <row r="885" spans="5:19" ht="0" hidden="1" customHeight="1">
      <c r="S885">
        <f t="shared" si="13"/>
        <v>0</v>
      </c>
    </row>
    <row r="886" spans="5:19" ht="0.6" customHeight="1">
      <c r="S886">
        <f t="shared" si="13"/>
        <v>0</v>
      </c>
    </row>
    <row r="887" spans="5:19">
      <c r="E887" s="38" t="s">
        <v>35</v>
      </c>
      <c r="F887" s="31"/>
      <c r="G887" s="4" t="s">
        <v>36</v>
      </c>
      <c r="H887" s="6" t="s">
        <v>37</v>
      </c>
      <c r="I887" s="6" t="s">
        <v>37</v>
      </c>
      <c r="J887" s="6" t="s">
        <v>37</v>
      </c>
      <c r="K887" s="6" t="s">
        <v>37</v>
      </c>
      <c r="L887" s="6" t="s">
        <v>37</v>
      </c>
      <c r="M887" s="6" t="s">
        <v>37</v>
      </c>
      <c r="N887" s="6" t="s">
        <v>37</v>
      </c>
      <c r="O887" s="39" t="s">
        <v>37</v>
      </c>
      <c r="P887" s="28"/>
      <c r="Q887" s="6" t="s">
        <v>37</v>
      </c>
      <c r="S887" t="str">
        <f t="shared" si="13"/>
        <v>SGPA</v>
      </c>
    </row>
    <row r="888" spans="5:19" ht="21">
      <c r="E888" s="32" t="s">
        <v>605</v>
      </c>
      <c r="F888" s="31"/>
      <c r="G888" s="8" t="s">
        <v>39</v>
      </c>
      <c r="H888" s="8" t="s">
        <v>19</v>
      </c>
      <c r="I888" s="8" t="s">
        <v>9</v>
      </c>
      <c r="J888" s="8" t="s">
        <v>21</v>
      </c>
      <c r="K888" s="8" t="s">
        <v>11</v>
      </c>
      <c r="L888" s="8" t="s">
        <v>17</v>
      </c>
      <c r="M888" s="8" t="s">
        <v>27</v>
      </c>
      <c r="N888" s="8" t="s">
        <v>7</v>
      </c>
      <c r="O888" s="40" t="s">
        <v>13</v>
      </c>
      <c r="P888" s="31"/>
      <c r="Q888" s="8" t="s">
        <v>40</v>
      </c>
      <c r="S888" t="str">
        <f t="shared" si="13"/>
        <v>CGPA</v>
      </c>
    </row>
    <row r="889" spans="5:19" ht="22.5">
      <c r="E889" s="13" t="s">
        <v>41</v>
      </c>
      <c r="F889" s="13" t="s">
        <v>606</v>
      </c>
      <c r="G889" s="11" t="s">
        <v>43</v>
      </c>
      <c r="H889" s="12" t="s">
        <v>223</v>
      </c>
      <c r="I889" s="12" t="s">
        <v>83</v>
      </c>
      <c r="J889" s="12" t="s">
        <v>223</v>
      </c>
      <c r="K889" s="12" t="s">
        <v>607</v>
      </c>
      <c r="L889" s="12" t="s">
        <v>223</v>
      </c>
      <c r="M889" s="12" t="s">
        <v>83</v>
      </c>
      <c r="N889" s="12" t="s">
        <v>209</v>
      </c>
      <c r="O889" s="30" t="s">
        <v>51</v>
      </c>
      <c r="P889" s="31"/>
      <c r="Q889" s="11" t="s">
        <v>37</v>
      </c>
      <c r="S889" t="str">
        <f t="shared" si="13"/>
        <v>Result: PASS</v>
      </c>
    </row>
    <row r="890" spans="5:19">
      <c r="E890" s="32" t="s">
        <v>608</v>
      </c>
      <c r="F890" s="33"/>
      <c r="G890" s="11" t="s">
        <v>53</v>
      </c>
      <c r="H890" s="12" t="s">
        <v>51</v>
      </c>
      <c r="I890" s="12" t="s">
        <v>51</v>
      </c>
      <c r="J890" s="12" t="s">
        <v>51</v>
      </c>
      <c r="K890" s="12" t="s">
        <v>51</v>
      </c>
      <c r="L890" s="12" t="s">
        <v>51</v>
      </c>
      <c r="M890" s="12" t="s">
        <v>51</v>
      </c>
      <c r="N890" s="12" t="s">
        <v>51</v>
      </c>
      <c r="O890" s="30" t="s">
        <v>100</v>
      </c>
      <c r="P890" s="31"/>
      <c r="Q890" s="11" t="s">
        <v>37</v>
      </c>
      <c r="S890" t="str">
        <f t="shared" si="13"/>
        <v>Class</v>
      </c>
    </row>
    <row r="891" spans="5:19">
      <c r="E891" s="34"/>
      <c r="F891" s="35"/>
      <c r="G891" s="11" t="s">
        <v>55</v>
      </c>
      <c r="H891" s="12" t="s">
        <v>37</v>
      </c>
      <c r="I891" s="12" t="s">
        <v>37</v>
      </c>
      <c r="J891" s="12" t="s">
        <v>37</v>
      </c>
      <c r="K891" s="12" t="s">
        <v>37</v>
      </c>
      <c r="L891" s="12" t="s">
        <v>37</v>
      </c>
      <c r="M891" s="12" t="s">
        <v>37</v>
      </c>
      <c r="N891" s="12" t="s">
        <v>37</v>
      </c>
      <c r="O891" s="30" t="s">
        <v>37</v>
      </c>
      <c r="P891" s="31"/>
      <c r="Q891" s="11">
        <v>0</v>
      </c>
      <c r="S891" t="str">
        <f t="shared" si="13"/>
        <v>Term Grade: OO</v>
      </c>
    </row>
    <row r="892" spans="5:19">
      <c r="E892" s="36"/>
      <c r="F892" s="37"/>
      <c r="G892" s="11" t="s">
        <v>56</v>
      </c>
      <c r="H892" s="12">
        <v>4</v>
      </c>
      <c r="I892" s="12">
        <v>4</v>
      </c>
      <c r="J892" s="12">
        <v>4</v>
      </c>
      <c r="K892" s="12">
        <v>3</v>
      </c>
      <c r="L892" s="12">
        <v>3</v>
      </c>
      <c r="M892" s="12">
        <v>3</v>
      </c>
      <c r="N892" s="12">
        <v>2</v>
      </c>
      <c r="O892" s="30">
        <v>2</v>
      </c>
      <c r="P892" s="31"/>
      <c r="Q892" s="11">
        <v>25</v>
      </c>
      <c r="S892" t="str">
        <f t="shared" si="13"/>
        <v>M.C.No</v>
      </c>
    </row>
    <row r="893" spans="5:19">
      <c r="E893" s="13" t="s">
        <v>57</v>
      </c>
      <c r="F893" s="13">
        <v>9.48</v>
      </c>
      <c r="G893" s="11" t="s">
        <v>58</v>
      </c>
      <c r="H893" s="12">
        <v>9.5</v>
      </c>
      <c r="I893" s="12">
        <v>10</v>
      </c>
      <c r="J893" s="12">
        <v>9.5</v>
      </c>
      <c r="K893" s="12">
        <v>7.5</v>
      </c>
      <c r="L893" s="12">
        <v>9.5</v>
      </c>
      <c r="M893" s="12">
        <v>10</v>
      </c>
      <c r="N893" s="12">
        <v>10</v>
      </c>
      <c r="O893" s="30">
        <v>10</v>
      </c>
      <c r="P893" s="31"/>
      <c r="Q893" s="11" t="s">
        <v>37</v>
      </c>
      <c r="S893" t="str">
        <f t="shared" si="13"/>
        <v/>
      </c>
    </row>
    <row r="894" spans="5:19">
      <c r="E894" s="13" t="s">
        <v>59</v>
      </c>
      <c r="F894" s="14">
        <v>9.48</v>
      </c>
      <c r="G894" s="11" t="s">
        <v>60</v>
      </c>
      <c r="H894" s="12">
        <v>38</v>
      </c>
      <c r="I894" s="12">
        <v>40</v>
      </c>
      <c r="J894" s="12">
        <v>38</v>
      </c>
      <c r="K894" s="12">
        <v>22.5</v>
      </c>
      <c r="L894" s="12">
        <v>28.5</v>
      </c>
      <c r="M894" s="12">
        <v>30</v>
      </c>
      <c r="N894" s="12">
        <v>20</v>
      </c>
      <c r="O894" s="30">
        <v>20</v>
      </c>
      <c r="P894" s="31"/>
      <c r="Q894" s="11">
        <v>237</v>
      </c>
      <c r="S894">
        <f t="shared" si="13"/>
        <v>0</v>
      </c>
    </row>
    <row r="895" spans="5:19">
      <c r="E895" s="32" t="s">
        <v>61</v>
      </c>
      <c r="F895" s="31"/>
      <c r="G895" s="11" t="s">
        <v>40</v>
      </c>
      <c r="H895" s="12">
        <v>93</v>
      </c>
      <c r="I895" s="12">
        <v>100</v>
      </c>
      <c r="J895" s="12">
        <v>93</v>
      </c>
      <c r="K895" s="12">
        <v>73</v>
      </c>
      <c r="L895" s="12">
        <v>93</v>
      </c>
      <c r="M895" s="12">
        <v>100</v>
      </c>
      <c r="N895" s="12">
        <v>50</v>
      </c>
      <c r="O895" s="30">
        <v>50</v>
      </c>
      <c r="P895" s="31"/>
      <c r="Q895" s="11">
        <v>652</v>
      </c>
      <c r="S895">
        <f t="shared" si="13"/>
        <v>0</v>
      </c>
    </row>
    <row r="896" spans="5:19">
      <c r="E896" s="13" t="s">
        <v>62</v>
      </c>
      <c r="F896" s="13"/>
      <c r="G896" s="11" t="s">
        <v>63</v>
      </c>
      <c r="H896" s="12">
        <v>100</v>
      </c>
      <c r="I896" s="12">
        <v>100</v>
      </c>
      <c r="J896" s="12">
        <v>100</v>
      </c>
      <c r="K896" s="12">
        <v>100</v>
      </c>
      <c r="L896" s="12">
        <v>100</v>
      </c>
      <c r="M896" s="12">
        <v>100</v>
      </c>
      <c r="N896" s="12">
        <v>50</v>
      </c>
      <c r="O896" s="30">
        <v>50</v>
      </c>
      <c r="P896" s="31"/>
      <c r="Q896" s="11">
        <v>700</v>
      </c>
      <c r="S896" t="str">
        <f t="shared" si="13"/>
        <v>Dr. B.B. Hegde First Grade College, Kundapura, Udupi.</v>
      </c>
    </row>
    <row r="897" spans="5:19">
      <c r="E897" s="32" t="s">
        <v>87</v>
      </c>
      <c r="F897" s="31"/>
      <c r="G897" s="11" t="s">
        <v>65</v>
      </c>
      <c r="H897" s="12" t="s">
        <v>71</v>
      </c>
      <c r="I897" s="12" t="s">
        <v>88</v>
      </c>
      <c r="J897" s="12" t="s">
        <v>71</v>
      </c>
      <c r="K897" s="12" t="s">
        <v>68</v>
      </c>
      <c r="L897" s="12" t="s">
        <v>71</v>
      </c>
      <c r="M897" s="12" t="s">
        <v>88</v>
      </c>
      <c r="N897" s="12" t="s">
        <v>88</v>
      </c>
      <c r="O897" s="30" t="s">
        <v>88</v>
      </c>
      <c r="P897" s="31"/>
      <c r="Q897" s="11" t="s">
        <v>37</v>
      </c>
      <c r="S897" t="str">
        <f t="shared" si="13"/>
        <v>00061</v>
      </c>
    </row>
    <row r="898" spans="5:19">
      <c r="E898" s="15" t="s">
        <v>72</v>
      </c>
      <c r="F898" s="15" t="s">
        <v>609</v>
      </c>
      <c r="G898" s="11" t="s">
        <v>74</v>
      </c>
      <c r="H898" s="12" t="s">
        <v>75</v>
      </c>
      <c r="I898" s="12" t="s">
        <v>75</v>
      </c>
      <c r="J898" s="12" t="s">
        <v>75</v>
      </c>
      <c r="K898" s="12" t="s">
        <v>75</v>
      </c>
      <c r="L898" s="12" t="s">
        <v>75</v>
      </c>
      <c r="M898" s="12" t="s">
        <v>75</v>
      </c>
      <c r="N898" s="12" t="s">
        <v>75</v>
      </c>
      <c r="O898" s="30" t="s">
        <v>75</v>
      </c>
      <c r="P898" s="31"/>
      <c r="Q898" s="11" t="s">
        <v>37</v>
      </c>
      <c r="S898" t="str">
        <f t="shared" si="13"/>
        <v>USN</v>
      </c>
    </row>
    <row r="899" spans="5:19">
      <c r="E899" s="16" t="s">
        <v>37</v>
      </c>
      <c r="F899" s="16" t="s">
        <v>37</v>
      </c>
      <c r="G899" s="16" t="s">
        <v>37</v>
      </c>
      <c r="H899" s="17" t="s">
        <v>37</v>
      </c>
      <c r="I899" s="17" t="s">
        <v>37</v>
      </c>
      <c r="J899" s="17" t="s">
        <v>37</v>
      </c>
      <c r="K899" s="17" t="s">
        <v>37</v>
      </c>
      <c r="L899" s="17" t="s">
        <v>37</v>
      </c>
      <c r="M899" s="17" t="s">
        <v>37</v>
      </c>
      <c r="N899" s="17" t="s">
        <v>37</v>
      </c>
      <c r="O899" s="41" t="s">
        <v>37</v>
      </c>
      <c r="P899" s="28"/>
      <c r="Q899" s="17" t="s">
        <v>37</v>
      </c>
      <c r="S899" t="str">
        <f t="shared" si="13"/>
        <v>MEERU MOHAMMED SOUBAN</v>
      </c>
    </row>
    <row r="900" spans="5:19" ht="0" hidden="1" customHeight="1">
      <c r="S900">
        <f t="shared" si="13"/>
        <v>0</v>
      </c>
    </row>
    <row r="901" spans="5:19" ht="0.6" customHeight="1">
      <c r="S901">
        <f t="shared" si="13"/>
        <v>0</v>
      </c>
    </row>
    <row r="902" spans="5:19">
      <c r="E902" s="38" t="s">
        <v>35</v>
      </c>
      <c r="F902" s="31"/>
      <c r="G902" s="4" t="s">
        <v>36</v>
      </c>
      <c r="H902" s="6" t="s">
        <v>37</v>
      </c>
      <c r="I902" s="6" t="s">
        <v>37</v>
      </c>
      <c r="J902" s="6" t="s">
        <v>37</v>
      </c>
      <c r="K902" s="6" t="s">
        <v>37</v>
      </c>
      <c r="L902" s="6" t="s">
        <v>37</v>
      </c>
      <c r="M902" s="6" t="s">
        <v>37</v>
      </c>
      <c r="N902" s="6" t="s">
        <v>37</v>
      </c>
      <c r="O902" s="39" t="s">
        <v>37</v>
      </c>
      <c r="P902" s="28"/>
      <c r="Q902" s="6" t="s">
        <v>37</v>
      </c>
      <c r="S902" t="str">
        <f t="shared" si="13"/>
        <v>SGPA</v>
      </c>
    </row>
    <row r="903" spans="5:19" ht="21">
      <c r="E903" s="32" t="s">
        <v>610</v>
      </c>
      <c r="F903" s="31"/>
      <c r="G903" s="8" t="s">
        <v>39</v>
      </c>
      <c r="H903" s="8" t="s">
        <v>19</v>
      </c>
      <c r="I903" s="8" t="s">
        <v>9</v>
      </c>
      <c r="J903" s="8" t="s">
        <v>21</v>
      </c>
      <c r="K903" s="8" t="s">
        <v>11</v>
      </c>
      <c r="L903" s="8" t="s">
        <v>15</v>
      </c>
      <c r="M903" s="8" t="s">
        <v>27</v>
      </c>
      <c r="N903" s="8" t="s">
        <v>7</v>
      </c>
      <c r="O903" s="40" t="s">
        <v>31</v>
      </c>
      <c r="P903" s="31"/>
      <c r="Q903" s="8" t="s">
        <v>40</v>
      </c>
      <c r="S903" t="str">
        <f t="shared" si="13"/>
        <v>CGPA</v>
      </c>
    </row>
    <row r="904" spans="5:19" ht="22.5">
      <c r="E904" s="13" t="s">
        <v>41</v>
      </c>
      <c r="F904" s="13" t="s">
        <v>611</v>
      </c>
      <c r="G904" s="11" t="s">
        <v>43</v>
      </c>
      <c r="H904" s="12" t="s">
        <v>612</v>
      </c>
      <c r="I904" s="12" t="s">
        <v>613</v>
      </c>
      <c r="J904" s="12" t="s">
        <v>176</v>
      </c>
      <c r="K904" s="12" t="s">
        <v>614</v>
      </c>
      <c r="L904" s="12" t="s">
        <v>615</v>
      </c>
      <c r="M904" s="12" t="s">
        <v>616</v>
      </c>
      <c r="N904" s="12" t="s">
        <v>550</v>
      </c>
      <c r="O904" s="30" t="s">
        <v>51</v>
      </c>
      <c r="P904" s="31"/>
      <c r="Q904" s="11" t="s">
        <v>37</v>
      </c>
      <c r="S904" t="str">
        <f t="shared" si="13"/>
        <v>Result: PASS</v>
      </c>
    </row>
    <row r="905" spans="5:19">
      <c r="E905" s="32" t="s">
        <v>617</v>
      </c>
      <c r="F905" s="33"/>
      <c r="G905" s="11" t="s">
        <v>53</v>
      </c>
      <c r="H905" s="12" t="s">
        <v>51</v>
      </c>
      <c r="I905" s="12" t="s">
        <v>51</v>
      </c>
      <c r="J905" s="12" t="s">
        <v>51</v>
      </c>
      <c r="K905" s="12" t="s">
        <v>51</v>
      </c>
      <c r="L905" s="12" t="s">
        <v>51</v>
      </c>
      <c r="M905" s="12" t="s">
        <v>51</v>
      </c>
      <c r="N905" s="12" t="s">
        <v>51</v>
      </c>
      <c r="O905" s="30" t="s">
        <v>86</v>
      </c>
      <c r="P905" s="31"/>
      <c r="Q905" s="11" t="s">
        <v>37</v>
      </c>
      <c r="S905" t="str">
        <f t="shared" si="13"/>
        <v>Class</v>
      </c>
    </row>
    <row r="906" spans="5:19">
      <c r="E906" s="34"/>
      <c r="F906" s="35"/>
      <c r="G906" s="11" t="s">
        <v>55</v>
      </c>
      <c r="H906" s="12" t="s">
        <v>37</v>
      </c>
      <c r="I906" s="12" t="s">
        <v>37</v>
      </c>
      <c r="J906" s="12" t="s">
        <v>37</v>
      </c>
      <c r="K906" s="12">
        <v>1</v>
      </c>
      <c r="L906" s="12" t="s">
        <v>37</v>
      </c>
      <c r="M906" s="12" t="s">
        <v>37</v>
      </c>
      <c r="N906" s="12" t="s">
        <v>37</v>
      </c>
      <c r="O906" s="30" t="s">
        <v>37</v>
      </c>
      <c r="P906" s="31"/>
      <c r="Q906" s="11">
        <v>1</v>
      </c>
      <c r="S906" t="str">
        <f t="shared" si="13"/>
        <v>Term Grade: AB</v>
      </c>
    </row>
    <row r="907" spans="5:19">
      <c r="E907" s="36"/>
      <c r="F907" s="37"/>
      <c r="G907" s="11" t="s">
        <v>56</v>
      </c>
      <c r="H907" s="12">
        <v>4</v>
      </c>
      <c r="I907" s="12">
        <v>4</v>
      </c>
      <c r="J907" s="12">
        <v>4</v>
      </c>
      <c r="K907" s="12">
        <v>3</v>
      </c>
      <c r="L907" s="12">
        <v>3</v>
      </c>
      <c r="M907" s="12">
        <v>3</v>
      </c>
      <c r="N907" s="12">
        <v>2</v>
      </c>
      <c r="O907" s="30">
        <v>2</v>
      </c>
      <c r="P907" s="31"/>
      <c r="Q907" s="11">
        <v>25</v>
      </c>
      <c r="S907" t="str">
        <f t="shared" si="13"/>
        <v>M.C.No</v>
      </c>
    </row>
    <row r="908" spans="5:19">
      <c r="E908" s="13" t="s">
        <v>57</v>
      </c>
      <c r="F908" s="13">
        <v>6.42</v>
      </c>
      <c r="G908" s="11" t="s">
        <v>58</v>
      </c>
      <c r="H908" s="12">
        <v>6.5</v>
      </c>
      <c r="I908" s="12">
        <v>8</v>
      </c>
      <c r="J908" s="12">
        <v>5</v>
      </c>
      <c r="K908" s="12">
        <v>4.5</v>
      </c>
      <c r="L908" s="12">
        <v>6</v>
      </c>
      <c r="M908" s="12">
        <v>5</v>
      </c>
      <c r="N908" s="12">
        <v>8</v>
      </c>
      <c r="O908" s="30">
        <v>10</v>
      </c>
      <c r="P908" s="31"/>
      <c r="Q908" s="11" t="s">
        <v>37</v>
      </c>
      <c r="S908" t="str">
        <f t="shared" ref="S908:S971" si="14">$E914</f>
        <v/>
      </c>
    </row>
    <row r="909" spans="5:19">
      <c r="E909" s="13" t="s">
        <v>59</v>
      </c>
      <c r="F909" s="14">
        <v>6.42</v>
      </c>
      <c r="G909" s="11" t="s">
        <v>60</v>
      </c>
      <c r="H909" s="12">
        <v>26</v>
      </c>
      <c r="I909" s="12">
        <v>32</v>
      </c>
      <c r="J909" s="12">
        <v>20</v>
      </c>
      <c r="K909" s="12">
        <v>13.5</v>
      </c>
      <c r="L909" s="12">
        <v>18</v>
      </c>
      <c r="M909" s="12">
        <v>15</v>
      </c>
      <c r="N909" s="12">
        <v>16</v>
      </c>
      <c r="O909" s="30">
        <v>20</v>
      </c>
      <c r="P909" s="31"/>
      <c r="Q909" s="11">
        <v>160.5</v>
      </c>
      <c r="S909">
        <f t="shared" si="14"/>
        <v>0</v>
      </c>
    </row>
    <row r="910" spans="5:19">
      <c r="E910" s="32" t="s">
        <v>61</v>
      </c>
      <c r="F910" s="31"/>
      <c r="G910" s="11" t="s">
        <v>40</v>
      </c>
      <c r="H910" s="12">
        <v>61</v>
      </c>
      <c r="I910" s="12">
        <v>78</v>
      </c>
      <c r="J910" s="12">
        <v>48</v>
      </c>
      <c r="K910" s="12">
        <v>42</v>
      </c>
      <c r="L910" s="12">
        <v>55</v>
      </c>
      <c r="M910" s="12">
        <v>48</v>
      </c>
      <c r="N910" s="12">
        <v>38</v>
      </c>
      <c r="O910" s="30">
        <v>48</v>
      </c>
      <c r="P910" s="31"/>
      <c r="Q910" s="11">
        <v>418</v>
      </c>
      <c r="S910">
        <f t="shared" si="14"/>
        <v>0</v>
      </c>
    </row>
    <row r="911" spans="5:19">
      <c r="E911" s="13" t="s">
        <v>62</v>
      </c>
      <c r="F911" s="13"/>
      <c r="G911" s="11" t="s">
        <v>63</v>
      </c>
      <c r="H911" s="12">
        <v>100</v>
      </c>
      <c r="I911" s="12">
        <v>100</v>
      </c>
      <c r="J911" s="12">
        <v>100</v>
      </c>
      <c r="K911" s="12">
        <v>100</v>
      </c>
      <c r="L911" s="12">
        <v>100</v>
      </c>
      <c r="M911" s="12">
        <v>100</v>
      </c>
      <c r="N911" s="12">
        <v>50</v>
      </c>
      <c r="O911" s="30">
        <v>50</v>
      </c>
      <c r="P911" s="31"/>
      <c r="Q911" s="11">
        <v>700</v>
      </c>
      <c r="S911" t="str">
        <f t="shared" si="14"/>
        <v>Dr. B.B. Hegde First Grade College, Kundapura, Udupi.</v>
      </c>
    </row>
    <row r="912" spans="5:19">
      <c r="E912" s="32" t="s">
        <v>273</v>
      </c>
      <c r="F912" s="31"/>
      <c r="G912" s="11" t="s">
        <v>65</v>
      </c>
      <c r="H912" s="12" t="s">
        <v>69</v>
      </c>
      <c r="I912" s="12" t="s">
        <v>102</v>
      </c>
      <c r="J912" s="12" t="s">
        <v>127</v>
      </c>
      <c r="K912" s="12" t="s">
        <v>303</v>
      </c>
      <c r="L912" s="12" t="s">
        <v>103</v>
      </c>
      <c r="M912" s="12" t="s">
        <v>127</v>
      </c>
      <c r="N912" s="12" t="s">
        <v>102</v>
      </c>
      <c r="O912" s="30" t="s">
        <v>88</v>
      </c>
      <c r="P912" s="31"/>
      <c r="Q912" s="11" t="s">
        <v>37</v>
      </c>
      <c r="S912" t="str">
        <f t="shared" si="14"/>
        <v>00062</v>
      </c>
    </row>
    <row r="913" spans="5:19">
      <c r="E913" s="15" t="s">
        <v>72</v>
      </c>
      <c r="F913" s="15" t="s">
        <v>618</v>
      </c>
      <c r="G913" s="11" t="s">
        <v>74</v>
      </c>
      <c r="H913" s="12" t="s">
        <v>75</v>
      </c>
      <c r="I913" s="12" t="s">
        <v>75</v>
      </c>
      <c r="J913" s="12" t="s">
        <v>75</v>
      </c>
      <c r="K913" s="12" t="s">
        <v>75</v>
      </c>
      <c r="L913" s="12" t="s">
        <v>75</v>
      </c>
      <c r="M913" s="12" t="s">
        <v>75</v>
      </c>
      <c r="N913" s="12" t="s">
        <v>75</v>
      </c>
      <c r="O913" s="30" t="s">
        <v>75</v>
      </c>
      <c r="P913" s="31"/>
      <c r="Q913" s="11" t="s">
        <v>37</v>
      </c>
      <c r="S913" t="str">
        <f t="shared" si="14"/>
        <v>USN</v>
      </c>
    </row>
    <row r="914" spans="5:19">
      <c r="E914" s="16" t="s">
        <v>37</v>
      </c>
      <c r="F914" s="16" t="s">
        <v>37</v>
      </c>
      <c r="G914" s="16" t="s">
        <v>37</v>
      </c>
      <c r="H914" s="17" t="s">
        <v>37</v>
      </c>
      <c r="I914" s="17" t="s">
        <v>37</v>
      </c>
      <c r="J914" s="17" t="s">
        <v>37</v>
      </c>
      <c r="K914" s="17" t="s">
        <v>37</v>
      </c>
      <c r="L914" s="17" t="s">
        <v>37</v>
      </c>
      <c r="M914" s="17" t="s">
        <v>37</v>
      </c>
      <c r="N914" s="17" t="s">
        <v>37</v>
      </c>
      <c r="O914" s="41" t="s">
        <v>37</v>
      </c>
      <c r="P914" s="28"/>
      <c r="Q914" s="17" t="s">
        <v>37</v>
      </c>
      <c r="S914" t="str">
        <f t="shared" si="14"/>
        <v>SUSHANTHA SHETTY</v>
      </c>
    </row>
    <row r="915" spans="5:19" ht="0" hidden="1" customHeight="1">
      <c r="S915">
        <f t="shared" si="14"/>
        <v>0</v>
      </c>
    </row>
    <row r="916" spans="5:19" ht="0.6" customHeight="1">
      <c r="S916">
        <f t="shared" si="14"/>
        <v>0</v>
      </c>
    </row>
    <row r="917" spans="5:19">
      <c r="E917" s="38" t="s">
        <v>35</v>
      </c>
      <c r="F917" s="31"/>
      <c r="G917" s="4" t="s">
        <v>36</v>
      </c>
      <c r="H917" s="6" t="s">
        <v>37</v>
      </c>
      <c r="I917" s="6" t="s">
        <v>37</v>
      </c>
      <c r="J917" s="6" t="s">
        <v>37</v>
      </c>
      <c r="K917" s="6" t="s">
        <v>37</v>
      </c>
      <c r="L917" s="6" t="s">
        <v>37</v>
      </c>
      <c r="M917" s="6" t="s">
        <v>37</v>
      </c>
      <c r="N917" s="6" t="s">
        <v>37</v>
      </c>
      <c r="O917" s="39" t="s">
        <v>37</v>
      </c>
      <c r="P917" s="28"/>
      <c r="Q917" s="6" t="s">
        <v>37</v>
      </c>
      <c r="S917" t="str">
        <f t="shared" si="14"/>
        <v>SGPA</v>
      </c>
    </row>
    <row r="918" spans="5:19" ht="21">
      <c r="E918" s="32" t="s">
        <v>619</v>
      </c>
      <c r="F918" s="31"/>
      <c r="G918" s="8" t="s">
        <v>39</v>
      </c>
      <c r="H918" s="8" t="s">
        <v>19</v>
      </c>
      <c r="I918" s="8" t="s">
        <v>9</v>
      </c>
      <c r="J918" s="8" t="s">
        <v>21</v>
      </c>
      <c r="K918" s="8" t="s">
        <v>11</v>
      </c>
      <c r="L918" s="8" t="s">
        <v>17</v>
      </c>
      <c r="M918" s="8" t="s">
        <v>27</v>
      </c>
      <c r="N918" s="8" t="s">
        <v>7</v>
      </c>
      <c r="O918" s="40" t="s">
        <v>23</v>
      </c>
      <c r="P918" s="31"/>
      <c r="Q918" s="8" t="s">
        <v>40</v>
      </c>
      <c r="S918" t="str">
        <f t="shared" si="14"/>
        <v>CGPA</v>
      </c>
    </row>
    <row r="919" spans="5:19" ht="22.5">
      <c r="E919" s="13" t="s">
        <v>41</v>
      </c>
      <c r="F919" s="13" t="s">
        <v>620</v>
      </c>
      <c r="G919" s="11" t="s">
        <v>43</v>
      </c>
      <c r="H919" s="12" t="s">
        <v>234</v>
      </c>
      <c r="I919" s="12" t="s">
        <v>448</v>
      </c>
      <c r="J919" s="12" t="s">
        <v>241</v>
      </c>
      <c r="K919" s="12" t="s">
        <v>621</v>
      </c>
      <c r="L919" s="12" t="s">
        <v>622</v>
      </c>
      <c r="M919" s="12" t="s">
        <v>193</v>
      </c>
      <c r="N919" s="12" t="s">
        <v>176</v>
      </c>
      <c r="O919" s="30" t="s">
        <v>51</v>
      </c>
      <c r="P919" s="31"/>
      <c r="Q919" s="11" t="s">
        <v>37</v>
      </c>
      <c r="S919" t="str">
        <f t="shared" si="14"/>
        <v>Result: PASS</v>
      </c>
    </row>
    <row r="920" spans="5:19">
      <c r="E920" s="32" t="s">
        <v>623</v>
      </c>
      <c r="F920" s="33"/>
      <c r="G920" s="11" t="s">
        <v>53</v>
      </c>
      <c r="H920" s="12" t="s">
        <v>51</v>
      </c>
      <c r="I920" s="12" t="s">
        <v>51</v>
      </c>
      <c r="J920" s="12" t="s">
        <v>51</v>
      </c>
      <c r="K920" s="12" t="s">
        <v>51</v>
      </c>
      <c r="L920" s="12" t="s">
        <v>51</v>
      </c>
      <c r="M920" s="12" t="s">
        <v>51</v>
      </c>
      <c r="N920" s="12" t="s">
        <v>51</v>
      </c>
      <c r="O920" s="30" t="s">
        <v>259</v>
      </c>
      <c r="P920" s="31"/>
      <c r="Q920" s="11" t="s">
        <v>37</v>
      </c>
      <c r="S920" t="str">
        <f t="shared" si="14"/>
        <v>Class</v>
      </c>
    </row>
    <row r="921" spans="5:19">
      <c r="E921" s="34"/>
      <c r="F921" s="35"/>
      <c r="G921" s="11" t="s">
        <v>55</v>
      </c>
      <c r="H921" s="12" t="s">
        <v>37</v>
      </c>
      <c r="I921" s="12" t="s">
        <v>37</v>
      </c>
      <c r="J921" s="12" t="s">
        <v>37</v>
      </c>
      <c r="K921" s="12" t="s">
        <v>37</v>
      </c>
      <c r="L921" s="12" t="s">
        <v>37</v>
      </c>
      <c r="M921" s="12" t="s">
        <v>37</v>
      </c>
      <c r="N921" s="12" t="s">
        <v>37</v>
      </c>
      <c r="O921" s="30" t="s">
        <v>37</v>
      </c>
      <c r="P921" s="31"/>
      <c r="Q921" s="11">
        <v>0</v>
      </c>
      <c r="S921" t="str">
        <f t="shared" si="14"/>
        <v>Term Grade: AA+</v>
      </c>
    </row>
    <row r="922" spans="5:19">
      <c r="E922" s="36"/>
      <c r="F922" s="37"/>
      <c r="G922" s="11" t="s">
        <v>56</v>
      </c>
      <c r="H922" s="12">
        <v>4</v>
      </c>
      <c r="I922" s="12">
        <v>4</v>
      </c>
      <c r="J922" s="12">
        <v>4</v>
      </c>
      <c r="K922" s="12">
        <v>3</v>
      </c>
      <c r="L922" s="12">
        <v>3</v>
      </c>
      <c r="M922" s="12">
        <v>3</v>
      </c>
      <c r="N922" s="12">
        <v>2</v>
      </c>
      <c r="O922" s="30">
        <v>2</v>
      </c>
      <c r="P922" s="31"/>
      <c r="Q922" s="11">
        <v>25</v>
      </c>
      <c r="S922" t="str">
        <f t="shared" si="14"/>
        <v>M.C.No</v>
      </c>
    </row>
    <row r="923" spans="5:19">
      <c r="E923" s="13" t="s">
        <v>57</v>
      </c>
      <c r="F923" s="13">
        <v>7.68</v>
      </c>
      <c r="G923" s="11" t="s">
        <v>58</v>
      </c>
      <c r="H923" s="12">
        <v>7.5</v>
      </c>
      <c r="I923" s="12">
        <v>8</v>
      </c>
      <c r="J923" s="12">
        <v>7.5</v>
      </c>
      <c r="K923" s="12">
        <v>6</v>
      </c>
      <c r="L923" s="12">
        <v>8</v>
      </c>
      <c r="M923" s="12">
        <v>7</v>
      </c>
      <c r="N923" s="12">
        <v>10</v>
      </c>
      <c r="O923" s="30">
        <v>8.5</v>
      </c>
      <c r="P923" s="31"/>
      <c r="Q923" s="11" t="s">
        <v>37</v>
      </c>
      <c r="S923" t="str">
        <f t="shared" si="14"/>
        <v/>
      </c>
    </row>
    <row r="924" spans="5:19">
      <c r="E924" s="13" t="s">
        <v>59</v>
      </c>
      <c r="F924" s="14">
        <v>7.68</v>
      </c>
      <c r="G924" s="11" t="s">
        <v>60</v>
      </c>
      <c r="H924" s="12">
        <v>30</v>
      </c>
      <c r="I924" s="12">
        <v>32</v>
      </c>
      <c r="J924" s="12">
        <v>30</v>
      </c>
      <c r="K924" s="12">
        <v>18</v>
      </c>
      <c r="L924" s="12">
        <v>24</v>
      </c>
      <c r="M924" s="12">
        <v>21</v>
      </c>
      <c r="N924" s="12">
        <v>20</v>
      </c>
      <c r="O924" s="30">
        <v>17</v>
      </c>
      <c r="P924" s="31"/>
      <c r="Q924" s="11">
        <v>192</v>
      </c>
      <c r="S924">
        <f t="shared" si="14"/>
        <v>0</v>
      </c>
    </row>
    <row r="925" spans="5:19">
      <c r="E925" s="32" t="s">
        <v>61</v>
      </c>
      <c r="F925" s="31"/>
      <c r="G925" s="11" t="s">
        <v>40</v>
      </c>
      <c r="H925" s="12">
        <v>72</v>
      </c>
      <c r="I925" s="12">
        <v>77</v>
      </c>
      <c r="J925" s="12">
        <v>74</v>
      </c>
      <c r="K925" s="12">
        <v>55</v>
      </c>
      <c r="L925" s="12">
        <v>79</v>
      </c>
      <c r="M925" s="12">
        <v>68</v>
      </c>
      <c r="N925" s="12">
        <v>48</v>
      </c>
      <c r="O925" s="30">
        <v>42</v>
      </c>
      <c r="P925" s="31"/>
      <c r="Q925" s="11">
        <v>515</v>
      </c>
      <c r="S925">
        <f t="shared" si="14"/>
        <v>0</v>
      </c>
    </row>
    <row r="926" spans="5:19">
      <c r="E926" s="13" t="s">
        <v>62</v>
      </c>
      <c r="F926" s="13"/>
      <c r="G926" s="11" t="s">
        <v>63</v>
      </c>
      <c r="H926" s="12">
        <v>100</v>
      </c>
      <c r="I926" s="12">
        <v>100</v>
      </c>
      <c r="J926" s="12">
        <v>100</v>
      </c>
      <c r="K926" s="12">
        <v>100</v>
      </c>
      <c r="L926" s="12">
        <v>100</v>
      </c>
      <c r="M926" s="12">
        <v>100</v>
      </c>
      <c r="N926" s="12">
        <v>50</v>
      </c>
      <c r="O926" s="30">
        <v>50</v>
      </c>
      <c r="P926" s="31"/>
      <c r="Q926" s="11">
        <v>700</v>
      </c>
      <c r="S926" t="str">
        <f t="shared" si="14"/>
        <v>Dr. B.B. Hegde First Grade College, Kundapura, Udupi.</v>
      </c>
    </row>
    <row r="927" spans="5:19">
      <c r="E927" s="32" t="s">
        <v>64</v>
      </c>
      <c r="F927" s="31"/>
      <c r="G927" s="11" t="s">
        <v>65</v>
      </c>
      <c r="H927" s="12" t="s">
        <v>68</v>
      </c>
      <c r="I927" s="12" t="s">
        <v>102</v>
      </c>
      <c r="J927" s="12" t="s">
        <v>68</v>
      </c>
      <c r="K927" s="12" t="s">
        <v>103</v>
      </c>
      <c r="L927" s="12" t="s">
        <v>102</v>
      </c>
      <c r="M927" s="12" t="s">
        <v>66</v>
      </c>
      <c r="N927" s="12" t="s">
        <v>88</v>
      </c>
      <c r="O927" s="30" t="s">
        <v>70</v>
      </c>
      <c r="P927" s="31"/>
      <c r="Q927" s="11" t="s">
        <v>37</v>
      </c>
      <c r="S927" t="str">
        <f t="shared" si="14"/>
        <v>00063</v>
      </c>
    </row>
    <row r="928" spans="5:19">
      <c r="E928" s="15" t="s">
        <v>72</v>
      </c>
      <c r="F928" s="15" t="s">
        <v>624</v>
      </c>
      <c r="G928" s="11" t="s">
        <v>74</v>
      </c>
      <c r="H928" s="12" t="s">
        <v>75</v>
      </c>
      <c r="I928" s="12" t="s">
        <v>75</v>
      </c>
      <c r="J928" s="12" t="s">
        <v>75</v>
      </c>
      <c r="K928" s="12" t="s">
        <v>75</v>
      </c>
      <c r="L928" s="12" t="s">
        <v>75</v>
      </c>
      <c r="M928" s="12" t="s">
        <v>75</v>
      </c>
      <c r="N928" s="12" t="s">
        <v>75</v>
      </c>
      <c r="O928" s="30" t="s">
        <v>75</v>
      </c>
      <c r="P928" s="31"/>
      <c r="Q928" s="11" t="s">
        <v>37</v>
      </c>
      <c r="S928" t="str">
        <f t="shared" si="14"/>
        <v>USN</v>
      </c>
    </row>
    <row r="929" spans="5:19">
      <c r="E929" s="16" t="s">
        <v>37</v>
      </c>
      <c r="F929" s="16" t="s">
        <v>37</v>
      </c>
      <c r="G929" s="16" t="s">
        <v>37</v>
      </c>
      <c r="H929" s="17" t="s">
        <v>37</v>
      </c>
      <c r="I929" s="17" t="s">
        <v>37</v>
      </c>
      <c r="J929" s="17" t="s">
        <v>37</v>
      </c>
      <c r="K929" s="17" t="s">
        <v>37</v>
      </c>
      <c r="L929" s="17" t="s">
        <v>37</v>
      </c>
      <c r="M929" s="17" t="s">
        <v>37</v>
      </c>
      <c r="N929" s="17" t="s">
        <v>37</v>
      </c>
      <c r="O929" s="41" t="s">
        <v>37</v>
      </c>
      <c r="P929" s="28"/>
      <c r="Q929" s="17" t="s">
        <v>37</v>
      </c>
      <c r="S929" t="str">
        <f t="shared" si="14"/>
        <v>VISHNU</v>
      </c>
    </row>
    <row r="930" spans="5:19" ht="0" hidden="1" customHeight="1">
      <c r="S930">
        <f t="shared" si="14"/>
        <v>0</v>
      </c>
    </row>
    <row r="931" spans="5:19" ht="0.6" customHeight="1">
      <c r="S931">
        <f t="shared" si="14"/>
        <v>0</v>
      </c>
    </row>
    <row r="932" spans="5:19">
      <c r="E932" s="38" t="s">
        <v>35</v>
      </c>
      <c r="F932" s="31"/>
      <c r="G932" s="4" t="s">
        <v>36</v>
      </c>
      <c r="H932" s="6" t="s">
        <v>37</v>
      </c>
      <c r="I932" s="6" t="s">
        <v>37</v>
      </c>
      <c r="J932" s="6" t="s">
        <v>37</v>
      </c>
      <c r="K932" s="6" t="s">
        <v>37</v>
      </c>
      <c r="L932" s="6" t="s">
        <v>37</v>
      </c>
      <c r="M932" s="6" t="s">
        <v>37</v>
      </c>
      <c r="N932" s="6" t="s">
        <v>37</v>
      </c>
      <c r="O932" s="39" t="s">
        <v>37</v>
      </c>
      <c r="P932" s="28"/>
      <c r="Q932" s="6" t="s">
        <v>37</v>
      </c>
      <c r="S932" t="str">
        <f t="shared" si="14"/>
        <v>SGPA</v>
      </c>
    </row>
    <row r="933" spans="5:19" ht="21">
      <c r="E933" s="32" t="s">
        <v>625</v>
      </c>
      <c r="F933" s="31"/>
      <c r="G933" s="8" t="s">
        <v>39</v>
      </c>
      <c r="H933" s="8" t="s">
        <v>19</v>
      </c>
      <c r="I933" s="8" t="s">
        <v>9</v>
      </c>
      <c r="J933" s="8" t="s">
        <v>21</v>
      </c>
      <c r="K933" s="8" t="s">
        <v>11</v>
      </c>
      <c r="L933" s="8" t="s">
        <v>17</v>
      </c>
      <c r="M933" s="8" t="s">
        <v>27</v>
      </c>
      <c r="N933" s="8" t="s">
        <v>7</v>
      </c>
      <c r="O933" s="40" t="s">
        <v>23</v>
      </c>
      <c r="P933" s="31"/>
      <c r="Q933" s="8" t="s">
        <v>40</v>
      </c>
      <c r="S933" t="str">
        <f t="shared" si="14"/>
        <v>CGPA</v>
      </c>
    </row>
    <row r="934" spans="5:19" ht="22.5">
      <c r="E934" s="13" t="s">
        <v>41</v>
      </c>
      <c r="F934" s="13" t="s">
        <v>626</v>
      </c>
      <c r="G934" s="11" t="s">
        <v>43</v>
      </c>
      <c r="H934" s="12" t="s">
        <v>121</v>
      </c>
      <c r="I934" s="12" t="s">
        <v>193</v>
      </c>
      <c r="J934" s="12" t="s">
        <v>564</v>
      </c>
      <c r="K934" s="12" t="s">
        <v>627</v>
      </c>
      <c r="L934" s="12" t="s">
        <v>628</v>
      </c>
      <c r="M934" s="12" t="s">
        <v>629</v>
      </c>
      <c r="N934" s="12" t="s">
        <v>578</v>
      </c>
      <c r="O934" s="30" t="s">
        <v>51</v>
      </c>
      <c r="P934" s="31"/>
      <c r="Q934" s="11" t="s">
        <v>37</v>
      </c>
      <c r="S934" t="str">
        <f t="shared" si="14"/>
        <v>Result: PASS</v>
      </c>
    </row>
    <row r="935" spans="5:19">
      <c r="E935" s="32" t="s">
        <v>630</v>
      </c>
      <c r="F935" s="33"/>
      <c r="G935" s="11" t="s">
        <v>53</v>
      </c>
      <c r="H935" s="12" t="s">
        <v>51</v>
      </c>
      <c r="I935" s="12" t="s">
        <v>51</v>
      </c>
      <c r="J935" s="12" t="s">
        <v>51</v>
      </c>
      <c r="K935" s="12" t="s">
        <v>51</v>
      </c>
      <c r="L935" s="12" t="s">
        <v>51</v>
      </c>
      <c r="M935" s="12" t="s">
        <v>51</v>
      </c>
      <c r="N935" s="12" t="s">
        <v>51</v>
      </c>
      <c r="O935" s="30" t="s">
        <v>631</v>
      </c>
      <c r="P935" s="31"/>
      <c r="Q935" s="11" t="s">
        <v>37</v>
      </c>
      <c r="S935" t="str">
        <f t="shared" si="14"/>
        <v>Class</v>
      </c>
    </row>
    <row r="936" spans="5:19">
      <c r="E936" s="34"/>
      <c r="F936" s="35"/>
      <c r="G936" s="11" t="s">
        <v>55</v>
      </c>
      <c r="H936" s="12" t="s">
        <v>37</v>
      </c>
      <c r="I936" s="12" t="s">
        <v>37</v>
      </c>
      <c r="J936" s="12" t="s">
        <v>37</v>
      </c>
      <c r="K936" s="12" t="s">
        <v>37</v>
      </c>
      <c r="L936" s="12" t="s">
        <v>37</v>
      </c>
      <c r="M936" s="12" t="s">
        <v>37</v>
      </c>
      <c r="N936" s="12" t="s">
        <v>37</v>
      </c>
      <c r="O936" s="30" t="s">
        <v>37</v>
      </c>
      <c r="P936" s="31"/>
      <c r="Q936" s="11">
        <v>0</v>
      </c>
      <c r="S936" t="str">
        <f t="shared" si="14"/>
        <v>Term Grade: AB</v>
      </c>
    </row>
    <row r="937" spans="5:19">
      <c r="E937" s="36"/>
      <c r="F937" s="37"/>
      <c r="G937" s="11" t="s">
        <v>56</v>
      </c>
      <c r="H937" s="12">
        <v>4</v>
      </c>
      <c r="I937" s="12">
        <v>4</v>
      </c>
      <c r="J937" s="12">
        <v>4</v>
      </c>
      <c r="K937" s="12">
        <v>3</v>
      </c>
      <c r="L937" s="12">
        <v>3</v>
      </c>
      <c r="M937" s="12">
        <v>3</v>
      </c>
      <c r="N937" s="12">
        <v>2</v>
      </c>
      <c r="O937" s="30">
        <v>2</v>
      </c>
      <c r="P937" s="31"/>
      <c r="Q937" s="11">
        <v>25</v>
      </c>
      <c r="S937" t="str">
        <f t="shared" si="14"/>
        <v>M.C.No</v>
      </c>
    </row>
    <row r="938" spans="5:19">
      <c r="E938" s="13" t="s">
        <v>57</v>
      </c>
      <c r="F938" s="13">
        <v>6.12</v>
      </c>
      <c r="G938" s="11" t="s">
        <v>58</v>
      </c>
      <c r="H938" s="12">
        <v>7</v>
      </c>
      <c r="I938" s="12">
        <v>7</v>
      </c>
      <c r="J938" s="12">
        <v>5</v>
      </c>
      <c r="K938" s="12">
        <v>5</v>
      </c>
      <c r="L938" s="12">
        <v>5.5</v>
      </c>
      <c r="M938" s="12">
        <v>4.5</v>
      </c>
      <c r="N938" s="12">
        <v>8.5</v>
      </c>
      <c r="O938" s="30">
        <v>7.5</v>
      </c>
      <c r="P938" s="31"/>
      <c r="Q938" s="11" t="s">
        <v>37</v>
      </c>
      <c r="S938" t="str">
        <f t="shared" si="14"/>
        <v/>
      </c>
    </row>
    <row r="939" spans="5:19">
      <c r="E939" s="13" t="s">
        <v>59</v>
      </c>
      <c r="F939" s="14">
        <v>6.12</v>
      </c>
      <c r="G939" s="11" t="s">
        <v>60</v>
      </c>
      <c r="H939" s="12">
        <v>28</v>
      </c>
      <c r="I939" s="12">
        <v>28</v>
      </c>
      <c r="J939" s="12">
        <v>20</v>
      </c>
      <c r="K939" s="12">
        <v>15</v>
      </c>
      <c r="L939" s="12">
        <v>16.5</v>
      </c>
      <c r="M939" s="12">
        <v>13.5</v>
      </c>
      <c r="N939" s="12">
        <v>17</v>
      </c>
      <c r="O939" s="30">
        <v>15</v>
      </c>
      <c r="P939" s="31"/>
      <c r="Q939" s="11">
        <v>153</v>
      </c>
      <c r="S939">
        <f t="shared" si="14"/>
        <v>0</v>
      </c>
    </row>
    <row r="940" spans="5:19">
      <c r="E940" s="32" t="s">
        <v>61</v>
      </c>
      <c r="F940" s="31"/>
      <c r="G940" s="11" t="s">
        <v>40</v>
      </c>
      <c r="H940" s="12">
        <v>65</v>
      </c>
      <c r="I940" s="12">
        <v>68</v>
      </c>
      <c r="J940" s="12">
        <v>49</v>
      </c>
      <c r="K940" s="12">
        <v>45</v>
      </c>
      <c r="L940" s="12">
        <v>50</v>
      </c>
      <c r="M940" s="12">
        <v>41</v>
      </c>
      <c r="N940" s="12">
        <v>42</v>
      </c>
      <c r="O940" s="30">
        <v>36</v>
      </c>
      <c r="P940" s="31"/>
      <c r="Q940" s="11">
        <v>396</v>
      </c>
      <c r="S940">
        <f t="shared" si="14"/>
        <v>0</v>
      </c>
    </row>
    <row r="941" spans="5:19">
      <c r="E941" s="13" t="s">
        <v>62</v>
      </c>
      <c r="F941" s="13"/>
      <c r="G941" s="11" t="s">
        <v>63</v>
      </c>
      <c r="H941" s="12">
        <v>100</v>
      </c>
      <c r="I941" s="12">
        <v>100</v>
      </c>
      <c r="J941" s="12">
        <v>100</v>
      </c>
      <c r="K941" s="12">
        <v>100</v>
      </c>
      <c r="L941" s="12">
        <v>100</v>
      </c>
      <c r="M941" s="12">
        <v>100</v>
      </c>
      <c r="N941" s="12">
        <v>50</v>
      </c>
      <c r="O941" s="30">
        <v>50</v>
      </c>
      <c r="P941" s="31"/>
      <c r="Q941" s="11">
        <v>700</v>
      </c>
      <c r="S941" t="str">
        <f t="shared" si="14"/>
        <v>Dr. B.B. Hegde First Grade College, Kundapura, Udupi.</v>
      </c>
    </row>
    <row r="942" spans="5:19">
      <c r="E942" s="32" t="s">
        <v>273</v>
      </c>
      <c r="F942" s="31"/>
      <c r="G942" s="11" t="s">
        <v>65</v>
      </c>
      <c r="H942" s="12" t="s">
        <v>66</v>
      </c>
      <c r="I942" s="12" t="s">
        <v>66</v>
      </c>
      <c r="J942" s="12" t="s">
        <v>127</v>
      </c>
      <c r="K942" s="12" t="s">
        <v>127</v>
      </c>
      <c r="L942" s="12" t="s">
        <v>138</v>
      </c>
      <c r="M942" s="12" t="s">
        <v>303</v>
      </c>
      <c r="N942" s="12" t="s">
        <v>70</v>
      </c>
      <c r="O942" s="30" t="s">
        <v>68</v>
      </c>
      <c r="P942" s="31"/>
      <c r="Q942" s="11" t="s">
        <v>37</v>
      </c>
      <c r="S942" t="str">
        <f t="shared" si="14"/>
        <v>00064</v>
      </c>
    </row>
    <row r="943" spans="5:19">
      <c r="E943" s="15" t="s">
        <v>72</v>
      </c>
      <c r="F943" s="15" t="s">
        <v>632</v>
      </c>
      <c r="G943" s="11" t="s">
        <v>74</v>
      </c>
      <c r="H943" s="12" t="s">
        <v>75</v>
      </c>
      <c r="I943" s="12" t="s">
        <v>75</v>
      </c>
      <c r="J943" s="12" t="s">
        <v>75</v>
      </c>
      <c r="K943" s="12" t="s">
        <v>75</v>
      </c>
      <c r="L943" s="12" t="s">
        <v>75</v>
      </c>
      <c r="M943" s="12" t="s">
        <v>75</v>
      </c>
      <c r="N943" s="12" t="s">
        <v>75</v>
      </c>
      <c r="O943" s="30" t="s">
        <v>75</v>
      </c>
      <c r="P943" s="31"/>
      <c r="Q943" s="11" t="s">
        <v>37</v>
      </c>
      <c r="S943" t="str">
        <f t="shared" si="14"/>
        <v>USN</v>
      </c>
    </row>
    <row r="944" spans="5:19">
      <c r="E944" s="16" t="s">
        <v>37</v>
      </c>
      <c r="F944" s="16" t="s">
        <v>37</v>
      </c>
      <c r="G944" s="16" t="s">
        <v>37</v>
      </c>
      <c r="H944" s="17" t="s">
        <v>37</v>
      </c>
      <c r="I944" s="17" t="s">
        <v>37</v>
      </c>
      <c r="J944" s="17" t="s">
        <v>37</v>
      </c>
      <c r="K944" s="17" t="s">
        <v>37</v>
      </c>
      <c r="L944" s="17" t="s">
        <v>37</v>
      </c>
      <c r="M944" s="17" t="s">
        <v>37</v>
      </c>
      <c r="N944" s="17" t="s">
        <v>37</v>
      </c>
      <c r="O944" s="41" t="s">
        <v>37</v>
      </c>
      <c r="P944" s="28"/>
      <c r="Q944" s="17" t="s">
        <v>37</v>
      </c>
      <c r="S944" t="str">
        <f t="shared" si="14"/>
        <v>SAGAR</v>
      </c>
    </row>
    <row r="945" spans="5:19" ht="0" hidden="1" customHeight="1">
      <c r="S945">
        <f t="shared" si="14"/>
        <v>0</v>
      </c>
    </row>
    <row r="946" spans="5:19" ht="0.6" customHeight="1">
      <c r="S946">
        <f t="shared" si="14"/>
        <v>0</v>
      </c>
    </row>
    <row r="947" spans="5:19">
      <c r="E947" s="38" t="s">
        <v>35</v>
      </c>
      <c r="F947" s="31"/>
      <c r="G947" s="4" t="s">
        <v>36</v>
      </c>
      <c r="H947" s="6" t="s">
        <v>37</v>
      </c>
      <c r="I947" s="6" t="s">
        <v>37</v>
      </c>
      <c r="J947" s="6" t="s">
        <v>37</v>
      </c>
      <c r="K947" s="6" t="s">
        <v>37</v>
      </c>
      <c r="L947" s="6" t="s">
        <v>37</v>
      </c>
      <c r="M947" s="6" t="s">
        <v>37</v>
      </c>
      <c r="N947" s="6" t="s">
        <v>37</v>
      </c>
      <c r="O947" s="39" t="s">
        <v>37</v>
      </c>
      <c r="P947" s="28"/>
      <c r="Q947" s="6" t="s">
        <v>37</v>
      </c>
      <c r="S947" t="str">
        <f t="shared" si="14"/>
        <v>SGPA</v>
      </c>
    </row>
    <row r="948" spans="5:19" ht="21">
      <c r="E948" s="32" t="s">
        <v>633</v>
      </c>
      <c r="F948" s="31"/>
      <c r="G948" s="8" t="s">
        <v>39</v>
      </c>
      <c r="H948" s="8" t="s">
        <v>19</v>
      </c>
      <c r="I948" s="8" t="s">
        <v>9</v>
      </c>
      <c r="J948" s="8" t="s">
        <v>21</v>
      </c>
      <c r="K948" s="8" t="s">
        <v>11</v>
      </c>
      <c r="L948" s="8" t="s">
        <v>17</v>
      </c>
      <c r="M948" s="8" t="s">
        <v>27</v>
      </c>
      <c r="N948" s="8" t="s">
        <v>7</v>
      </c>
      <c r="O948" s="40" t="s">
        <v>33</v>
      </c>
      <c r="P948" s="31"/>
      <c r="Q948" s="8" t="s">
        <v>40</v>
      </c>
      <c r="S948" t="str">
        <f t="shared" si="14"/>
        <v>CGPA</v>
      </c>
    </row>
    <row r="949" spans="5:19" ht="22.5">
      <c r="E949" s="13" t="s">
        <v>41</v>
      </c>
      <c r="F949" s="13" t="s">
        <v>634</v>
      </c>
      <c r="G949" s="11" t="s">
        <v>43</v>
      </c>
      <c r="H949" s="12" t="s">
        <v>323</v>
      </c>
      <c r="I949" s="12" t="s">
        <v>183</v>
      </c>
      <c r="J949" s="12" t="s">
        <v>635</v>
      </c>
      <c r="K949" s="12" t="s">
        <v>132</v>
      </c>
      <c r="L949" s="12" t="s">
        <v>636</v>
      </c>
      <c r="M949" s="12" t="s">
        <v>80</v>
      </c>
      <c r="N949" s="12" t="s">
        <v>50</v>
      </c>
      <c r="O949" s="30" t="s">
        <v>51</v>
      </c>
      <c r="P949" s="31"/>
      <c r="Q949" s="11" t="s">
        <v>37</v>
      </c>
      <c r="S949" t="str">
        <f t="shared" si="14"/>
        <v>Result: PASS</v>
      </c>
    </row>
    <row r="950" spans="5:19">
      <c r="E950" s="32" t="s">
        <v>637</v>
      </c>
      <c r="F950" s="33"/>
      <c r="G950" s="11" t="s">
        <v>53</v>
      </c>
      <c r="H950" s="12" t="s">
        <v>51</v>
      </c>
      <c r="I950" s="12" t="s">
        <v>51</v>
      </c>
      <c r="J950" s="12" t="s">
        <v>51</v>
      </c>
      <c r="K950" s="12" t="s">
        <v>51</v>
      </c>
      <c r="L950" s="12" t="s">
        <v>51</v>
      </c>
      <c r="M950" s="12" t="s">
        <v>51</v>
      </c>
      <c r="N950" s="12" t="s">
        <v>51</v>
      </c>
      <c r="O950" s="30" t="s">
        <v>54</v>
      </c>
      <c r="P950" s="31"/>
      <c r="Q950" s="11" t="s">
        <v>37</v>
      </c>
      <c r="S950" t="str">
        <f t="shared" si="14"/>
        <v>Class</v>
      </c>
    </row>
    <row r="951" spans="5:19">
      <c r="E951" s="34"/>
      <c r="F951" s="35"/>
      <c r="G951" s="11" t="s">
        <v>55</v>
      </c>
      <c r="H951" s="12" t="s">
        <v>37</v>
      </c>
      <c r="I951" s="12" t="s">
        <v>37</v>
      </c>
      <c r="J951" s="12" t="s">
        <v>37</v>
      </c>
      <c r="K951" s="12" t="s">
        <v>37</v>
      </c>
      <c r="L951" s="12" t="s">
        <v>37</v>
      </c>
      <c r="M951" s="12" t="s">
        <v>37</v>
      </c>
      <c r="N951" s="12" t="s">
        <v>37</v>
      </c>
      <c r="O951" s="30" t="s">
        <v>37</v>
      </c>
      <c r="P951" s="31"/>
      <c r="Q951" s="11">
        <v>0</v>
      </c>
      <c r="S951" t="str">
        <f t="shared" si="14"/>
        <v>Term Grade: OA+</v>
      </c>
    </row>
    <row r="952" spans="5:19">
      <c r="E952" s="36"/>
      <c r="F952" s="37"/>
      <c r="G952" s="11" t="s">
        <v>56</v>
      </c>
      <c r="H952" s="12">
        <v>4</v>
      </c>
      <c r="I952" s="12">
        <v>4</v>
      </c>
      <c r="J952" s="12">
        <v>4</v>
      </c>
      <c r="K952" s="12">
        <v>3</v>
      </c>
      <c r="L952" s="12">
        <v>3</v>
      </c>
      <c r="M952" s="12">
        <v>3</v>
      </c>
      <c r="N952" s="12">
        <v>2</v>
      </c>
      <c r="O952" s="30">
        <v>2</v>
      </c>
      <c r="P952" s="31"/>
      <c r="Q952" s="11">
        <v>25</v>
      </c>
      <c r="S952" t="str">
        <f t="shared" si="14"/>
        <v>M.C.No</v>
      </c>
    </row>
    <row r="953" spans="5:19">
      <c r="E953" s="13" t="s">
        <v>57</v>
      </c>
      <c r="F953" s="13">
        <v>8.92</v>
      </c>
      <c r="G953" s="11" t="s">
        <v>58</v>
      </c>
      <c r="H953" s="12">
        <v>9</v>
      </c>
      <c r="I953" s="12">
        <v>9.5</v>
      </c>
      <c r="J953" s="12">
        <v>9</v>
      </c>
      <c r="K953" s="12">
        <v>7.5</v>
      </c>
      <c r="L953" s="12">
        <v>8.5</v>
      </c>
      <c r="M953" s="12">
        <v>9</v>
      </c>
      <c r="N953" s="12">
        <v>9.5</v>
      </c>
      <c r="O953" s="30">
        <v>9.5</v>
      </c>
      <c r="P953" s="31"/>
      <c r="Q953" s="11" t="s">
        <v>37</v>
      </c>
      <c r="S953" t="str">
        <f t="shared" si="14"/>
        <v/>
      </c>
    </row>
    <row r="954" spans="5:19">
      <c r="E954" s="13" t="s">
        <v>59</v>
      </c>
      <c r="F954" s="14">
        <v>8.92</v>
      </c>
      <c r="G954" s="11" t="s">
        <v>60</v>
      </c>
      <c r="H954" s="12">
        <v>36</v>
      </c>
      <c r="I954" s="12">
        <v>38</v>
      </c>
      <c r="J954" s="12">
        <v>36</v>
      </c>
      <c r="K954" s="12">
        <v>22.5</v>
      </c>
      <c r="L954" s="12">
        <v>25.5</v>
      </c>
      <c r="M954" s="12">
        <v>27</v>
      </c>
      <c r="N954" s="12">
        <v>19</v>
      </c>
      <c r="O954" s="30">
        <v>19</v>
      </c>
      <c r="P954" s="31"/>
      <c r="Q954" s="11">
        <v>223</v>
      </c>
      <c r="S954">
        <f t="shared" si="14"/>
        <v>0</v>
      </c>
    </row>
    <row r="955" spans="5:19">
      <c r="E955" s="32" t="s">
        <v>61</v>
      </c>
      <c r="F955" s="31"/>
      <c r="G955" s="11" t="s">
        <v>40</v>
      </c>
      <c r="H955" s="12">
        <v>85</v>
      </c>
      <c r="I955" s="12">
        <v>94</v>
      </c>
      <c r="J955" s="12">
        <v>88</v>
      </c>
      <c r="K955" s="12">
        <v>73</v>
      </c>
      <c r="L955" s="12">
        <v>83</v>
      </c>
      <c r="M955" s="12">
        <v>88</v>
      </c>
      <c r="N955" s="12">
        <v>45</v>
      </c>
      <c r="O955" s="30">
        <v>45</v>
      </c>
      <c r="P955" s="31"/>
      <c r="Q955" s="11">
        <v>601</v>
      </c>
      <c r="S955">
        <f t="shared" si="14"/>
        <v>0</v>
      </c>
    </row>
    <row r="956" spans="5:19">
      <c r="E956" s="13" t="s">
        <v>62</v>
      </c>
      <c r="F956" s="13"/>
      <c r="G956" s="11" t="s">
        <v>63</v>
      </c>
      <c r="H956" s="12">
        <v>100</v>
      </c>
      <c r="I956" s="12">
        <v>100</v>
      </c>
      <c r="J956" s="12">
        <v>100</v>
      </c>
      <c r="K956" s="12">
        <v>100</v>
      </c>
      <c r="L956" s="12">
        <v>100</v>
      </c>
      <c r="M956" s="12">
        <v>100</v>
      </c>
      <c r="N956" s="12">
        <v>50</v>
      </c>
      <c r="O956" s="30">
        <v>50</v>
      </c>
      <c r="P956" s="31"/>
      <c r="Q956" s="11">
        <v>700</v>
      </c>
      <c r="S956" t="str">
        <f t="shared" si="14"/>
        <v>Dr. B.B. Hegde First Grade College, Kundapura, Udupi.</v>
      </c>
    </row>
    <row r="957" spans="5:19">
      <c r="E957" s="32" t="s">
        <v>188</v>
      </c>
      <c r="F957" s="31"/>
      <c r="G957" s="11" t="s">
        <v>65</v>
      </c>
      <c r="H957" s="12" t="s">
        <v>67</v>
      </c>
      <c r="I957" s="12" t="s">
        <v>71</v>
      </c>
      <c r="J957" s="12" t="s">
        <v>67</v>
      </c>
      <c r="K957" s="12" t="s">
        <v>68</v>
      </c>
      <c r="L957" s="12" t="s">
        <v>70</v>
      </c>
      <c r="M957" s="12" t="s">
        <v>67</v>
      </c>
      <c r="N957" s="12" t="s">
        <v>71</v>
      </c>
      <c r="O957" s="30" t="s">
        <v>71</v>
      </c>
      <c r="P957" s="31"/>
      <c r="Q957" s="11" t="s">
        <v>37</v>
      </c>
      <c r="S957" t="str">
        <f t="shared" si="14"/>
        <v>00065</v>
      </c>
    </row>
    <row r="958" spans="5:19">
      <c r="E958" s="15" t="s">
        <v>72</v>
      </c>
      <c r="F958" s="15" t="s">
        <v>638</v>
      </c>
      <c r="G958" s="11" t="s">
        <v>74</v>
      </c>
      <c r="H958" s="12" t="s">
        <v>75</v>
      </c>
      <c r="I958" s="12" t="s">
        <v>75</v>
      </c>
      <c r="J958" s="12" t="s">
        <v>75</v>
      </c>
      <c r="K958" s="12" t="s">
        <v>75</v>
      </c>
      <c r="L958" s="12" t="s">
        <v>75</v>
      </c>
      <c r="M958" s="12" t="s">
        <v>75</v>
      </c>
      <c r="N958" s="12" t="s">
        <v>75</v>
      </c>
      <c r="O958" s="30" t="s">
        <v>75</v>
      </c>
      <c r="P958" s="31"/>
      <c r="Q958" s="11" t="s">
        <v>37</v>
      </c>
      <c r="S958" t="str">
        <f t="shared" si="14"/>
        <v>USN</v>
      </c>
    </row>
    <row r="959" spans="5:19">
      <c r="E959" s="16" t="s">
        <v>37</v>
      </c>
      <c r="F959" s="16" t="s">
        <v>37</v>
      </c>
      <c r="G959" s="16" t="s">
        <v>37</v>
      </c>
      <c r="H959" s="17" t="s">
        <v>37</v>
      </c>
      <c r="I959" s="17" t="s">
        <v>37</v>
      </c>
      <c r="J959" s="17" t="s">
        <v>37</v>
      </c>
      <c r="K959" s="17" t="s">
        <v>37</v>
      </c>
      <c r="L959" s="17" t="s">
        <v>37</v>
      </c>
      <c r="M959" s="17" t="s">
        <v>37</v>
      </c>
      <c r="N959" s="17" t="s">
        <v>37</v>
      </c>
      <c r="O959" s="41" t="s">
        <v>37</v>
      </c>
      <c r="P959" s="28"/>
      <c r="Q959" s="17" t="s">
        <v>37</v>
      </c>
      <c r="S959" t="str">
        <f t="shared" si="14"/>
        <v>SRAJAN S K</v>
      </c>
    </row>
    <row r="960" spans="5:19" ht="0" hidden="1" customHeight="1">
      <c r="S960">
        <f t="shared" si="14"/>
        <v>0</v>
      </c>
    </row>
    <row r="961" spans="5:19" ht="0.6" customHeight="1">
      <c r="S961">
        <f t="shared" si="14"/>
        <v>0</v>
      </c>
    </row>
    <row r="962" spans="5:19">
      <c r="E962" s="38" t="s">
        <v>35</v>
      </c>
      <c r="F962" s="31"/>
      <c r="G962" s="4" t="s">
        <v>36</v>
      </c>
      <c r="H962" s="6" t="s">
        <v>37</v>
      </c>
      <c r="I962" s="6" t="s">
        <v>37</v>
      </c>
      <c r="J962" s="6" t="s">
        <v>37</v>
      </c>
      <c r="K962" s="6" t="s">
        <v>37</v>
      </c>
      <c r="L962" s="6" t="s">
        <v>37</v>
      </c>
      <c r="M962" s="6" t="s">
        <v>37</v>
      </c>
      <c r="N962" s="6" t="s">
        <v>37</v>
      </c>
      <c r="O962" s="39" t="s">
        <v>37</v>
      </c>
      <c r="P962" s="28"/>
      <c r="Q962" s="6" t="s">
        <v>37</v>
      </c>
      <c r="S962" t="str">
        <f t="shared" si="14"/>
        <v>SGPA</v>
      </c>
    </row>
    <row r="963" spans="5:19" ht="21">
      <c r="E963" s="32" t="s">
        <v>639</v>
      </c>
      <c r="F963" s="31"/>
      <c r="G963" s="8" t="s">
        <v>39</v>
      </c>
      <c r="H963" s="8" t="s">
        <v>19</v>
      </c>
      <c r="I963" s="8" t="s">
        <v>9</v>
      </c>
      <c r="J963" s="8" t="s">
        <v>21</v>
      </c>
      <c r="K963" s="8" t="s">
        <v>11</v>
      </c>
      <c r="L963" s="8" t="s">
        <v>17</v>
      </c>
      <c r="M963" s="8" t="s">
        <v>27</v>
      </c>
      <c r="N963" s="8" t="s">
        <v>7</v>
      </c>
      <c r="O963" s="40" t="s">
        <v>33</v>
      </c>
      <c r="P963" s="31"/>
      <c r="Q963" s="8" t="s">
        <v>40</v>
      </c>
      <c r="S963" t="str">
        <f t="shared" si="14"/>
        <v>CGPA</v>
      </c>
    </row>
    <row r="964" spans="5:19" ht="22.5">
      <c r="E964" s="13" t="s">
        <v>41</v>
      </c>
      <c r="F964" s="13" t="s">
        <v>640</v>
      </c>
      <c r="G964" s="11" t="s">
        <v>43</v>
      </c>
      <c r="H964" s="12" t="s">
        <v>172</v>
      </c>
      <c r="I964" s="12" t="s">
        <v>223</v>
      </c>
      <c r="J964" s="12" t="s">
        <v>641</v>
      </c>
      <c r="K964" s="12" t="s">
        <v>642</v>
      </c>
      <c r="L964" s="12" t="s">
        <v>540</v>
      </c>
      <c r="M964" s="12" t="s">
        <v>643</v>
      </c>
      <c r="N964" s="12" t="s">
        <v>147</v>
      </c>
      <c r="O964" s="30" t="s">
        <v>51</v>
      </c>
      <c r="P964" s="31"/>
      <c r="Q964" s="11" t="s">
        <v>37</v>
      </c>
      <c r="S964" t="str">
        <f t="shared" si="14"/>
        <v>Result: PASS</v>
      </c>
    </row>
    <row r="965" spans="5:19">
      <c r="E965" s="32" t="s">
        <v>644</v>
      </c>
      <c r="F965" s="33"/>
      <c r="G965" s="11" t="s">
        <v>53</v>
      </c>
      <c r="H965" s="12" t="s">
        <v>51</v>
      </c>
      <c r="I965" s="12" t="s">
        <v>51</v>
      </c>
      <c r="J965" s="12" t="s">
        <v>51</v>
      </c>
      <c r="K965" s="12" t="s">
        <v>51</v>
      </c>
      <c r="L965" s="12" t="s">
        <v>51</v>
      </c>
      <c r="M965" s="12" t="s">
        <v>51</v>
      </c>
      <c r="N965" s="12" t="s">
        <v>51</v>
      </c>
      <c r="O965" s="30" t="s">
        <v>54</v>
      </c>
      <c r="P965" s="31"/>
      <c r="Q965" s="11" t="s">
        <v>37</v>
      </c>
      <c r="S965" t="str">
        <f t="shared" si="14"/>
        <v>Class</v>
      </c>
    </row>
    <row r="966" spans="5:19">
      <c r="E966" s="34"/>
      <c r="F966" s="35"/>
      <c r="G966" s="11" t="s">
        <v>55</v>
      </c>
      <c r="H966" s="12" t="s">
        <v>37</v>
      </c>
      <c r="I966" s="12" t="s">
        <v>37</v>
      </c>
      <c r="J966" s="12" t="s">
        <v>37</v>
      </c>
      <c r="K966" s="12" t="s">
        <v>37</v>
      </c>
      <c r="L966" s="12" t="s">
        <v>37</v>
      </c>
      <c r="M966" s="12" t="s">
        <v>37</v>
      </c>
      <c r="N966" s="12" t="s">
        <v>37</v>
      </c>
      <c r="O966" s="30" t="s">
        <v>37</v>
      </c>
      <c r="P966" s="31"/>
      <c r="Q966" s="11">
        <v>0</v>
      </c>
      <c r="S966" t="str">
        <f t="shared" si="14"/>
        <v>Term Grade: OA+</v>
      </c>
    </row>
    <row r="967" spans="5:19">
      <c r="E967" s="36"/>
      <c r="F967" s="37"/>
      <c r="G967" s="11" t="s">
        <v>56</v>
      </c>
      <c r="H967" s="12">
        <v>4</v>
      </c>
      <c r="I967" s="12">
        <v>4</v>
      </c>
      <c r="J967" s="12">
        <v>4</v>
      </c>
      <c r="K967" s="12">
        <v>3</v>
      </c>
      <c r="L967" s="12">
        <v>3</v>
      </c>
      <c r="M967" s="12">
        <v>3</v>
      </c>
      <c r="N967" s="12">
        <v>2</v>
      </c>
      <c r="O967" s="30">
        <v>2</v>
      </c>
      <c r="P967" s="31"/>
      <c r="Q967" s="11">
        <v>25</v>
      </c>
      <c r="S967" t="str">
        <f t="shared" si="14"/>
        <v>M.C.No</v>
      </c>
    </row>
    <row r="968" spans="5:19">
      <c r="E968" s="13" t="s">
        <v>57</v>
      </c>
      <c r="F968" s="13">
        <v>8.8800000000000008</v>
      </c>
      <c r="G968" s="11" t="s">
        <v>58</v>
      </c>
      <c r="H968" s="12">
        <v>8.5</v>
      </c>
      <c r="I968" s="12">
        <v>9.5</v>
      </c>
      <c r="J968" s="12">
        <v>9</v>
      </c>
      <c r="K968" s="12">
        <v>6.5</v>
      </c>
      <c r="L968" s="12">
        <v>9.5</v>
      </c>
      <c r="M968" s="12">
        <v>9</v>
      </c>
      <c r="N968" s="12">
        <v>10</v>
      </c>
      <c r="O968" s="30">
        <v>9.5</v>
      </c>
      <c r="P968" s="31"/>
      <c r="Q968" s="11" t="s">
        <v>37</v>
      </c>
      <c r="S968" t="str">
        <f t="shared" si="14"/>
        <v/>
      </c>
    </row>
    <row r="969" spans="5:19">
      <c r="E969" s="13" t="s">
        <v>59</v>
      </c>
      <c r="F969" s="14">
        <v>8.8800000000000008</v>
      </c>
      <c r="G969" s="11" t="s">
        <v>60</v>
      </c>
      <c r="H969" s="12">
        <v>34</v>
      </c>
      <c r="I969" s="12">
        <v>38</v>
      </c>
      <c r="J969" s="12">
        <v>36</v>
      </c>
      <c r="K969" s="12">
        <v>19.5</v>
      </c>
      <c r="L969" s="12">
        <v>28.5</v>
      </c>
      <c r="M969" s="12">
        <v>27</v>
      </c>
      <c r="N969" s="12">
        <v>20</v>
      </c>
      <c r="O969" s="30">
        <v>19</v>
      </c>
      <c r="P969" s="31"/>
      <c r="Q969" s="11">
        <v>222</v>
      </c>
      <c r="S969">
        <f t="shared" si="14"/>
        <v>0</v>
      </c>
    </row>
    <row r="970" spans="5:19">
      <c r="E970" s="32" t="s">
        <v>61</v>
      </c>
      <c r="F970" s="31"/>
      <c r="G970" s="11" t="s">
        <v>40</v>
      </c>
      <c r="H970" s="12">
        <v>84</v>
      </c>
      <c r="I970" s="12">
        <v>93</v>
      </c>
      <c r="J970" s="12">
        <v>87</v>
      </c>
      <c r="K970" s="12">
        <v>64</v>
      </c>
      <c r="L970" s="12">
        <v>93</v>
      </c>
      <c r="M970" s="12">
        <v>89</v>
      </c>
      <c r="N970" s="12">
        <v>48</v>
      </c>
      <c r="O970" s="30">
        <v>45</v>
      </c>
      <c r="P970" s="31"/>
      <c r="Q970" s="11">
        <v>603</v>
      </c>
      <c r="S970">
        <f t="shared" si="14"/>
        <v>0</v>
      </c>
    </row>
    <row r="971" spans="5:19">
      <c r="E971" s="13" t="s">
        <v>62</v>
      </c>
      <c r="F971" s="13"/>
      <c r="G971" s="11" t="s">
        <v>63</v>
      </c>
      <c r="H971" s="12">
        <v>100</v>
      </c>
      <c r="I971" s="12">
        <v>100</v>
      </c>
      <c r="J971" s="12">
        <v>100</v>
      </c>
      <c r="K971" s="12">
        <v>100</v>
      </c>
      <c r="L971" s="12">
        <v>100</v>
      </c>
      <c r="M971" s="12">
        <v>100</v>
      </c>
      <c r="N971" s="12">
        <v>50</v>
      </c>
      <c r="O971" s="30">
        <v>50</v>
      </c>
      <c r="P971" s="31"/>
      <c r="Q971" s="11">
        <v>700</v>
      </c>
      <c r="S971">
        <f t="shared" si="14"/>
        <v>0</v>
      </c>
    </row>
    <row r="972" spans="5:19">
      <c r="E972" s="32" t="s">
        <v>188</v>
      </c>
      <c r="F972" s="31"/>
      <c r="G972" s="11" t="s">
        <v>65</v>
      </c>
      <c r="H972" s="12" t="s">
        <v>70</v>
      </c>
      <c r="I972" s="12" t="s">
        <v>71</v>
      </c>
      <c r="J972" s="12" t="s">
        <v>67</v>
      </c>
      <c r="K972" s="12" t="s">
        <v>69</v>
      </c>
      <c r="L972" s="12" t="s">
        <v>71</v>
      </c>
      <c r="M972" s="12" t="s">
        <v>67</v>
      </c>
      <c r="N972" s="12" t="s">
        <v>88</v>
      </c>
      <c r="O972" s="30" t="s">
        <v>71</v>
      </c>
      <c r="P972" s="31"/>
      <c r="Q972" s="11" t="s">
        <v>37</v>
      </c>
      <c r="S972">
        <f t="shared" ref="S972:S973" si="15">$E978</f>
        <v>0</v>
      </c>
    </row>
    <row r="973" spans="5:19">
      <c r="E973" s="15" t="s">
        <v>72</v>
      </c>
      <c r="F973" s="15" t="s">
        <v>645</v>
      </c>
      <c r="G973" s="11" t="s">
        <v>74</v>
      </c>
      <c r="H973" s="12" t="s">
        <v>75</v>
      </c>
      <c r="I973" s="12" t="s">
        <v>75</v>
      </c>
      <c r="J973" s="12" t="s">
        <v>75</v>
      </c>
      <c r="K973" s="12" t="s">
        <v>75</v>
      </c>
      <c r="L973" s="12" t="s">
        <v>75</v>
      </c>
      <c r="M973" s="12" t="s">
        <v>75</v>
      </c>
      <c r="N973" s="12" t="s">
        <v>75</v>
      </c>
      <c r="O973" s="30" t="s">
        <v>75</v>
      </c>
      <c r="P973" s="31"/>
      <c r="Q973" s="11" t="s">
        <v>37</v>
      </c>
      <c r="S973">
        <f t="shared" si="15"/>
        <v>0</v>
      </c>
    </row>
    <row r="974" spans="5:19">
      <c r="E974" s="16" t="s">
        <v>37</v>
      </c>
      <c r="F974" s="16" t="s">
        <v>37</v>
      </c>
      <c r="G974" s="16" t="s">
        <v>37</v>
      </c>
      <c r="H974" s="17" t="s">
        <v>37</v>
      </c>
      <c r="I974" s="17" t="s">
        <v>37</v>
      </c>
      <c r="J974" s="17" t="s">
        <v>37</v>
      </c>
      <c r="K974" s="17" t="s">
        <v>37</v>
      </c>
      <c r="L974" s="17" t="s">
        <v>37</v>
      </c>
      <c r="M974" s="17" t="s">
        <v>37</v>
      </c>
      <c r="N974" s="17" t="s">
        <v>37</v>
      </c>
      <c r="O974" s="41" t="s">
        <v>37</v>
      </c>
      <c r="P974" s="28"/>
      <c r="Q974" s="17" t="s">
        <v>37</v>
      </c>
    </row>
    <row r="975" spans="5:19" ht="0" hidden="1" customHeight="1"/>
  </sheetData>
  <mergeCells count="1172">
    <mergeCell ref="O973:P973"/>
    <mergeCell ref="O974:P974"/>
    <mergeCell ref="O969:P969"/>
    <mergeCell ref="E970:F970"/>
    <mergeCell ref="O970:P970"/>
    <mergeCell ref="O971:P971"/>
    <mergeCell ref="E972:F972"/>
    <mergeCell ref="O972:P972"/>
    <mergeCell ref="O964:P964"/>
    <mergeCell ref="E965:F967"/>
    <mergeCell ref="O965:P965"/>
    <mergeCell ref="O966:P966"/>
    <mergeCell ref="O967:P967"/>
    <mergeCell ref="O968:P968"/>
    <mergeCell ref="O958:P958"/>
    <mergeCell ref="O959:P959"/>
    <mergeCell ref="E962:F962"/>
    <mergeCell ref="O962:P962"/>
    <mergeCell ref="E963:F963"/>
    <mergeCell ref="O963:P963"/>
    <mergeCell ref="O954:P954"/>
    <mergeCell ref="E955:F955"/>
    <mergeCell ref="O955:P955"/>
    <mergeCell ref="O956:P956"/>
    <mergeCell ref="E957:F957"/>
    <mergeCell ref="O957:P957"/>
    <mergeCell ref="O949:P949"/>
    <mergeCell ref="E950:F952"/>
    <mergeCell ref="O950:P950"/>
    <mergeCell ref="O951:P951"/>
    <mergeCell ref="O952:P952"/>
    <mergeCell ref="O953:P953"/>
    <mergeCell ref="O943:P943"/>
    <mergeCell ref="O944:P944"/>
    <mergeCell ref="E947:F947"/>
    <mergeCell ref="O947:P947"/>
    <mergeCell ref="E948:F948"/>
    <mergeCell ref="O948:P948"/>
    <mergeCell ref="O939:P939"/>
    <mergeCell ref="E940:F940"/>
    <mergeCell ref="O940:P940"/>
    <mergeCell ref="O941:P941"/>
    <mergeCell ref="E942:F942"/>
    <mergeCell ref="O942:P942"/>
    <mergeCell ref="O934:P934"/>
    <mergeCell ref="E935:F937"/>
    <mergeCell ref="O935:P935"/>
    <mergeCell ref="O936:P936"/>
    <mergeCell ref="O937:P937"/>
    <mergeCell ref="O938:P938"/>
    <mergeCell ref="O928:P928"/>
    <mergeCell ref="O929:P929"/>
    <mergeCell ref="E932:F932"/>
    <mergeCell ref="O932:P932"/>
    <mergeCell ref="E933:F933"/>
    <mergeCell ref="O933:P933"/>
    <mergeCell ref="O924:P924"/>
    <mergeCell ref="E925:F925"/>
    <mergeCell ref="O925:P925"/>
    <mergeCell ref="O926:P926"/>
    <mergeCell ref="E927:F927"/>
    <mergeCell ref="O927:P927"/>
    <mergeCell ref="O919:P919"/>
    <mergeCell ref="E920:F922"/>
    <mergeCell ref="O920:P920"/>
    <mergeCell ref="O921:P921"/>
    <mergeCell ref="O922:P922"/>
    <mergeCell ref="O923:P923"/>
    <mergeCell ref="O913:P913"/>
    <mergeCell ref="O914:P914"/>
    <mergeCell ref="E917:F917"/>
    <mergeCell ref="O917:P917"/>
    <mergeCell ref="E918:F918"/>
    <mergeCell ref="O918:P918"/>
    <mergeCell ref="O909:P909"/>
    <mergeCell ref="E910:F910"/>
    <mergeCell ref="O910:P910"/>
    <mergeCell ref="O911:P911"/>
    <mergeCell ref="E912:F912"/>
    <mergeCell ref="O912:P912"/>
    <mergeCell ref="O904:P904"/>
    <mergeCell ref="E905:F907"/>
    <mergeCell ref="O905:P905"/>
    <mergeCell ref="O906:P906"/>
    <mergeCell ref="O907:P907"/>
    <mergeCell ref="O908:P908"/>
    <mergeCell ref="O898:P898"/>
    <mergeCell ref="O899:P899"/>
    <mergeCell ref="E902:F902"/>
    <mergeCell ref="O902:P902"/>
    <mergeCell ref="E903:F903"/>
    <mergeCell ref="O903:P903"/>
    <mergeCell ref="O894:P894"/>
    <mergeCell ref="E895:F895"/>
    <mergeCell ref="O895:P895"/>
    <mergeCell ref="O896:P896"/>
    <mergeCell ref="E897:F897"/>
    <mergeCell ref="O897:P897"/>
    <mergeCell ref="O889:P889"/>
    <mergeCell ref="E890:F892"/>
    <mergeCell ref="O890:P890"/>
    <mergeCell ref="O891:P891"/>
    <mergeCell ref="O892:P892"/>
    <mergeCell ref="O893:P893"/>
    <mergeCell ref="O883:P883"/>
    <mergeCell ref="O884:P884"/>
    <mergeCell ref="E887:F887"/>
    <mergeCell ref="O887:P887"/>
    <mergeCell ref="E888:F888"/>
    <mergeCell ref="O888:P888"/>
    <mergeCell ref="O879:P879"/>
    <mergeCell ref="E880:F880"/>
    <mergeCell ref="O880:P880"/>
    <mergeCell ref="O881:P881"/>
    <mergeCell ref="E882:F882"/>
    <mergeCell ref="O882:P882"/>
    <mergeCell ref="O874:P874"/>
    <mergeCell ref="E875:F877"/>
    <mergeCell ref="O875:P875"/>
    <mergeCell ref="O876:P876"/>
    <mergeCell ref="O877:P877"/>
    <mergeCell ref="O878:P878"/>
    <mergeCell ref="O868:P868"/>
    <mergeCell ref="O869:P869"/>
    <mergeCell ref="E872:F872"/>
    <mergeCell ref="O872:P872"/>
    <mergeCell ref="E873:F873"/>
    <mergeCell ref="O873:P873"/>
    <mergeCell ref="O864:P864"/>
    <mergeCell ref="E865:F865"/>
    <mergeCell ref="O865:P865"/>
    <mergeCell ref="O866:P866"/>
    <mergeCell ref="E867:F867"/>
    <mergeCell ref="O867:P867"/>
    <mergeCell ref="O859:P859"/>
    <mergeCell ref="E860:F862"/>
    <mergeCell ref="O860:P860"/>
    <mergeCell ref="O861:P861"/>
    <mergeCell ref="O862:P862"/>
    <mergeCell ref="O863:P863"/>
    <mergeCell ref="O854:P854"/>
    <mergeCell ref="O855:P855"/>
    <mergeCell ref="E857:F857"/>
    <mergeCell ref="O857:P857"/>
    <mergeCell ref="E858:F858"/>
    <mergeCell ref="O858:P858"/>
    <mergeCell ref="O850:P850"/>
    <mergeCell ref="E851:F851"/>
    <mergeCell ref="O851:P851"/>
    <mergeCell ref="O852:P852"/>
    <mergeCell ref="E853:F853"/>
    <mergeCell ref="O853:P853"/>
    <mergeCell ref="O845:P845"/>
    <mergeCell ref="E846:F848"/>
    <mergeCell ref="O846:P846"/>
    <mergeCell ref="O847:P847"/>
    <mergeCell ref="O848:P848"/>
    <mergeCell ref="O849:P849"/>
    <mergeCell ref="O839:P839"/>
    <mergeCell ref="O840:P840"/>
    <mergeCell ref="E843:F843"/>
    <mergeCell ref="O843:P843"/>
    <mergeCell ref="E844:F844"/>
    <mergeCell ref="O844:P844"/>
    <mergeCell ref="O835:P835"/>
    <mergeCell ref="E836:F836"/>
    <mergeCell ref="O836:P836"/>
    <mergeCell ref="O837:P837"/>
    <mergeCell ref="E838:F838"/>
    <mergeCell ref="O838:P838"/>
    <mergeCell ref="O830:P830"/>
    <mergeCell ref="E831:F833"/>
    <mergeCell ref="O831:P831"/>
    <mergeCell ref="O832:P832"/>
    <mergeCell ref="O833:P833"/>
    <mergeCell ref="O834:P834"/>
    <mergeCell ref="O824:P824"/>
    <mergeCell ref="O825:P825"/>
    <mergeCell ref="E828:F828"/>
    <mergeCell ref="O828:P828"/>
    <mergeCell ref="E829:F829"/>
    <mergeCell ref="O829:P829"/>
    <mergeCell ref="O820:P820"/>
    <mergeCell ref="E821:F821"/>
    <mergeCell ref="O821:P821"/>
    <mergeCell ref="O822:P822"/>
    <mergeCell ref="E823:F823"/>
    <mergeCell ref="O823:P823"/>
    <mergeCell ref="O815:P815"/>
    <mergeCell ref="E816:F818"/>
    <mergeCell ref="O816:P816"/>
    <mergeCell ref="O817:P817"/>
    <mergeCell ref="O818:P818"/>
    <mergeCell ref="O819:P819"/>
    <mergeCell ref="O809:P809"/>
    <mergeCell ref="O810:P810"/>
    <mergeCell ref="E813:F813"/>
    <mergeCell ref="O813:P813"/>
    <mergeCell ref="E814:F814"/>
    <mergeCell ref="O814:P814"/>
    <mergeCell ref="O805:P805"/>
    <mergeCell ref="E806:F806"/>
    <mergeCell ref="O806:P806"/>
    <mergeCell ref="O807:P807"/>
    <mergeCell ref="E808:F808"/>
    <mergeCell ref="O808:P808"/>
    <mergeCell ref="O800:P800"/>
    <mergeCell ref="E801:F803"/>
    <mergeCell ref="O801:P801"/>
    <mergeCell ref="O802:P802"/>
    <mergeCell ref="O803:P803"/>
    <mergeCell ref="O804:P804"/>
    <mergeCell ref="O794:P794"/>
    <mergeCell ref="O795:P795"/>
    <mergeCell ref="E798:F798"/>
    <mergeCell ref="O798:P798"/>
    <mergeCell ref="E799:F799"/>
    <mergeCell ref="O799:P799"/>
    <mergeCell ref="O790:P790"/>
    <mergeCell ref="E791:F791"/>
    <mergeCell ref="O791:P791"/>
    <mergeCell ref="O792:P792"/>
    <mergeCell ref="E793:F793"/>
    <mergeCell ref="O793:P793"/>
    <mergeCell ref="O785:P785"/>
    <mergeCell ref="E786:F788"/>
    <mergeCell ref="O786:P786"/>
    <mergeCell ref="O787:P787"/>
    <mergeCell ref="O788:P788"/>
    <mergeCell ref="O789:P789"/>
    <mergeCell ref="O779:P779"/>
    <mergeCell ref="O780:P780"/>
    <mergeCell ref="E783:F783"/>
    <mergeCell ref="O783:P783"/>
    <mergeCell ref="E784:F784"/>
    <mergeCell ref="O784:P784"/>
    <mergeCell ref="O775:P775"/>
    <mergeCell ref="E776:F776"/>
    <mergeCell ref="O776:P776"/>
    <mergeCell ref="O777:P777"/>
    <mergeCell ref="E778:F778"/>
    <mergeCell ref="O778:P778"/>
    <mergeCell ref="O770:P770"/>
    <mergeCell ref="E771:F773"/>
    <mergeCell ref="O771:P771"/>
    <mergeCell ref="O772:P772"/>
    <mergeCell ref="O773:P773"/>
    <mergeCell ref="O774:P774"/>
    <mergeCell ref="O764:P764"/>
    <mergeCell ref="O765:P765"/>
    <mergeCell ref="E768:F768"/>
    <mergeCell ref="O768:P768"/>
    <mergeCell ref="E769:F769"/>
    <mergeCell ref="O769:P769"/>
    <mergeCell ref="O760:P760"/>
    <mergeCell ref="E761:F761"/>
    <mergeCell ref="O761:P761"/>
    <mergeCell ref="O762:P762"/>
    <mergeCell ref="E763:F763"/>
    <mergeCell ref="O763:P763"/>
    <mergeCell ref="O755:P755"/>
    <mergeCell ref="E756:F758"/>
    <mergeCell ref="O756:P756"/>
    <mergeCell ref="O757:P757"/>
    <mergeCell ref="O758:P758"/>
    <mergeCell ref="O759:P759"/>
    <mergeCell ref="O749:P749"/>
    <mergeCell ref="O750:P750"/>
    <mergeCell ref="E753:F753"/>
    <mergeCell ref="O753:P753"/>
    <mergeCell ref="E754:F754"/>
    <mergeCell ref="O754:P754"/>
    <mergeCell ref="O745:P745"/>
    <mergeCell ref="E746:F746"/>
    <mergeCell ref="O746:P746"/>
    <mergeCell ref="O747:P747"/>
    <mergeCell ref="E748:F748"/>
    <mergeCell ref="O748:P748"/>
    <mergeCell ref="O740:P740"/>
    <mergeCell ref="E741:F743"/>
    <mergeCell ref="O741:P741"/>
    <mergeCell ref="O742:P742"/>
    <mergeCell ref="O743:P743"/>
    <mergeCell ref="O744:P744"/>
    <mergeCell ref="O734:P734"/>
    <mergeCell ref="O735:P735"/>
    <mergeCell ref="E738:F738"/>
    <mergeCell ref="O738:P738"/>
    <mergeCell ref="E739:F739"/>
    <mergeCell ref="O739:P739"/>
    <mergeCell ref="O730:P730"/>
    <mergeCell ref="E731:F731"/>
    <mergeCell ref="O731:P731"/>
    <mergeCell ref="O732:P732"/>
    <mergeCell ref="E733:F733"/>
    <mergeCell ref="O733:P733"/>
    <mergeCell ref="O725:P725"/>
    <mergeCell ref="E726:F728"/>
    <mergeCell ref="O726:P726"/>
    <mergeCell ref="O727:P727"/>
    <mergeCell ref="O728:P728"/>
    <mergeCell ref="O729:P729"/>
    <mergeCell ref="O720:P720"/>
    <mergeCell ref="O721:P721"/>
    <mergeCell ref="E723:F723"/>
    <mergeCell ref="O723:P723"/>
    <mergeCell ref="E724:F724"/>
    <mergeCell ref="O724:P724"/>
    <mergeCell ref="O716:P716"/>
    <mergeCell ref="E717:F717"/>
    <mergeCell ref="O717:P717"/>
    <mergeCell ref="O718:P718"/>
    <mergeCell ref="E719:F719"/>
    <mergeCell ref="O719:P719"/>
    <mergeCell ref="O711:P711"/>
    <mergeCell ref="E712:F714"/>
    <mergeCell ref="O712:P712"/>
    <mergeCell ref="O713:P713"/>
    <mergeCell ref="O714:P714"/>
    <mergeCell ref="O715:P715"/>
    <mergeCell ref="O705:P705"/>
    <mergeCell ref="O706:P706"/>
    <mergeCell ref="E709:F709"/>
    <mergeCell ref="O709:P709"/>
    <mergeCell ref="E710:F710"/>
    <mergeCell ref="O710:P710"/>
    <mergeCell ref="O701:P701"/>
    <mergeCell ref="E702:F702"/>
    <mergeCell ref="O702:P702"/>
    <mergeCell ref="O703:P703"/>
    <mergeCell ref="E704:F704"/>
    <mergeCell ref="O704:P704"/>
    <mergeCell ref="O696:P696"/>
    <mergeCell ref="E697:F699"/>
    <mergeCell ref="O697:P697"/>
    <mergeCell ref="O698:P698"/>
    <mergeCell ref="O699:P699"/>
    <mergeCell ref="O700:P700"/>
    <mergeCell ref="O690:P690"/>
    <mergeCell ref="O691:P691"/>
    <mergeCell ref="E694:F694"/>
    <mergeCell ref="O694:P694"/>
    <mergeCell ref="E695:F695"/>
    <mergeCell ref="O695:P695"/>
    <mergeCell ref="O686:P686"/>
    <mergeCell ref="E687:F687"/>
    <mergeCell ref="O687:P687"/>
    <mergeCell ref="O688:P688"/>
    <mergeCell ref="E689:F689"/>
    <mergeCell ref="O689:P689"/>
    <mergeCell ref="O681:P681"/>
    <mergeCell ref="E682:F684"/>
    <mergeCell ref="O682:P682"/>
    <mergeCell ref="O683:P683"/>
    <mergeCell ref="O684:P684"/>
    <mergeCell ref="O685:P685"/>
    <mergeCell ref="O675:P675"/>
    <mergeCell ref="O676:P676"/>
    <mergeCell ref="E679:F679"/>
    <mergeCell ref="O679:P679"/>
    <mergeCell ref="E680:F680"/>
    <mergeCell ref="O680:P680"/>
    <mergeCell ref="O671:P671"/>
    <mergeCell ref="E672:F672"/>
    <mergeCell ref="O672:P672"/>
    <mergeCell ref="O673:P673"/>
    <mergeCell ref="E674:F674"/>
    <mergeCell ref="O674:P674"/>
    <mergeCell ref="O666:P666"/>
    <mergeCell ref="E667:F669"/>
    <mergeCell ref="O667:P667"/>
    <mergeCell ref="O668:P668"/>
    <mergeCell ref="O669:P669"/>
    <mergeCell ref="O670:P670"/>
    <mergeCell ref="O660:P660"/>
    <mergeCell ref="O661:P661"/>
    <mergeCell ref="E664:F664"/>
    <mergeCell ref="O664:P664"/>
    <mergeCell ref="E665:F665"/>
    <mergeCell ref="O665:P665"/>
    <mergeCell ref="O656:P656"/>
    <mergeCell ref="E657:F657"/>
    <mergeCell ref="O657:P657"/>
    <mergeCell ref="O658:P658"/>
    <mergeCell ref="E659:F659"/>
    <mergeCell ref="O659:P659"/>
    <mergeCell ref="O651:P651"/>
    <mergeCell ref="E652:F654"/>
    <mergeCell ref="O652:P652"/>
    <mergeCell ref="O653:P653"/>
    <mergeCell ref="O654:P654"/>
    <mergeCell ref="O655:P655"/>
    <mergeCell ref="O645:P645"/>
    <mergeCell ref="O646:P646"/>
    <mergeCell ref="E649:F649"/>
    <mergeCell ref="O649:P649"/>
    <mergeCell ref="E650:F650"/>
    <mergeCell ref="O650:P650"/>
    <mergeCell ref="O641:P641"/>
    <mergeCell ref="E642:F642"/>
    <mergeCell ref="O642:P642"/>
    <mergeCell ref="O643:P643"/>
    <mergeCell ref="E644:F644"/>
    <mergeCell ref="O644:P644"/>
    <mergeCell ref="O636:P636"/>
    <mergeCell ref="E637:F639"/>
    <mergeCell ref="O637:P637"/>
    <mergeCell ref="O638:P638"/>
    <mergeCell ref="O639:P639"/>
    <mergeCell ref="O640:P640"/>
    <mergeCell ref="O630:P630"/>
    <mergeCell ref="O631:P631"/>
    <mergeCell ref="E634:F634"/>
    <mergeCell ref="O634:P634"/>
    <mergeCell ref="E635:F635"/>
    <mergeCell ref="O635:P635"/>
    <mergeCell ref="O626:P626"/>
    <mergeCell ref="E627:F627"/>
    <mergeCell ref="O627:P627"/>
    <mergeCell ref="O628:P628"/>
    <mergeCell ref="E629:F629"/>
    <mergeCell ref="O629:P629"/>
    <mergeCell ref="O621:P621"/>
    <mergeCell ref="E622:F624"/>
    <mergeCell ref="O622:P622"/>
    <mergeCell ref="O623:P623"/>
    <mergeCell ref="O624:P624"/>
    <mergeCell ref="O625:P625"/>
    <mergeCell ref="O615:P615"/>
    <mergeCell ref="O616:P616"/>
    <mergeCell ref="E619:F619"/>
    <mergeCell ref="O619:P619"/>
    <mergeCell ref="E620:F620"/>
    <mergeCell ref="O620:P620"/>
    <mergeCell ref="O611:P611"/>
    <mergeCell ref="E612:F612"/>
    <mergeCell ref="O612:P612"/>
    <mergeCell ref="O613:P613"/>
    <mergeCell ref="E614:F614"/>
    <mergeCell ref="O614:P614"/>
    <mergeCell ref="O606:P606"/>
    <mergeCell ref="E607:F609"/>
    <mergeCell ref="O607:P607"/>
    <mergeCell ref="O608:P608"/>
    <mergeCell ref="O609:P609"/>
    <mergeCell ref="O610:P610"/>
    <mergeCell ref="O600:P600"/>
    <mergeCell ref="O601:P601"/>
    <mergeCell ref="E604:F604"/>
    <mergeCell ref="O604:P604"/>
    <mergeCell ref="E605:F605"/>
    <mergeCell ref="O605:P605"/>
    <mergeCell ref="O596:P596"/>
    <mergeCell ref="E597:F597"/>
    <mergeCell ref="O597:P597"/>
    <mergeCell ref="O598:P598"/>
    <mergeCell ref="E599:F599"/>
    <mergeCell ref="O599:P599"/>
    <mergeCell ref="O591:P591"/>
    <mergeCell ref="E592:F594"/>
    <mergeCell ref="O592:P592"/>
    <mergeCell ref="O593:P593"/>
    <mergeCell ref="O594:P594"/>
    <mergeCell ref="O595:P595"/>
    <mergeCell ref="O586:P586"/>
    <mergeCell ref="O587:P587"/>
    <mergeCell ref="E589:F589"/>
    <mergeCell ref="O589:P589"/>
    <mergeCell ref="E590:F590"/>
    <mergeCell ref="O590:P590"/>
    <mergeCell ref="O582:P582"/>
    <mergeCell ref="E583:F583"/>
    <mergeCell ref="O583:P583"/>
    <mergeCell ref="O584:P584"/>
    <mergeCell ref="E585:F585"/>
    <mergeCell ref="O585:P585"/>
    <mergeCell ref="O577:P577"/>
    <mergeCell ref="E578:F580"/>
    <mergeCell ref="O578:P578"/>
    <mergeCell ref="O579:P579"/>
    <mergeCell ref="O580:P580"/>
    <mergeCell ref="O581:P581"/>
    <mergeCell ref="O571:P571"/>
    <mergeCell ref="O572:P572"/>
    <mergeCell ref="E575:F575"/>
    <mergeCell ref="O575:P575"/>
    <mergeCell ref="E576:F576"/>
    <mergeCell ref="O576:P576"/>
    <mergeCell ref="O567:P567"/>
    <mergeCell ref="E568:F568"/>
    <mergeCell ref="O568:P568"/>
    <mergeCell ref="O569:P569"/>
    <mergeCell ref="E570:F570"/>
    <mergeCell ref="O570:P570"/>
    <mergeCell ref="O562:P562"/>
    <mergeCell ref="E563:F565"/>
    <mergeCell ref="O563:P563"/>
    <mergeCell ref="O564:P564"/>
    <mergeCell ref="O565:P565"/>
    <mergeCell ref="O566:P566"/>
    <mergeCell ref="O556:P556"/>
    <mergeCell ref="O557:P557"/>
    <mergeCell ref="E560:F560"/>
    <mergeCell ref="O560:P560"/>
    <mergeCell ref="E561:F561"/>
    <mergeCell ref="O561:P561"/>
    <mergeCell ref="O552:P552"/>
    <mergeCell ref="E553:F553"/>
    <mergeCell ref="O553:P553"/>
    <mergeCell ref="O554:P554"/>
    <mergeCell ref="E555:F555"/>
    <mergeCell ref="O555:P555"/>
    <mergeCell ref="O547:P547"/>
    <mergeCell ref="E548:F550"/>
    <mergeCell ref="O548:P548"/>
    <mergeCell ref="O549:P549"/>
    <mergeCell ref="O550:P550"/>
    <mergeCell ref="O551:P551"/>
    <mergeCell ref="O541:P541"/>
    <mergeCell ref="O542:P542"/>
    <mergeCell ref="E545:F545"/>
    <mergeCell ref="O545:P545"/>
    <mergeCell ref="E546:F546"/>
    <mergeCell ref="O546:P546"/>
    <mergeCell ref="O537:P537"/>
    <mergeCell ref="E538:F538"/>
    <mergeCell ref="O538:P538"/>
    <mergeCell ref="O539:P539"/>
    <mergeCell ref="E540:F540"/>
    <mergeCell ref="O540:P540"/>
    <mergeCell ref="O532:P532"/>
    <mergeCell ref="E533:F535"/>
    <mergeCell ref="O533:P533"/>
    <mergeCell ref="O534:P534"/>
    <mergeCell ref="O535:P535"/>
    <mergeCell ref="O536:P536"/>
    <mergeCell ref="O526:P526"/>
    <mergeCell ref="O527:P527"/>
    <mergeCell ref="E530:F530"/>
    <mergeCell ref="O530:P530"/>
    <mergeCell ref="E531:F531"/>
    <mergeCell ref="O531:P531"/>
    <mergeCell ref="O522:P522"/>
    <mergeCell ref="E523:F523"/>
    <mergeCell ref="O523:P523"/>
    <mergeCell ref="O524:P524"/>
    <mergeCell ref="E525:F525"/>
    <mergeCell ref="O525:P525"/>
    <mergeCell ref="O517:P517"/>
    <mergeCell ref="E518:F520"/>
    <mergeCell ref="O518:P518"/>
    <mergeCell ref="O519:P519"/>
    <mergeCell ref="O520:P520"/>
    <mergeCell ref="O521:P521"/>
    <mergeCell ref="O511:P511"/>
    <mergeCell ref="O512:P512"/>
    <mergeCell ref="E515:F515"/>
    <mergeCell ref="O515:P515"/>
    <mergeCell ref="E516:F516"/>
    <mergeCell ref="O516:P516"/>
    <mergeCell ref="O507:P507"/>
    <mergeCell ref="E508:F508"/>
    <mergeCell ref="O508:P508"/>
    <mergeCell ref="O509:P509"/>
    <mergeCell ref="E510:F510"/>
    <mergeCell ref="O510:P510"/>
    <mergeCell ref="O502:P502"/>
    <mergeCell ref="E503:F505"/>
    <mergeCell ref="O503:P503"/>
    <mergeCell ref="O504:P504"/>
    <mergeCell ref="O505:P505"/>
    <mergeCell ref="O506:P506"/>
    <mergeCell ref="O496:P496"/>
    <mergeCell ref="O497:P497"/>
    <mergeCell ref="E500:F500"/>
    <mergeCell ref="O500:P500"/>
    <mergeCell ref="E501:F501"/>
    <mergeCell ref="O501:P501"/>
    <mergeCell ref="O492:P492"/>
    <mergeCell ref="E493:F493"/>
    <mergeCell ref="O493:P493"/>
    <mergeCell ref="O494:P494"/>
    <mergeCell ref="E495:F495"/>
    <mergeCell ref="O495:P495"/>
    <mergeCell ref="O487:P487"/>
    <mergeCell ref="E488:F490"/>
    <mergeCell ref="O488:P488"/>
    <mergeCell ref="O489:P489"/>
    <mergeCell ref="O490:P490"/>
    <mergeCell ref="O491:P491"/>
    <mergeCell ref="O481:P481"/>
    <mergeCell ref="O482:P482"/>
    <mergeCell ref="E485:F485"/>
    <mergeCell ref="O485:P485"/>
    <mergeCell ref="E486:F486"/>
    <mergeCell ref="O486:P486"/>
    <mergeCell ref="O477:P477"/>
    <mergeCell ref="E478:F478"/>
    <mergeCell ref="O478:P478"/>
    <mergeCell ref="O479:P479"/>
    <mergeCell ref="E480:F480"/>
    <mergeCell ref="O480:P480"/>
    <mergeCell ref="O472:P472"/>
    <mergeCell ref="E473:F475"/>
    <mergeCell ref="O473:P473"/>
    <mergeCell ref="O474:P474"/>
    <mergeCell ref="O475:P475"/>
    <mergeCell ref="O476:P476"/>
    <mergeCell ref="O466:P466"/>
    <mergeCell ref="O467:P467"/>
    <mergeCell ref="E470:F470"/>
    <mergeCell ref="O470:P470"/>
    <mergeCell ref="E471:F471"/>
    <mergeCell ref="O471:P471"/>
    <mergeCell ref="O462:P462"/>
    <mergeCell ref="E463:F463"/>
    <mergeCell ref="O463:P463"/>
    <mergeCell ref="O464:P464"/>
    <mergeCell ref="E465:F465"/>
    <mergeCell ref="O465:P465"/>
    <mergeCell ref="O457:P457"/>
    <mergeCell ref="E458:F460"/>
    <mergeCell ref="O458:P458"/>
    <mergeCell ref="O459:P459"/>
    <mergeCell ref="O460:P460"/>
    <mergeCell ref="O461:P461"/>
    <mergeCell ref="O452:P452"/>
    <mergeCell ref="O453:P453"/>
    <mergeCell ref="E455:F455"/>
    <mergeCell ref="O455:P455"/>
    <mergeCell ref="E456:F456"/>
    <mergeCell ref="O456:P456"/>
    <mergeCell ref="O448:P448"/>
    <mergeCell ref="E449:F449"/>
    <mergeCell ref="O449:P449"/>
    <mergeCell ref="O450:P450"/>
    <mergeCell ref="E451:F451"/>
    <mergeCell ref="O451:P451"/>
    <mergeCell ref="O443:P443"/>
    <mergeCell ref="E444:F446"/>
    <mergeCell ref="O444:P444"/>
    <mergeCell ref="O445:P445"/>
    <mergeCell ref="O446:P446"/>
    <mergeCell ref="O447:P447"/>
    <mergeCell ref="O437:P437"/>
    <mergeCell ref="O438:P438"/>
    <mergeCell ref="E441:F441"/>
    <mergeCell ref="O441:P441"/>
    <mergeCell ref="E442:F442"/>
    <mergeCell ref="O442:P442"/>
    <mergeCell ref="O433:P433"/>
    <mergeCell ref="E434:F434"/>
    <mergeCell ref="O434:P434"/>
    <mergeCell ref="O435:P435"/>
    <mergeCell ref="E436:F436"/>
    <mergeCell ref="O436:P436"/>
    <mergeCell ref="O428:P428"/>
    <mergeCell ref="E429:F431"/>
    <mergeCell ref="O429:P429"/>
    <mergeCell ref="O430:P430"/>
    <mergeCell ref="O431:P431"/>
    <mergeCell ref="O432:P432"/>
    <mergeCell ref="O422:P422"/>
    <mergeCell ref="O423:P423"/>
    <mergeCell ref="E426:F426"/>
    <mergeCell ref="O426:P426"/>
    <mergeCell ref="E427:F427"/>
    <mergeCell ref="O427:P427"/>
    <mergeCell ref="O418:P418"/>
    <mergeCell ref="E419:F419"/>
    <mergeCell ref="O419:P419"/>
    <mergeCell ref="O420:P420"/>
    <mergeCell ref="E421:F421"/>
    <mergeCell ref="O421:P421"/>
    <mergeCell ref="O413:P413"/>
    <mergeCell ref="E414:F416"/>
    <mergeCell ref="O414:P414"/>
    <mergeCell ref="O415:P415"/>
    <mergeCell ref="O416:P416"/>
    <mergeCell ref="O417:P417"/>
    <mergeCell ref="O407:P407"/>
    <mergeCell ref="O408:P408"/>
    <mergeCell ref="E411:F411"/>
    <mergeCell ref="O411:P411"/>
    <mergeCell ref="E412:F412"/>
    <mergeCell ref="O412:P412"/>
    <mergeCell ref="O403:P403"/>
    <mergeCell ref="E404:F404"/>
    <mergeCell ref="O404:P404"/>
    <mergeCell ref="O405:P405"/>
    <mergeCell ref="E406:F406"/>
    <mergeCell ref="O406:P406"/>
    <mergeCell ref="O398:P398"/>
    <mergeCell ref="E399:F401"/>
    <mergeCell ref="O399:P399"/>
    <mergeCell ref="O400:P400"/>
    <mergeCell ref="O401:P401"/>
    <mergeCell ref="O402:P402"/>
    <mergeCell ref="O392:P392"/>
    <mergeCell ref="O393:P393"/>
    <mergeCell ref="E396:F396"/>
    <mergeCell ref="O396:P396"/>
    <mergeCell ref="E397:F397"/>
    <mergeCell ref="O397:P397"/>
    <mergeCell ref="O388:P388"/>
    <mergeCell ref="E389:F389"/>
    <mergeCell ref="O389:P389"/>
    <mergeCell ref="O390:P390"/>
    <mergeCell ref="E391:F391"/>
    <mergeCell ref="O391:P391"/>
    <mergeCell ref="O383:P383"/>
    <mergeCell ref="E384:F386"/>
    <mergeCell ref="O384:P384"/>
    <mergeCell ref="O385:P385"/>
    <mergeCell ref="O386:P386"/>
    <mergeCell ref="O387:P387"/>
    <mergeCell ref="O377:P377"/>
    <mergeCell ref="O378:P378"/>
    <mergeCell ref="E381:F381"/>
    <mergeCell ref="O381:P381"/>
    <mergeCell ref="E382:F382"/>
    <mergeCell ref="O382:P382"/>
    <mergeCell ref="O373:P373"/>
    <mergeCell ref="E374:F374"/>
    <mergeCell ref="O374:P374"/>
    <mergeCell ref="O375:P375"/>
    <mergeCell ref="E376:F376"/>
    <mergeCell ref="O376:P376"/>
    <mergeCell ref="O368:P368"/>
    <mergeCell ref="E369:F371"/>
    <mergeCell ref="O369:P369"/>
    <mergeCell ref="O370:P370"/>
    <mergeCell ref="O371:P371"/>
    <mergeCell ref="O372:P372"/>
    <mergeCell ref="O362:P362"/>
    <mergeCell ref="O363:P363"/>
    <mergeCell ref="E366:F366"/>
    <mergeCell ref="O366:P366"/>
    <mergeCell ref="E367:F367"/>
    <mergeCell ref="O367:P367"/>
    <mergeCell ref="O358:P358"/>
    <mergeCell ref="E359:F359"/>
    <mergeCell ref="O359:P359"/>
    <mergeCell ref="O360:P360"/>
    <mergeCell ref="E361:F361"/>
    <mergeCell ref="O361:P361"/>
    <mergeCell ref="O353:P353"/>
    <mergeCell ref="E354:F356"/>
    <mergeCell ref="O354:P354"/>
    <mergeCell ref="O355:P355"/>
    <mergeCell ref="O356:P356"/>
    <mergeCell ref="O357:P357"/>
    <mergeCell ref="O347:P347"/>
    <mergeCell ref="O348:P348"/>
    <mergeCell ref="E351:F351"/>
    <mergeCell ref="O351:P351"/>
    <mergeCell ref="E352:F352"/>
    <mergeCell ref="O352:P352"/>
    <mergeCell ref="O343:P343"/>
    <mergeCell ref="E344:F344"/>
    <mergeCell ref="O344:P344"/>
    <mergeCell ref="O345:P345"/>
    <mergeCell ref="E346:F346"/>
    <mergeCell ref="O346:P346"/>
    <mergeCell ref="O338:P338"/>
    <mergeCell ref="E339:F341"/>
    <mergeCell ref="O339:P339"/>
    <mergeCell ref="O340:P340"/>
    <mergeCell ref="O341:P341"/>
    <mergeCell ref="O342:P342"/>
    <mergeCell ref="O333:P333"/>
    <mergeCell ref="O334:P334"/>
    <mergeCell ref="E336:F336"/>
    <mergeCell ref="O336:P336"/>
    <mergeCell ref="E337:F337"/>
    <mergeCell ref="O337:P337"/>
    <mergeCell ref="O329:P329"/>
    <mergeCell ref="E330:F330"/>
    <mergeCell ref="O330:P330"/>
    <mergeCell ref="O331:P331"/>
    <mergeCell ref="E332:F332"/>
    <mergeCell ref="O332:P332"/>
    <mergeCell ref="O324:P324"/>
    <mergeCell ref="E325:F327"/>
    <mergeCell ref="O325:P325"/>
    <mergeCell ref="O326:P326"/>
    <mergeCell ref="O327:P327"/>
    <mergeCell ref="O328:P328"/>
    <mergeCell ref="O318:P318"/>
    <mergeCell ref="O319:P319"/>
    <mergeCell ref="E322:F322"/>
    <mergeCell ref="O322:P322"/>
    <mergeCell ref="E323:F323"/>
    <mergeCell ref="O323:P323"/>
    <mergeCell ref="O314:P314"/>
    <mergeCell ref="E315:F315"/>
    <mergeCell ref="O315:P315"/>
    <mergeCell ref="O316:P316"/>
    <mergeCell ref="E317:F317"/>
    <mergeCell ref="O317:P317"/>
    <mergeCell ref="O309:P309"/>
    <mergeCell ref="E310:F312"/>
    <mergeCell ref="O310:P310"/>
    <mergeCell ref="O311:P311"/>
    <mergeCell ref="O312:P312"/>
    <mergeCell ref="O313:P313"/>
    <mergeCell ref="O303:P303"/>
    <mergeCell ref="O304:P304"/>
    <mergeCell ref="E307:F307"/>
    <mergeCell ref="O307:P307"/>
    <mergeCell ref="E308:F308"/>
    <mergeCell ref="O308:P308"/>
    <mergeCell ref="O299:P299"/>
    <mergeCell ref="E300:F300"/>
    <mergeCell ref="O300:P300"/>
    <mergeCell ref="O301:P301"/>
    <mergeCell ref="E302:F302"/>
    <mergeCell ref="O302:P302"/>
    <mergeCell ref="O294:P294"/>
    <mergeCell ref="E295:F297"/>
    <mergeCell ref="O295:P295"/>
    <mergeCell ref="O296:P296"/>
    <mergeCell ref="O297:P297"/>
    <mergeCell ref="O298:P298"/>
    <mergeCell ref="O288:P288"/>
    <mergeCell ref="O289:P289"/>
    <mergeCell ref="E292:F292"/>
    <mergeCell ref="O292:P292"/>
    <mergeCell ref="E293:F293"/>
    <mergeCell ref="O293:P293"/>
    <mergeCell ref="O284:P284"/>
    <mergeCell ref="E285:F285"/>
    <mergeCell ref="O285:P285"/>
    <mergeCell ref="O286:P286"/>
    <mergeCell ref="E287:F287"/>
    <mergeCell ref="O287:P287"/>
    <mergeCell ref="O279:P279"/>
    <mergeCell ref="E280:F282"/>
    <mergeCell ref="O280:P280"/>
    <mergeCell ref="O281:P281"/>
    <mergeCell ref="O282:P282"/>
    <mergeCell ref="O283:P283"/>
    <mergeCell ref="O273:P273"/>
    <mergeCell ref="O274:P274"/>
    <mergeCell ref="E277:F277"/>
    <mergeCell ref="O277:P277"/>
    <mergeCell ref="E278:F278"/>
    <mergeCell ref="O278:P278"/>
    <mergeCell ref="O269:P269"/>
    <mergeCell ref="E270:F270"/>
    <mergeCell ref="O270:P270"/>
    <mergeCell ref="O271:P271"/>
    <mergeCell ref="E272:F272"/>
    <mergeCell ref="O272:P272"/>
    <mergeCell ref="O264:P264"/>
    <mergeCell ref="E265:F267"/>
    <mergeCell ref="O265:P265"/>
    <mergeCell ref="O266:P266"/>
    <mergeCell ref="O267:P267"/>
    <mergeCell ref="O268:P268"/>
    <mergeCell ref="O258:P258"/>
    <mergeCell ref="O259:P259"/>
    <mergeCell ref="E262:F262"/>
    <mergeCell ref="O262:P262"/>
    <mergeCell ref="E263:F263"/>
    <mergeCell ref="O263:P263"/>
    <mergeCell ref="O254:P254"/>
    <mergeCell ref="E255:F255"/>
    <mergeCell ref="O255:P255"/>
    <mergeCell ref="O256:P256"/>
    <mergeCell ref="E257:F257"/>
    <mergeCell ref="O257:P257"/>
    <mergeCell ref="O249:P249"/>
    <mergeCell ref="E250:F252"/>
    <mergeCell ref="O250:P250"/>
    <mergeCell ref="O251:P251"/>
    <mergeCell ref="O252:P252"/>
    <mergeCell ref="O253:P253"/>
    <mergeCell ref="O243:P243"/>
    <mergeCell ref="O244:P244"/>
    <mergeCell ref="E247:F247"/>
    <mergeCell ref="O247:P247"/>
    <mergeCell ref="E248:F248"/>
    <mergeCell ref="O248:P248"/>
    <mergeCell ref="O239:P239"/>
    <mergeCell ref="E240:F240"/>
    <mergeCell ref="O240:P240"/>
    <mergeCell ref="O241:P241"/>
    <mergeCell ref="E242:F242"/>
    <mergeCell ref="O242:P242"/>
    <mergeCell ref="O234:P234"/>
    <mergeCell ref="E235:F237"/>
    <mergeCell ref="O235:P235"/>
    <mergeCell ref="O236:P236"/>
    <mergeCell ref="O237:P237"/>
    <mergeCell ref="O238:P238"/>
    <mergeCell ref="O228:P228"/>
    <mergeCell ref="O229:P229"/>
    <mergeCell ref="E232:F232"/>
    <mergeCell ref="O232:P232"/>
    <mergeCell ref="E233:F233"/>
    <mergeCell ref="O233:P233"/>
    <mergeCell ref="O224:P224"/>
    <mergeCell ref="E225:F225"/>
    <mergeCell ref="O225:P225"/>
    <mergeCell ref="O226:P226"/>
    <mergeCell ref="E227:F227"/>
    <mergeCell ref="O227:P227"/>
    <mergeCell ref="O219:P219"/>
    <mergeCell ref="E220:F222"/>
    <mergeCell ref="O220:P220"/>
    <mergeCell ref="O221:P221"/>
    <mergeCell ref="O222:P222"/>
    <mergeCell ref="O223:P223"/>
    <mergeCell ref="O213:P213"/>
    <mergeCell ref="O214:P214"/>
    <mergeCell ref="E217:F217"/>
    <mergeCell ref="O217:P217"/>
    <mergeCell ref="E218:F218"/>
    <mergeCell ref="O218:P218"/>
    <mergeCell ref="O209:P209"/>
    <mergeCell ref="E210:F210"/>
    <mergeCell ref="O210:P210"/>
    <mergeCell ref="O211:P211"/>
    <mergeCell ref="E212:F212"/>
    <mergeCell ref="O212:P212"/>
    <mergeCell ref="O204:P204"/>
    <mergeCell ref="E205:F207"/>
    <mergeCell ref="O205:P205"/>
    <mergeCell ref="O206:P206"/>
    <mergeCell ref="O207:P207"/>
    <mergeCell ref="O208:P208"/>
    <mergeCell ref="O199:P199"/>
    <mergeCell ref="O200:P200"/>
    <mergeCell ref="E202:F202"/>
    <mergeCell ref="O202:P202"/>
    <mergeCell ref="E203:F203"/>
    <mergeCell ref="O203:P203"/>
    <mergeCell ref="O195:P195"/>
    <mergeCell ref="E196:F196"/>
    <mergeCell ref="O196:P196"/>
    <mergeCell ref="O197:P197"/>
    <mergeCell ref="E198:F198"/>
    <mergeCell ref="O198:P198"/>
    <mergeCell ref="O190:P190"/>
    <mergeCell ref="E191:F193"/>
    <mergeCell ref="O191:P191"/>
    <mergeCell ref="O192:P192"/>
    <mergeCell ref="O193:P193"/>
    <mergeCell ref="O194:P194"/>
    <mergeCell ref="O184:P184"/>
    <mergeCell ref="O185:P185"/>
    <mergeCell ref="E188:F188"/>
    <mergeCell ref="O188:P188"/>
    <mergeCell ref="E189:F189"/>
    <mergeCell ref="O189:P189"/>
    <mergeCell ref="O180:P180"/>
    <mergeCell ref="E181:F181"/>
    <mergeCell ref="O181:P181"/>
    <mergeCell ref="O182:P182"/>
    <mergeCell ref="E183:F183"/>
    <mergeCell ref="O183:P183"/>
    <mergeCell ref="O175:P175"/>
    <mergeCell ref="E176:F178"/>
    <mergeCell ref="O176:P176"/>
    <mergeCell ref="O177:P177"/>
    <mergeCell ref="O178:P178"/>
    <mergeCell ref="O179:P179"/>
    <mergeCell ref="O169:P169"/>
    <mergeCell ref="O170:P170"/>
    <mergeCell ref="E173:F173"/>
    <mergeCell ref="O173:P173"/>
    <mergeCell ref="E174:F174"/>
    <mergeCell ref="O174:P174"/>
    <mergeCell ref="O165:P165"/>
    <mergeCell ref="E166:F166"/>
    <mergeCell ref="O166:P166"/>
    <mergeCell ref="O167:P167"/>
    <mergeCell ref="E168:F168"/>
    <mergeCell ref="O168:P168"/>
    <mergeCell ref="O160:P160"/>
    <mergeCell ref="E161:F163"/>
    <mergeCell ref="O161:P161"/>
    <mergeCell ref="O162:P162"/>
    <mergeCell ref="O163:P163"/>
    <mergeCell ref="O164:P164"/>
    <mergeCell ref="O154:P154"/>
    <mergeCell ref="O155:P155"/>
    <mergeCell ref="E158:F158"/>
    <mergeCell ref="O158:P158"/>
    <mergeCell ref="E159:F159"/>
    <mergeCell ref="O159:P159"/>
    <mergeCell ref="O150:P150"/>
    <mergeCell ref="E151:F151"/>
    <mergeCell ref="O151:P151"/>
    <mergeCell ref="O152:P152"/>
    <mergeCell ref="E153:F153"/>
    <mergeCell ref="O153:P153"/>
    <mergeCell ref="O145:P145"/>
    <mergeCell ref="E146:F148"/>
    <mergeCell ref="O146:P146"/>
    <mergeCell ref="O147:P147"/>
    <mergeCell ref="O148:P148"/>
    <mergeCell ref="O149:P149"/>
    <mergeCell ref="O139:P139"/>
    <mergeCell ref="O140:P140"/>
    <mergeCell ref="E143:F143"/>
    <mergeCell ref="O143:P143"/>
    <mergeCell ref="E144:F144"/>
    <mergeCell ref="O144:P144"/>
    <mergeCell ref="O135:P135"/>
    <mergeCell ref="E136:F136"/>
    <mergeCell ref="O136:P136"/>
    <mergeCell ref="O137:P137"/>
    <mergeCell ref="E138:F138"/>
    <mergeCell ref="O138:P138"/>
    <mergeCell ref="O130:P130"/>
    <mergeCell ref="E131:F133"/>
    <mergeCell ref="O131:P131"/>
    <mergeCell ref="O132:P132"/>
    <mergeCell ref="O133:P133"/>
    <mergeCell ref="O134:P134"/>
    <mergeCell ref="O124:P124"/>
    <mergeCell ref="O125:P125"/>
    <mergeCell ref="E128:F128"/>
    <mergeCell ref="O128:P128"/>
    <mergeCell ref="E129:F129"/>
    <mergeCell ref="O129:P129"/>
    <mergeCell ref="O120:P120"/>
    <mergeCell ref="E121:F121"/>
    <mergeCell ref="O121:P121"/>
    <mergeCell ref="O122:P122"/>
    <mergeCell ref="E123:F123"/>
    <mergeCell ref="O123:P123"/>
    <mergeCell ref="O115:P115"/>
    <mergeCell ref="E116:F118"/>
    <mergeCell ref="O116:P116"/>
    <mergeCell ref="O117:P117"/>
    <mergeCell ref="O118:P118"/>
    <mergeCell ref="O119:P119"/>
    <mergeCell ref="O109:P109"/>
    <mergeCell ref="O110:P110"/>
    <mergeCell ref="E113:F113"/>
    <mergeCell ref="O113:P113"/>
    <mergeCell ref="E114:F114"/>
    <mergeCell ref="O114:P114"/>
    <mergeCell ref="O105:P105"/>
    <mergeCell ref="E106:F106"/>
    <mergeCell ref="O106:P106"/>
    <mergeCell ref="O107:P107"/>
    <mergeCell ref="E108:F108"/>
    <mergeCell ref="O108:P108"/>
    <mergeCell ref="O100:P100"/>
    <mergeCell ref="E101:F103"/>
    <mergeCell ref="O101:P101"/>
    <mergeCell ref="O102:P102"/>
    <mergeCell ref="O103:P103"/>
    <mergeCell ref="O104:P104"/>
    <mergeCell ref="O94:P94"/>
    <mergeCell ref="O95:P95"/>
    <mergeCell ref="E98:F98"/>
    <mergeCell ref="O98:P98"/>
    <mergeCell ref="E99:F99"/>
    <mergeCell ref="O99:P99"/>
    <mergeCell ref="O90:P90"/>
    <mergeCell ref="E91:F91"/>
    <mergeCell ref="O91:P91"/>
    <mergeCell ref="O92:P92"/>
    <mergeCell ref="E93:F93"/>
    <mergeCell ref="O93:P93"/>
    <mergeCell ref="O85:P85"/>
    <mergeCell ref="E86:F88"/>
    <mergeCell ref="O86:P86"/>
    <mergeCell ref="O87:P87"/>
    <mergeCell ref="O88:P88"/>
    <mergeCell ref="O89:P89"/>
    <mergeCell ref="O79:P79"/>
    <mergeCell ref="O80:P80"/>
    <mergeCell ref="E83:F83"/>
    <mergeCell ref="O83:P83"/>
    <mergeCell ref="E84:F84"/>
    <mergeCell ref="O84:P84"/>
    <mergeCell ref="O75:P75"/>
    <mergeCell ref="E76:F76"/>
    <mergeCell ref="O76:P76"/>
    <mergeCell ref="O77:P77"/>
    <mergeCell ref="E78:F78"/>
    <mergeCell ref="O78:P78"/>
    <mergeCell ref="O70:P70"/>
    <mergeCell ref="E71:F73"/>
    <mergeCell ref="O71:P71"/>
    <mergeCell ref="O72:P72"/>
    <mergeCell ref="O73:P73"/>
    <mergeCell ref="O74:P74"/>
    <mergeCell ref="O65:P65"/>
    <mergeCell ref="O66:P66"/>
    <mergeCell ref="E68:F68"/>
    <mergeCell ref="O68:P68"/>
    <mergeCell ref="E69:F69"/>
    <mergeCell ref="O69:P69"/>
    <mergeCell ref="O61:P61"/>
    <mergeCell ref="E62:F62"/>
    <mergeCell ref="O62:P62"/>
    <mergeCell ref="O63:P63"/>
    <mergeCell ref="E64:F64"/>
    <mergeCell ref="O64:P64"/>
    <mergeCell ref="O56:P56"/>
    <mergeCell ref="E57:F59"/>
    <mergeCell ref="O57:P57"/>
    <mergeCell ref="O58:P58"/>
    <mergeCell ref="O59:P59"/>
    <mergeCell ref="O60:P60"/>
    <mergeCell ref="O50:P50"/>
    <mergeCell ref="O51:P51"/>
    <mergeCell ref="E54:F54"/>
    <mergeCell ref="O54:P54"/>
    <mergeCell ref="E55:F55"/>
    <mergeCell ref="O55:P55"/>
    <mergeCell ref="O46:P46"/>
    <mergeCell ref="E47:F47"/>
    <mergeCell ref="O47:P47"/>
    <mergeCell ref="O48:P48"/>
    <mergeCell ref="E49:F49"/>
    <mergeCell ref="O49:P49"/>
    <mergeCell ref="O41:P41"/>
    <mergeCell ref="E42:F44"/>
    <mergeCell ref="O42:P42"/>
    <mergeCell ref="O43:P43"/>
    <mergeCell ref="O44:P44"/>
    <mergeCell ref="O45:P45"/>
    <mergeCell ref="O35:P35"/>
    <mergeCell ref="O36:P36"/>
    <mergeCell ref="E39:F39"/>
    <mergeCell ref="O39:P39"/>
    <mergeCell ref="E40:F40"/>
    <mergeCell ref="O40:P40"/>
    <mergeCell ref="O31:P31"/>
    <mergeCell ref="E32:F32"/>
    <mergeCell ref="O32:P32"/>
    <mergeCell ref="O33:P33"/>
    <mergeCell ref="E34:F34"/>
    <mergeCell ref="O34:P34"/>
    <mergeCell ref="O26:P26"/>
    <mergeCell ref="E27:F29"/>
    <mergeCell ref="O27:P27"/>
    <mergeCell ref="O28:P28"/>
    <mergeCell ref="O29:P29"/>
    <mergeCell ref="O30:P30"/>
    <mergeCell ref="O20:P20"/>
    <mergeCell ref="O21:P21"/>
    <mergeCell ref="E24:F24"/>
    <mergeCell ref="O24:P24"/>
    <mergeCell ref="E25:F25"/>
    <mergeCell ref="O25:P25"/>
    <mergeCell ref="O16:P16"/>
    <mergeCell ref="E17:F17"/>
    <mergeCell ref="O17:P17"/>
    <mergeCell ref="O18:P18"/>
    <mergeCell ref="E19:F19"/>
    <mergeCell ref="O19:P19"/>
    <mergeCell ref="O11:P11"/>
    <mergeCell ref="E12:F14"/>
    <mergeCell ref="O12:P12"/>
    <mergeCell ref="O13:P13"/>
    <mergeCell ref="O14:P14"/>
    <mergeCell ref="O15:P15"/>
    <mergeCell ref="D2:O2"/>
    <mergeCell ref="D4:S4"/>
    <mergeCell ref="E9:F9"/>
    <mergeCell ref="O9:P9"/>
    <mergeCell ref="E10:F10"/>
    <mergeCell ref="O10:P10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&amp;"-,Regular"18/05/2024 10:14 AM &amp;C&amp;"Segoe UI,Regular"&amp;9 Page 2   of   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D1:G975"/>
  <sheetViews>
    <sheetView showGridLines="0" workbookViewId="0">
      <pane ySplit="5" topLeftCell="A253" activePane="bottomLeft" state="frozen"/>
      <selection pane="bottomLeft" activeCell="K17" sqref="K17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19.140625" customWidth="1"/>
    <col min="6" max="6" width="0" hidden="1" customWidth="1"/>
    <col min="7" max="7" width="16.140625" customWidth="1"/>
    <col min="8" max="8" width="1.140625" customWidth="1"/>
  </cols>
  <sheetData>
    <row r="1" spans="4:7" ht="0.95" customHeight="1"/>
    <row r="2" spans="4:7" ht="16.149999999999999" customHeight="1">
      <c r="D2" s="27" t="s">
        <v>0</v>
      </c>
      <c r="E2" s="28"/>
    </row>
    <row r="3" spans="4:7" ht="6.6" customHeight="1"/>
    <row r="4" spans="4:7" ht="23.85" customHeight="1">
      <c r="D4" s="29" t="s">
        <v>1</v>
      </c>
      <c r="E4" s="28"/>
      <c r="F4" s="28"/>
      <c r="G4" s="28"/>
    </row>
    <row r="5" spans="4:7" ht="5.0999999999999996" customHeight="1"/>
    <row r="6" spans="4:7" ht="11.25" customHeight="1"/>
    <row r="7" spans="4:7" ht="7.7" customHeight="1"/>
    <row r="8" spans="4:7" ht="0.6" customHeight="1"/>
    <row r="9" spans="4:7" ht="15" customHeight="1">
      <c r="E9" s="5"/>
    </row>
    <row r="10" spans="4:7">
      <c r="E10" s="5"/>
    </row>
    <row r="11" spans="4:7">
      <c r="E11" s="13" t="s">
        <v>42</v>
      </c>
      <c r="G11" t="s">
        <v>61</v>
      </c>
    </row>
    <row r="12" spans="4:7">
      <c r="E12" s="33"/>
      <c r="G12" t="s">
        <v>62</v>
      </c>
    </row>
    <row r="13" spans="4:7">
      <c r="E13" s="35"/>
      <c r="G13" t="s">
        <v>64</v>
      </c>
    </row>
    <row r="14" spans="4:7">
      <c r="E14" s="37"/>
      <c r="G14" t="s">
        <v>72</v>
      </c>
    </row>
    <row r="15" spans="4:7">
      <c r="E15" s="13">
        <v>7.98</v>
      </c>
      <c r="G15" t="s">
        <v>37</v>
      </c>
    </row>
    <row r="16" spans="4:7">
      <c r="E16" s="14">
        <v>7.98</v>
      </c>
      <c r="G16">
        <v>0</v>
      </c>
    </row>
    <row r="17" spans="5:7" ht="15" customHeight="1">
      <c r="E17" s="5"/>
      <c r="G17">
        <v>0</v>
      </c>
    </row>
    <row r="18" spans="5:7">
      <c r="E18" s="13"/>
      <c r="G18" t="s">
        <v>35</v>
      </c>
    </row>
    <row r="19" spans="5:7" ht="15" customHeight="1">
      <c r="E19" s="5"/>
      <c r="G19" t="s">
        <v>76</v>
      </c>
    </row>
    <row r="20" spans="5:7">
      <c r="E20" s="15" t="s">
        <v>73</v>
      </c>
      <c r="G20" t="s">
        <v>41</v>
      </c>
    </row>
    <row r="21" spans="5:7">
      <c r="E21" s="16" t="s">
        <v>37</v>
      </c>
      <c r="G21" t="s">
        <v>85</v>
      </c>
    </row>
    <row r="22" spans="5:7" ht="0" hidden="1" customHeight="1">
      <c r="G22">
        <v>0</v>
      </c>
    </row>
    <row r="23" spans="5:7" ht="0.6" customHeight="1">
      <c r="G23">
        <v>0</v>
      </c>
    </row>
    <row r="24" spans="5:7" ht="15" customHeight="1">
      <c r="E24" s="5"/>
      <c r="G24" t="s">
        <v>57</v>
      </c>
    </row>
    <row r="25" spans="5:7">
      <c r="E25" s="5"/>
      <c r="G25" t="s">
        <v>59</v>
      </c>
    </row>
    <row r="26" spans="5:7">
      <c r="E26" s="13" t="s">
        <v>77</v>
      </c>
      <c r="G26" t="s">
        <v>61</v>
      </c>
    </row>
    <row r="27" spans="5:7">
      <c r="E27" s="33"/>
      <c r="G27" t="s">
        <v>62</v>
      </c>
    </row>
    <row r="28" spans="5:7">
      <c r="E28" s="35"/>
      <c r="G28" t="s">
        <v>87</v>
      </c>
    </row>
    <row r="29" spans="5:7">
      <c r="E29" s="37"/>
      <c r="G29" t="s">
        <v>72</v>
      </c>
    </row>
    <row r="30" spans="5:7">
      <c r="E30" s="13">
        <v>9.32</v>
      </c>
      <c r="G30" t="s">
        <v>37</v>
      </c>
    </row>
    <row r="31" spans="5:7">
      <c r="E31" s="14">
        <v>9.32</v>
      </c>
      <c r="G31">
        <v>0</v>
      </c>
    </row>
    <row r="32" spans="5:7" ht="15" customHeight="1">
      <c r="E32" s="5"/>
      <c r="G32">
        <v>0</v>
      </c>
    </row>
    <row r="33" spans="5:7">
      <c r="E33" s="13"/>
      <c r="G33" t="s">
        <v>35</v>
      </c>
    </row>
    <row r="34" spans="5:7" ht="15" customHeight="1">
      <c r="E34" s="5"/>
      <c r="G34" t="s">
        <v>90</v>
      </c>
    </row>
    <row r="35" spans="5:7">
      <c r="E35" s="15" t="s">
        <v>89</v>
      </c>
      <c r="G35" t="s">
        <v>41</v>
      </c>
    </row>
    <row r="36" spans="5:7">
      <c r="E36" s="16" t="s">
        <v>37</v>
      </c>
      <c r="G36" t="s">
        <v>99</v>
      </c>
    </row>
    <row r="37" spans="5:7" ht="0" hidden="1" customHeight="1">
      <c r="G37">
        <v>0</v>
      </c>
    </row>
    <row r="38" spans="5:7" ht="0.6" customHeight="1">
      <c r="G38">
        <v>0</v>
      </c>
    </row>
    <row r="39" spans="5:7" ht="15" customHeight="1">
      <c r="E39" s="5"/>
      <c r="G39" t="s">
        <v>57</v>
      </c>
    </row>
    <row r="40" spans="5:7">
      <c r="E40" s="5"/>
      <c r="G40" t="s">
        <v>59</v>
      </c>
    </row>
    <row r="41" spans="5:7">
      <c r="E41" s="13" t="s">
        <v>91</v>
      </c>
      <c r="G41" t="s">
        <v>61</v>
      </c>
    </row>
    <row r="42" spans="5:7">
      <c r="E42" s="33"/>
      <c r="G42" t="s">
        <v>62</v>
      </c>
    </row>
    <row r="43" spans="5:7">
      <c r="E43" s="35"/>
      <c r="G43" t="s">
        <v>101</v>
      </c>
    </row>
    <row r="44" spans="5:7">
      <c r="E44" s="37"/>
      <c r="G44" t="s">
        <v>72</v>
      </c>
    </row>
    <row r="45" spans="5:7">
      <c r="E45" s="13">
        <v>7.44</v>
      </c>
      <c r="G45" t="s">
        <v>37</v>
      </c>
    </row>
    <row r="46" spans="5:7">
      <c r="E46" s="14">
        <v>7.44</v>
      </c>
      <c r="G46">
        <v>0</v>
      </c>
    </row>
    <row r="47" spans="5:7" ht="15" customHeight="1">
      <c r="E47" s="5"/>
      <c r="G47">
        <v>0</v>
      </c>
    </row>
    <row r="48" spans="5:7">
      <c r="E48" s="13"/>
      <c r="G48" t="s">
        <v>35</v>
      </c>
    </row>
    <row r="49" spans="5:7" ht="15" customHeight="1">
      <c r="E49" s="5"/>
      <c r="G49" t="s">
        <v>105</v>
      </c>
    </row>
    <row r="50" spans="5:7">
      <c r="E50" s="15" t="s">
        <v>104</v>
      </c>
      <c r="G50" t="s">
        <v>41</v>
      </c>
    </row>
    <row r="51" spans="5:7">
      <c r="E51" s="16" t="s">
        <v>37</v>
      </c>
      <c r="G51" t="s">
        <v>113</v>
      </c>
    </row>
    <row r="52" spans="5:7" ht="0" hidden="1" customHeight="1">
      <c r="G52">
        <v>0</v>
      </c>
    </row>
    <row r="53" spans="5:7" ht="0.6" customHeight="1">
      <c r="G53">
        <v>0</v>
      </c>
    </row>
    <row r="54" spans="5:7" ht="15" customHeight="1">
      <c r="E54" s="5"/>
      <c r="G54" t="s">
        <v>57</v>
      </c>
    </row>
    <row r="55" spans="5:7">
      <c r="E55" s="5"/>
      <c r="G55" t="s">
        <v>59</v>
      </c>
    </row>
    <row r="56" spans="5:7">
      <c r="E56" s="13" t="s">
        <v>106</v>
      </c>
      <c r="G56" t="s">
        <v>61</v>
      </c>
    </row>
    <row r="57" spans="5:7">
      <c r="E57" s="33"/>
      <c r="G57" t="s">
        <v>62</v>
      </c>
    </row>
    <row r="58" spans="5:7">
      <c r="E58" s="35"/>
      <c r="G58" t="s">
        <v>64</v>
      </c>
    </row>
    <row r="59" spans="5:7">
      <c r="E59" s="37"/>
      <c r="G59" t="s">
        <v>72</v>
      </c>
    </row>
    <row r="60" spans="5:7">
      <c r="E60" s="13">
        <v>7.52</v>
      </c>
      <c r="G60" t="s">
        <v>37</v>
      </c>
    </row>
    <row r="61" spans="5:7">
      <c r="E61" s="14">
        <v>7.52</v>
      </c>
      <c r="G61">
        <v>0</v>
      </c>
    </row>
    <row r="62" spans="5:7" ht="15" customHeight="1">
      <c r="E62" s="5"/>
      <c r="G62" t="s">
        <v>35</v>
      </c>
    </row>
    <row r="63" spans="5:7">
      <c r="E63" s="13"/>
      <c r="G63" t="s">
        <v>115</v>
      </c>
    </row>
    <row r="64" spans="5:7" ht="15" customHeight="1">
      <c r="E64" s="5"/>
      <c r="G64" t="s">
        <v>41</v>
      </c>
    </row>
    <row r="65" spans="5:7">
      <c r="E65" s="15" t="s">
        <v>114</v>
      </c>
      <c r="G65" t="s">
        <v>124</v>
      </c>
    </row>
    <row r="66" spans="5:7">
      <c r="E66" s="16" t="s">
        <v>37</v>
      </c>
      <c r="G66">
        <v>0</v>
      </c>
    </row>
    <row r="67" spans="5:7" ht="0.6" customHeight="1">
      <c r="G67">
        <v>0</v>
      </c>
    </row>
    <row r="68" spans="5:7" ht="15" customHeight="1">
      <c r="E68" s="5"/>
      <c r="G68" t="s">
        <v>57</v>
      </c>
    </row>
    <row r="69" spans="5:7">
      <c r="E69" s="5"/>
      <c r="G69" t="s">
        <v>59</v>
      </c>
    </row>
    <row r="70" spans="5:7">
      <c r="E70" s="13" t="s">
        <v>116</v>
      </c>
      <c r="G70" t="s">
        <v>61</v>
      </c>
    </row>
    <row r="71" spans="5:7">
      <c r="E71" s="33"/>
      <c r="G71" t="s">
        <v>62</v>
      </c>
    </row>
    <row r="72" spans="5:7">
      <c r="E72" s="35"/>
      <c r="G72" t="s">
        <v>126</v>
      </c>
    </row>
    <row r="73" spans="5:7">
      <c r="E73" s="37"/>
      <c r="G73" t="s">
        <v>72</v>
      </c>
    </row>
    <row r="74" spans="5:7">
      <c r="E74" s="13">
        <v>6.72</v>
      </c>
      <c r="G74" t="s">
        <v>37</v>
      </c>
    </row>
    <row r="75" spans="5:7">
      <c r="E75" s="14">
        <v>6.72</v>
      </c>
      <c r="G75">
        <v>0</v>
      </c>
    </row>
    <row r="76" spans="5:7" ht="15" customHeight="1">
      <c r="E76" s="5"/>
      <c r="G76">
        <v>0</v>
      </c>
    </row>
    <row r="77" spans="5:7">
      <c r="E77" s="13"/>
      <c r="G77" t="s">
        <v>35</v>
      </c>
    </row>
    <row r="78" spans="5:7" ht="15" customHeight="1">
      <c r="E78" s="5"/>
      <c r="G78" t="s">
        <v>129</v>
      </c>
    </row>
    <row r="79" spans="5:7">
      <c r="E79" s="15" t="s">
        <v>128</v>
      </c>
      <c r="G79" t="s">
        <v>41</v>
      </c>
    </row>
    <row r="80" spans="5:7">
      <c r="E80" s="16" t="s">
        <v>37</v>
      </c>
      <c r="G80" t="s">
        <v>137</v>
      </c>
    </row>
    <row r="81" spans="5:7" ht="0" hidden="1" customHeight="1">
      <c r="G81">
        <v>0</v>
      </c>
    </row>
    <row r="82" spans="5:7" ht="0.6" customHeight="1">
      <c r="G82">
        <v>0</v>
      </c>
    </row>
    <row r="83" spans="5:7" ht="15" customHeight="1">
      <c r="E83" s="5"/>
      <c r="G83" t="s">
        <v>57</v>
      </c>
    </row>
    <row r="84" spans="5:7">
      <c r="E84" s="5"/>
      <c r="G84" t="s">
        <v>59</v>
      </c>
    </row>
    <row r="85" spans="5:7">
      <c r="E85" s="13" t="s">
        <v>130</v>
      </c>
      <c r="G85" t="s">
        <v>61</v>
      </c>
    </row>
    <row r="86" spans="5:7">
      <c r="E86" s="33"/>
      <c r="G86" t="s">
        <v>62</v>
      </c>
    </row>
    <row r="87" spans="5:7">
      <c r="E87" s="35"/>
      <c r="G87" t="s">
        <v>126</v>
      </c>
    </row>
    <row r="88" spans="5:7">
      <c r="E88" s="37"/>
      <c r="G88" t="s">
        <v>72</v>
      </c>
    </row>
    <row r="89" spans="5:7">
      <c r="E89" s="13">
        <v>6.52</v>
      </c>
      <c r="G89" t="s">
        <v>37</v>
      </c>
    </row>
    <row r="90" spans="5:7">
      <c r="E90" s="14">
        <v>6.52</v>
      </c>
      <c r="G90">
        <v>0</v>
      </c>
    </row>
    <row r="91" spans="5:7" ht="15" customHeight="1">
      <c r="E91" s="5"/>
      <c r="G91">
        <v>0</v>
      </c>
    </row>
    <row r="92" spans="5:7">
      <c r="E92" s="13"/>
      <c r="G92" t="s">
        <v>35</v>
      </c>
    </row>
    <row r="93" spans="5:7" ht="15" customHeight="1">
      <c r="E93" s="5"/>
      <c r="G93" t="s">
        <v>140</v>
      </c>
    </row>
    <row r="94" spans="5:7">
      <c r="E94" s="15" t="s">
        <v>139</v>
      </c>
      <c r="G94" t="s">
        <v>41</v>
      </c>
    </row>
    <row r="95" spans="5:7">
      <c r="E95" s="16" t="s">
        <v>37</v>
      </c>
      <c r="G95" t="s">
        <v>148</v>
      </c>
    </row>
    <row r="96" spans="5:7" ht="0" hidden="1" customHeight="1">
      <c r="G96">
        <v>0</v>
      </c>
    </row>
    <row r="97" spans="5:7" ht="0.6" customHeight="1">
      <c r="G97">
        <v>0</v>
      </c>
    </row>
    <row r="98" spans="5:7" ht="15" customHeight="1">
      <c r="E98" s="5"/>
      <c r="G98" t="s">
        <v>57</v>
      </c>
    </row>
    <row r="99" spans="5:7">
      <c r="E99" s="5"/>
      <c r="G99" t="s">
        <v>59</v>
      </c>
    </row>
    <row r="100" spans="5:7">
      <c r="E100" s="13" t="s">
        <v>141</v>
      </c>
      <c r="G100" t="s">
        <v>61</v>
      </c>
    </row>
    <row r="101" spans="5:7">
      <c r="E101" s="33"/>
      <c r="G101" t="s">
        <v>62</v>
      </c>
    </row>
    <row r="102" spans="5:7">
      <c r="E102" s="35"/>
      <c r="G102" t="s">
        <v>101</v>
      </c>
    </row>
    <row r="103" spans="5:7">
      <c r="E103" s="37"/>
      <c r="G103" t="s">
        <v>72</v>
      </c>
    </row>
    <row r="104" spans="5:7">
      <c r="E104" s="13">
        <v>7.42</v>
      </c>
      <c r="G104" t="s">
        <v>37</v>
      </c>
    </row>
    <row r="105" spans="5:7">
      <c r="E105" s="14">
        <v>7.42</v>
      </c>
      <c r="G105">
        <v>0</v>
      </c>
    </row>
    <row r="106" spans="5:7" ht="15" customHeight="1">
      <c r="E106" s="5"/>
      <c r="G106">
        <v>0</v>
      </c>
    </row>
    <row r="107" spans="5:7">
      <c r="E107" s="13"/>
      <c r="G107" t="s">
        <v>35</v>
      </c>
    </row>
    <row r="108" spans="5:7" ht="15" customHeight="1">
      <c r="E108" s="5"/>
      <c r="G108" t="s">
        <v>150</v>
      </c>
    </row>
    <row r="109" spans="5:7">
      <c r="E109" s="15" t="s">
        <v>149</v>
      </c>
      <c r="G109" t="s">
        <v>41</v>
      </c>
    </row>
    <row r="110" spans="5:7">
      <c r="E110" s="16" t="s">
        <v>37</v>
      </c>
      <c r="G110" t="s">
        <v>156</v>
      </c>
    </row>
    <row r="111" spans="5:7" ht="0" hidden="1" customHeight="1">
      <c r="G111">
        <v>0</v>
      </c>
    </row>
    <row r="112" spans="5:7" ht="0.6" customHeight="1">
      <c r="G112">
        <v>0</v>
      </c>
    </row>
    <row r="113" spans="5:7" ht="15" customHeight="1">
      <c r="E113" s="5"/>
      <c r="G113" t="s">
        <v>57</v>
      </c>
    </row>
    <row r="114" spans="5:7">
      <c r="E114" s="5"/>
      <c r="G114" t="s">
        <v>59</v>
      </c>
    </row>
    <row r="115" spans="5:7">
      <c r="E115" s="13" t="s">
        <v>151</v>
      </c>
      <c r="G115" t="s">
        <v>61</v>
      </c>
    </row>
    <row r="116" spans="5:7">
      <c r="E116" s="33"/>
      <c r="G116" t="s">
        <v>62</v>
      </c>
    </row>
    <row r="117" spans="5:7">
      <c r="E117" s="35"/>
      <c r="G117" t="s">
        <v>64</v>
      </c>
    </row>
    <row r="118" spans="5:7">
      <c r="E118" s="37"/>
      <c r="G118" t="s">
        <v>72</v>
      </c>
    </row>
    <row r="119" spans="5:7">
      <c r="E119" s="13">
        <v>7.72</v>
      </c>
      <c r="G119" t="s">
        <v>37</v>
      </c>
    </row>
    <row r="120" spans="5:7">
      <c r="E120" s="14">
        <v>7.72</v>
      </c>
      <c r="G120">
        <v>0</v>
      </c>
    </row>
    <row r="121" spans="5:7" ht="15" customHeight="1">
      <c r="E121" s="5"/>
      <c r="G121">
        <v>0</v>
      </c>
    </row>
    <row r="122" spans="5:7">
      <c r="E122" s="13"/>
      <c r="G122" t="s">
        <v>35</v>
      </c>
    </row>
    <row r="123" spans="5:7" ht="15" customHeight="1">
      <c r="E123" s="5"/>
      <c r="G123" t="s">
        <v>158</v>
      </c>
    </row>
    <row r="124" spans="5:7">
      <c r="E124" s="15" t="s">
        <v>157</v>
      </c>
      <c r="G124" t="s">
        <v>41</v>
      </c>
    </row>
    <row r="125" spans="5:7">
      <c r="E125" s="16" t="s">
        <v>37</v>
      </c>
      <c r="G125" t="s">
        <v>167</v>
      </c>
    </row>
    <row r="126" spans="5:7" ht="0" hidden="1" customHeight="1">
      <c r="G126">
        <v>0</v>
      </c>
    </row>
    <row r="127" spans="5:7" ht="0.6" customHeight="1">
      <c r="G127">
        <v>0</v>
      </c>
    </row>
    <row r="128" spans="5:7" ht="15" customHeight="1">
      <c r="E128" s="5"/>
      <c r="G128" t="s">
        <v>57</v>
      </c>
    </row>
    <row r="129" spans="5:7">
      <c r="E129" s="5"/>
      <c r="G129" t="s">
        <v>59</v>
      </c>
    </row>
    <row r="130" spans="5:7">
      <c r="E130" s="13" t="s">
        <v>159</v>
      </c>
      <c r="G130" t="s">
        <v>61</v>
      </c>
    </row>
    <row r="131" spans="5:7">
      <c r="E131" s="33"/>
      <c r="G131" t="s">
        <v>62</v>
      </c>
    </row>
    <row r="132" spans="5:7">
      <c r="E132" s="35"/>
      <c r="G132" t="s">
        <v>64</v>
      </c>
    </row>
    <row r="133" spans="5:7">
      <c r="E133" s="37"/>
      <c r="G133" t="s">
        <v>72</v>
      </c>
    </row>
    <row r="134" spans="5:7">
      <c r="E134" s="13">
        <v>7.74</v>
      </c>
      <c r="G134" t="s">
        <v>37</v>
      </c>
    </row>
    <row r="135" spans="5:7">
      <c r="E135" s="14">
        <v>7.74</v>
      </c>
      <c r="G135">
        <v>0</v>
      </c>
    </row>
    <row r="136" spans="5:7" ht="15" customHeight="1">
      <c r="E136" s="5"/>
      <c r="G136">
        <v>0</v>
      </c>
    </row>
    <row r="137" spans="5:7">
      <c r="E137" s="13"/>
      <c r="G137" t="s">
        <v>35</v>
      </c>
    </row>
    <row r="138" spans="5:7" ht="15" customHeight="1">
      <c r="E138" s="5"/>
      <c r="G138" t="s">
        <v>169</v>
      </c>
    </row>
    <row r="139" spans="5:7">
      <c r="E139" s="15" t="s">
        <v>168</v>
      </c>
      <c r="G139" t="s">
        <v>41</v>
      </c>
    </row>
    <row r="140" spans="5:7">
      <c r="E140" s="16" t="s">
        <v>37</v>
      </c>
      <c r="G140" t="s">
        <v>177</v>
      </c>
    </row>
    <row r="141" spans="5:7" ht="0" hidden="1" customHeight="1">
      <c r="G141">
        <v>0</v>
      </c>
    </row>
    <row r="142" spans="5:7" ht="0.6" customHeight="1">
      <c r="G142">
        <v>0</v>
      </c>
    </row>
    <row r="143" spans="5:7" ht="15" customHeight="1">
      <c r="E143" s="5"/>
      <c r="G143" t="s">
        <v>57</v>
      </c>
    </row>
    <row r="144" spans="5:7">
      <c r="E144" s="5"/>
      <c r="G144" t="s">
        <v>59</v>
      </c>
    </row>
    <row r="145" spans="5:7">
      <c r="E145" s="13" t="s">
        <v>170</v>
      </c>
      <c r="G145" t="s">
        <v>61</v>
      </c>
    </row>
    <row r="146" spans="5:7">
      <c r="E146" s="33"/>
      <c r="G146" t="s">
        <v>62</v>
      </c>
    </row>
    <row r="147" spans="5:7">
      <c r="E147" s="35"/>
      <c r="G147" t="s">
        <v>64</v>
      </c>
    </row>
    <row r="148" spans="5:7">
      <c r="E148" s="37"/>
      <c r="G148" t="s">
        <v>72</v>
      </c>
    </row>
    <row r="149" spans="5:7">
      <c r="E149" s="13">
        <v>7.74</v>
      </c>
      <c r="G149" t="s">
        <v>37</v>
      </c>
    </row>
    <row r="150" spans="5:7">
      <c r="E150" s="14">
        <v>7.74</v>
      </c>
      <c r="G150">
        <v>0</v>
      </c>
    </row>
    <row r="151" spans="5:7" ht="15" customHeight="1">
      <c r="E151" s="5"/>
      <c r="G151">
        <v>0</v>
      </c>
    </row>
    <row r="152" spans="5:7">
      <c r="E152" s="13"/>
      <c r="G152" t="s">
        <v>35</v>
      </c>
    </row>
    <row r="153" spans="5:7" ht="15" customHeight="1">
      <c r="E153" s="5"/>
      <c r="G153" t="s">
        <v>180</v>
      </c>
    </row>
    <row r="154" spans="5:7">
      <c r="E154" s="15" t="s">
        <v>179</v>
      </c>
      <c r="G154" t="s">
        <v>41</v>
      </c>
    </row>
    <row r="155" spans="5:7">
      <c r="E155" s="16" t="s">
        <v>37</v>
      </c>
      <c r="G155" t="s">
        <v>187</v>
      </c>
    </row>
    <row r="156" spans="5:7" ht="0" hidden="1" customHeight="1">
      <c r="G156">
        <v>0</v>
      </c>
    </row>
    <row r="157" spans="5:7" ht="0.6" customHeight="1">
      <c r="G157">
        <v>0</v>
      </c>
    </row>
    <row r="158" spans="5:7" ht="15" customHeight="1">
      <c r="E158" s="5"/>
      <c r="G158" t="s">
        <v>57</v>
      </c>
    </row>
    <row r="159" spans="5:7">
      <c r="E159" s="5"/>
      <c r="G159" t="s">
        <v>59</v>
      </c>
    </row>
    <row r="160" spans="5:7">
      <c r="E160" s="13" t="s">
        <v>181</v>
      </c>
      <c r="G160" t="s">
        <v>61</v>
      </c>
    </row>
    <row r="161" spans="5:7">
      <c r="E161" s="33"/>
      <c r="G161" t="s">
        <v>62</v>
      </c>
    </row>
    <row r="162" spans="5:7">
      <c r="E162" s="35"/>
      <c r="G162" t="s">
        <v>188</v>
      </c>
    </row>
    <row r="163" spans="5:7">
      <c r="E163" s="37"/>
      <c r="G163" t="s">
        <v>72</v>
      </c>
    </row>
    <row r="164" spans="5:7">
      <c r="E164" s="13">
        <v>8.64</v>
      </c>
      <c r="G164" t="s">
        <v>37</v>
      </c>
    </row>
    <row r="165" spans="5:7">
      <c r="E165" s="14">
        <v>8.64</v>
      </c>
      <c r="G165">
        <v>0</v>
      </c>
    </row>
    <row r="166" spans="5:7" ht="15" customHeight="1">
      <c r="E166" s="5"/>
      <c r="G166">
        <v>0</v>
      </c>
    </row>
    <row r="167" spans="5:7">
      <c r="E167" s="13"/>
      <c r="G167" t="s">
        <v>35</v>
      </c>
    </row>
    <row r="168" spans="5:7" ht="15" customHeight="1">
      <c r="E168" s="5"/>
      <c r="G168" t="s">
        <v>190</v>
      </c>
    </row>
    <row r="169" spans="5:7">
      <c r="E169" s="15" t="s">
        <v>189</v>
      </c>
      <c r="G169" t="s">
        <v>41</v>
      </c>
    </row>
    <row r="170" spans="5:7">
      <c r="E170" s="16" t="s">
        <v>37</v>
      </c>
      <c r="G170" t="s">
        <v>198</v>
      </c>
    </row>
    <row r="171" spans="5:7" ht="0" hidden="1" customHeight="1">
      <c r="G171">
        <v>0</v>
      </c>
    </row>
    <row r="172" spans="5:7" ht="0.6" customHeight="1">
      <c r="G172">
        <v>0</v>
      </c>
    </row>
    <row r="173" spans="5:7" ht="15" customHeight="1">
      <c r="E173" s="5"/>
      <c r="G173" t="s">
        <v>57</v>
      </c>
    </row>
    <row r="174" spans="5:7">
      <c r="E174" s="5"/>
      <c r="G174" t="s">
        <v>59</v>
      </c>
    </row>
    <row r="175" spans="5:7">
      <c r="E175" s="13" t="s">
        <v>191</v>
      </c>
      <c r="G175" t="s">
        <v>61</v>
      </c>
    </row>
    <row r="176" spans="5:7">
      <c r="E176" s="33"/>
      <c r="G176" t="s">
        <v>62</v>
      </c>
    </row>
    <row r="177" spans="5:7">
      <c r="E177" s="35"/>
      <c r="G177" t="s">
        <v>200</v>
      </c>
    </row>
    <row r="178" spans="5:7">
      <c r="E178" s="37"/>
      <c r="G178" t="s">
        <v>72</v>
      </c>
    </row>
    <row r="179" spans="5:7">
      <c r="E179" s="13">
        <v>8.14</v>
      </c>
      <c r="G179" t="s">
        <v>37</v>
      </c>
    </row>
    <row r="180" spans="5:7">
      <c r="E180" s="14">
        <v>8.14</v>
      </c>
      <c r="G180">
        <v>0</v>
      </c>
    </row>
    <row r="181" spans="5:7" ht="15" customHeight="1">
      <c r="E181" s="5"/>
      <c r="G181">
        <v>0</v>
      </c>
    </row>
    <row r="182" spans="5:7">
      <c r="E182" s="13"/>
      <c r="G182" t="s">
        <v>35</v>
      </c>
    </row>
    <row r="183" spans="5:7" ht="15" customHeight="1">
      <c r="E183" s="5"/>
      <c r="G183" t="s">
        <v>202</v>
      </c>
    </row>
    <row r="184" spans="5:7">
      <c r="E184" s="15" t="s">
        <v>201</v>
      </c>
      <c r="G184" t="s">
        <v>41</v>
      </c>
    </row>
    <row r="185" spans="5:7">
      <c r="E185" s="16" t="s">
        <v>37</v>
      </c>
      <c r="G185" t="s">
        <v>210</v>
      </c>
    </row>
    <row r="186" spans="5:7" ht="0" hidden="1" customHeight="1">
      <c r="G186">
        <v>0</v>
      </c>
    </row>
    <row r="187" spans="5:7" ht="0.6" customHeight="1">
      <c r="G187">
        <v>0</v>
      </c>
    </row>
    <row r="188" spans="5:7" ht="15" customHeight="1">
      <c r="E188" s="5"/>
      <c r="G188" t="s">
        <v>57</v>
      </c>
    </row>
    <row r="189" spans="5:7">
      <c r="E189" s="5"/>
      <c r="G189" t="s">
        <v>59</v>
      </c>
    </row>
    <row r="190" spans="5:7">
      <c r="E190" s="13" t="s">
        <v>203</v>
      </c>
      <c r="G190" t="s">
        <v>61</v>
      </c>
    </row>
    <row r="191" spans="5:7">
      <c r="E191" s="33"/>
      <c r="G191" t="s">
        <v>62</v>
      </c>
    </row>
    <row r="192" spans="5:7">
      <c r="E192" s="35"/>
      <c r="G192" t="s">
        <v>188</v>
      </c>
    </row>
    <row r="193" spans="5:7">
      <c r="E193" s="37"/>
      <c r="G193" t="s">
        <v>72</v>
      </c>
    </row>
    <row r="194" spans="5:7">
      <c r="E194" s="13">
        <v>8.76</v>
      </c>
      <c r="G194" t="s">
        <v>37</v>
      </c>
    </row>
    <row r="195" spans="5:7">
      <c r="E195" s="14">
        <v>8.76</v>
      </c>
      <c r="G195">
        <v>0</v>
      </c>
    </row>
    <row r="196" spans="5:7" ht="15" customHeight="1">
      <c r="E196" s="5"/>
      <c r="G196" t="s">
        <v>35</v>
      </c>
    </row>
    <row r="197" spans="5:7">
      <c r="E197" s="13"/>
      <c r="G197" t="s">
        <v>212</v>
      </c>
    </row>
    <row r="198" spans="5:7" ht="15" customHeight="1">
      <c r="E198" s="5"/>
      <c r="G198" t="s">
        <v>41</v>
      </c>
    </row>
    <row r="199" spans="5:7">
      <c r="E199" s="15" t="s">
        <v>211</v>
      </c>
      <c r="G199" t="s">
        <v>198</v>
      </c>
    </row>
    <row r="200" spans="5:7">
      <c r="E200" s="16" t="s">
        <v>37</v>
      </c>
      <c r="G200">
        <v>0</v>
      </c>
    </row>
    <row r="201" spans="5:7" ht="0.6" customHeight="1">
      <c r="G201">
        <v>0</v>
      </c>
    </row>
    <row r="202" spans="5:7" ht="15" customHeight="1">
      <c r="E202" s="5"/>
      <c r="G202" t="s">
        <v>57</v>
      </c>
    </row>
    <row r="203" spans="5:7">
      <c r="E203" s="5"/>
      <c r="G203" t="s">
        <v>59</v>
      </c>
    </row>
    <row r="204" spans="5:7">
      <c r="E204" s="13" t="s">
        <v>213</v>
      </c>
      <c r="G204" t="s">
        <v>61</v>
      </c>
    </row>
    <row r="205" spans="5:7">
      <c r="E205" s="33"/>
      <c r="G205" t="s">
        <v>62</v>
      </c>
    </row>
    <row r="206" spans="5:7">
      <c r="E206" s="35"/>
      <c r="G206" t="s">
        <v>64</v>
      </c>
    </row>
    <row r="207" spans="5:7">
      <c r="E207" s="37"/>
      <c r="G207" t="s">
        <v>72</v>
      </c>
    </row>
    <row r="208" spans="5:7">
      <c r="E208" s="13">
        <v>7.9</v>
      </c>
      <c r="G208" t="s">
        <v>37</v>
      </c>
    </row>
    <row r="209" spans="5:7">
      <c r="E209" s="14">
        <v>7.9</v>
      </c>
      <c r="G209">
        <v>0</v>
      </c>
    </row>
    <row r="210" spans="5:7" ht="15" customHeight="1">
      <c r="E210" s="5"/>
      <c r="G210">
        <v>0</v>
      </c>
    </row>
    <row r="211" spans="5:7">
      <c r="E211" s="13"/>
      <c r="G211" t="s">
        <v>35</v>
      </c>
    </row>
    <row r="212" spans="5:7" ht="15" customHeight="1">
      <c r="E212" s="5"/>
      <c r="G212" t="s">
        <v>220</v>
      </c>
    </row>
    <row r="213" spans="5:7">
      <c r="E213" s="15" t="s">
        <v>219</v>
      </c>
      <c r="G213" t="s">
        <v>41</v>
      </c>
    </row>
    <row r="214" spans="5:7">
      <c r="E214" s="16" t="s">
        <v>37</v>
      </c>
      <c r="G214" t="s">
        <v>228</v>
      </c>
    </row>
    <row r="215" spans="5:7" ht="0" hidden="1" customHeight="1">
      <c r="G215">
        <v>0</v>
      </c>
    </row>
    <row r="216" spans="5:7" ht="0.6" customHeight="1">
      <c r="G216">
        <v>0</v>
      </c>
    </row>
    <row r="217" spans="5:7" ht="15" customHeight="1">
      <c r="E217" s="5"/>
      <c r="G217" t="s">
        <v>57</v>
      </c>
    </row>
    <row r="218" spans="5:7">
      <c r="E218" s="5"/>
      <c r="G218" t="s">
        <v>59</v>
      </c>
    </row>
    <row r="219" spans="5:7">
      <c r="E219" s="13" t="s">
        <v>221</v>
      </c>
      <c r="G219" t="s">
        <v>61</v>
      </c>
    </row>
    <row r="220" spans="5:7">
      <c r="E220" s="33"/>
      <c r="G220" t="s">
        <v>62</v>
      </c>
    </row>
    <row r="221" spans="5:7">
      <c r="E221" s="35"/>
      <c r="G221" t="s">
        <v>200</v>
      </c>
    </row>
    <row r="222" spans="5:7">
      <c r="E222" s="37"/>
      <c r="G222" t="s">
        <v>72</v>
      </c>
    </row>
    <row r="223" spans="5:7">
      <c r="E223" s="13">
        <v>8.36</v>
      </c>
      <c r="G223" t="s">
        <v>37</v>
      </c>
    </row>
    <row r="224" spans="5:7">
      <c r="E224" s="14">
        <v>8.36</v>
      </c>
      <c r="G224">
        <v>0</v>
      </c>
    </row>
    <row r="225" spans="5:7" ht="15" customHeight="1">
      <c r="E225" s="5"/>
      <c r="G225">
        <v>0</v>
      </c>
    </row>
    <row r="226" spans="5:7">
      <c r="E226" s="13"/>
      <c r="G226" t="s">
        <v>35</v>
      </c>
    </row>
    <row r="227" spans="5:7" ht="15" customHeight="1">
      <c r="E227" s="5"/>
      <c r="G227" t="s">
        <v>230</v>
      </c>
    </row>
    <row r="228" spans="5:7">
      <c r="E228" s="15" t="s">
        <v>229</v>
      </c>
      <c r="G228" t="s">
        <v>41</v>
      </c>
    </row>
    <row r="229" spans="5:7">
      <c r="E229" s="16" t="s">
        <v>37</v>
      </c>
      <c r="G229" t="s">
        <v>237</v>
      </c>
    </row>
    <row r="230" spans="5:7" ht="0" hidden="1" customHeight="1">
      <c r="G230">
        <v>0</v>
      </c>
    </row>
    <row r="231" spans="5:7" ht="0.6" customHeight="1">
      <c r="G231">
        <v>0</v>
      </c>
    </row>
    <row r="232" spans="5:7" ht="15" customHeight="1">
      <c r="E232" s="5"/>
      <c r="G232" t="s">
        <v>57</v>
      </c>
    </row>
    <row r="233" spans="5:7">
      <c r="E233" s="5"/>
      <c r="G233" t="s">
        <v>59</v>
      </c>
    </row>
    <row r="234" spans="5:7">
      <c r="E234" s="13" t="s">
        <v>231</v>
      </c>
      <c r="G234" t="s">
        <v>61</v>
      </c>
    </row>
    <row r="235" spans="5:7">
      <c r="E235" s="33"/>
      <c r="G235" t="s">
        <v>62</v>
      </c>
    </row>
    <row r="236" spans="5:7">
      <c r="E236" s="35"/>
      <c r="G236" t="s">
        <v>101</v>
      </c>
    </row>
    <row r="237" spans="5:7">
      <c r="E237" s="37"/>
      <c r="G237" t="s">
        <v>72</v>
      </c>
    </row>
    <row r="238" spans="5:7">
      <c r="E238" s="13">
        <v>7.08</v>
      </c>
      <c r="G238" t="s">
        <v>37</v>
      </c>
    </row>
    <row r="239" spans="5:7">
      <c r="E239" s="14">
        <v>7.08</v>
      </c>
      <c r="G239">
        <v>0</v>
      </c>
    </row>
    <row r="240" spans="5:7" ht="15" customHeight="1">
      <c r="E240" s="5"/>
      <c r="G240">
        <v>0</v>
      </c>
    </row>
    <row r="241" spans="5:7">
      <c r="E241" s="13"/>
      <c r="G241" t="s">
        <v>35</v>
      </c>
    </row>
    <row r="242" spans="5:7" ht="15" customHeight="1">
      <c r="E242" s="5"/>
      <c r="G242" t="s">
        <v>239</v>
      </c>
    </row>
    <row r="243" spans="5:7">
      <c r="E243" s="15" t="s">
        <v>238</v>
      </c>
      <c r="G243" t="s">
        <v>41</v>
      </c>
    </row>
    <row r="244" spans="5:7">
      <c r="E244" s="16" t="s">
        <v>37</v>
      </c>
      <c r="G244" t="s">
        <v>248</v>
      </c>
    </row>
    <row r="245" spans="5:7" ht="0" hidden="1" customHeight="1">
      <c r="G245">
        <v>0</v>
      </c>
    </row>
    <row r="246" spans="5:7" ht="0.6" customHeight="1">
      <c r="G246">
        <v>0</v>
      </c>
    </row>
    <row r="247" spans="5:7" ht="15" customHeight="1">
      <c r="E247" s="5"/>
      <c r="G247" t="s">
        <v>57</v>
      </c>
    </row>
    <row r="248" spans="5:7">
      <c r="E248" s="5"/>
      <c r="G248" t="s">
        <v>59</v>
      </c>
    </row>
    <row r="249" spans="5:7">
      <c r="E249" s="13" t="s">
        <v>240</v>
      </c>
      <c r="G249" t="s">
        <v>61</v>
      </c>
    </row>
    <row r="250" spans="5:7">
      <c r="E250" s="33"/>
      <c r="G250" t="s">
        <v>62</v>
      </c>
    </row>
    <row r="251" spans="5:7">
      <c r="E251" s="35"/>
      <c r="G251" t="s">
        <v>200</v>
      </c>
    </row>
    <row r="252" spans="5:7">
      <c r="E252" s="37"/>
      <c r="G252" t="s">
        <v>72</v>
      </c>
    </row>
    <row r="253" spans="5:7">
      <c r="E253" s="13">
        <v>8.02</v>
      </c>
      <c r="G253" t="s">
        <v>37</v>
      </c>
    </row>
    <row r="254" spans="5:7">
      <c r="E254" s="14">
        <v>8.02</v>
      </c>
      <c r="G254">
        <v>0</v>
      </c>
    </row>
    <row r="255" spans="5:7" ht="15" customHeight="1">
      <c r="E255" s="5"/>
      <c r="G255">
        <v>0</v>
      </c>
    </row>
    <row r="256" spans="5:7">
      <c r="E256" s="13"/>
      <c r="G256" t="s">
        <v>35</v>
      </c>
    </row>
    <row r="257" spans="5:7" ht="15" customHeight="1">
      <c r="E257" s="5"/>
      <c r="G257" t="s">
        <v>250</v>
      </c>
    </row>
    <row r="258" spans="5:7">
      <c r="E258" s="15" t="s">
        <v>249</v>
      </c>
      <c r="G258" t="s">
        <v>41</v>
      </c>
    </row>
    <row r="259" spans="5:7">
      <c r="E259" s="16" t="s">
        <v>37</v>
      </c>
      <c r="G259" t="s">
        <v>258</v>
      </c>
    </row>
    <row r="260" spans="5:7" ht="0" hidden="1" customHeight="1">
      <c r="G260">
        <v>0</v>
      </c>
    </row>
    <row r="261" spans="5:7" ht="0.6" customHeight="1">
      <c r="G261">
        <v>0</v>
      </c>
    </row>
    <row r="262" spans="5:7" ht="15" customHeight="1">
      <c r="E262" s="5"/>
      <c r="G262" t="s">
        <v>57</v>
      </c>
    </row>
    <row r="263" spans="5:7">
      <c r="E263" s="5"/>
      <c r="G263" t="s">
        <v>59</v>
      </c>
    </row>
    <row r="264" spans="5:7">
      <c r="E264" s="13" t="s">
        <v>251</v>
      </c>
      <c r="G264" t="s">
        <v>260</v>
      </c>
    </row>
    <row r="265" spans="5:7">
      <c r="E265" s="33"/>
      <c r="G265" t="s">
        <v>62</v>
      </c>
    </row>
    <row r="266" spans="5:7">
      <c r="E266" s="35"/>
      <c r="G266" t="s">
        <v>261</v>
      </c>
    </row>
    <row r="267" spans="5:7">
      <c r="E267" s="37"/>
      <c r="G267" t="s">
        <v>72</v>
      </c>
    </row>
    <row r="268" spans="5:7">
      <c r="E268" s="13">
        <v>3.46</v>
      </c>
      <c r="G268" t="s">
        <v>37</v>
      </c>
    </row>
    <row r="269" spans="5:7">
      <c r="E269" s="13"/>
      <c r="G269">
        <v>0</v>
      </c>
    </row>
    <row r="270" spans="5:7" ht="15" customHeight="1">
      <c r="E270" s="5"/>
      <c r="G270">
        <v>0</v>
      </c>
    </row>
    <row r="271" spans="5:7">
      <c r="E271" s="13"/>
      <c r="G271" t="s">
        <v>35</v>
      </c>
    </row>
    <row r="272" spans="5:7" ht="15" customHeight="1">
      <c r="E272" s="5"/>
      <c r="G272" t="s">
        <v>264</v>
      </c>
    </row>
    <row r="273" spans="5:7">
      <c r="E273" s="15" t="s">
        <v>262</v>
      </c>
      <c r="G273" t="s">
        <v>41</v>
      </c>
    </row>
    <row r="274" spans="5:7">
      <c r="E274" s="16" t="s">
        <v>37</v>
      </c>
      <c r="G274" t="s">
        <v>272</v>
      </c>
    </row>
    <row r="275" spans="5:7" ht="0" hidden="1" customHeight="1">
      <c r="G275">
        <v>0</v>
      </c>
    </row>
    <row r="276" spans="5:7" ht="0.6" customHeight="1">
      <c r="G276">
        <v>0</v>
      </c>
    </row>
    <row r="277" spans="5:7" ht="15" customHeight="1">
      <c r="E277" s="5"/>
      <c r="G277" t="s">
        <v>57</v>
      </c>
    </row>
    <row r="278" spans="5:7">
      <c r="E278" s="5"/>
      <c r="G278" t="s">
        <v>59</v>
      </c>
    </row>
    <row r="279" spans="5:7">
      <c r="E279" s="13" t="s">
        <v>265</v>
      </c>
      <c r="G279" t="s">
        <v>61</v>
      </c>
    </row>
    <row r="280" spans="5:7">
      <c r="E280" s="33"/>
      <c r="G280" t="s">
        <v>62</v>
      </c>
    </row>
    <row r="281" spans="5:7">
      <c r="E281" s="35"/>
      <c r="G281" t="s">
        <v>273</v>
      </c>
    </row>
    <row r="282" spans="5:7">
      <c r="E282" s="37"/>
      <c r="G282" t="s">
        <v>72</v>
      </c>
    </row>
    <row r="283" spans="5:7">
      <c r="E283" s="13">
        <v>6.28</v>
      </c>
      <c r="G283" t="s">
        <v>37</v>
      </c>
    </row>
    <row r="284" spans="5:7">
      <c r="E284" s="14">
        <v>6.28</v>
      </c>
      <c r="G284">
        <v>0</v>
      </c>
    </row>
    <row r="285" spans="5:7" ht="15" customHeight="1">
      <c r="E285" s="5"/>
      <c r="G285">
        <v>0</v>
      </c>
    </row>
    <row r="286" spans="5:7">
      <c r="E286" s="13"/>
      <c r="G286" t="s">
        <v>35</v>
      </c>
    </row>
    <row r="287" spans="5:7" ht="15" customHeight="1">
      <c r="E287" s="5"/>
      <c r="G287" t="s">
        <v>275</v>
      </c>
    </row>
    <row r="288" spans="5:7">
      <c r="E288" s="15" t="s">
        <v>274</v>
      </c>
      <c r="G288" t="s">
        <v>41</v>
      </c>
    </row>
    <row r="289" spans="5:7">
      <c r="E289" s="16" t="s">
        <v>37</v>
      </c>
      <c r="G289" t="s">
        <v>282</v>
      </c>
    </row>
    <row r="290" spans="5:7" ht="0" hidden="1" customHeight="1">
      <c r="G290">
        <v>0</v>
      </c>
    </row>
    <row r="291" spans="5:7" ht="0.6" customHeight="1">
      <c r="G291">
        <v>0</v>
      </c>
    </row>
    <row r="292" spans="5:7" ht="15" customHeight="1">
      <c r="E292" s="5"/>
      <c r="G292" t="s">
        <v>57</v>
      </c>
    </row>
    <row r="293" spans="5:7">
      <c r="E293" s="5"/>
      <c r="G293" t="s">
        <v>59</v>
      </c>
    </row>
    <row r="294" spans="5:7">
      <c r="E294" s="13" t="s">
        <v>276</v>
      </c>
      <c r="G294" t="s">
        <v>61</v>
      </c>
    </row>
    <row r="295" spans="5:7">
      <c r="E295" s="33"/>
      <c r="G295" t="s">
        <v>62</v>
      </c>
    </row>
    <row r="296" spans="5:7">
      <c r="E296" s="35"/>
      <c r="G296" t="s">
        <v>188</v>
      </c>
    </row>
    <row r="297" spans="5:7">
      <c r="E297" s="37"/>
      <c r="G297" t="s">
        <v>72</v>
      </c>
    </row>
    <row r="298" spans="5:7">
      <c r="E298" s="13">
        <v>8.86</v>
      </c>
      <c r="G298" t="s">
        <v>37</v>
      </c>
    </row>
    <row r="299" spans="5:7">
      <c r="E299" s="14">
        <v>8.86</v>
      </c>
      <c r="G299">
        <v>0</v>
      </c>
    </row>
    <row r="300" spans="5:7" ht="15" customHeight="1">
      <c r="E300" s="5"/>
      <c r="G300">
        <v>0</v>
      </c>
    </row>
    <row r="301" spans="5:7">
      <c r="E301" s="13"/>
      <c r="G301" t="s">
        <v>35</v>
      </c>
    </row>
    <row r="302" spans="5:7" ht="15" customHeight="1">
      <c r="E302" s="5"/>
      <c r="G302" t="s">
        <v>285</v>
      </c>
    </row>
    <row r="303" spans="5:7">
      <c r="E303" s="15" t="s">
        <v>284</v>
      </c>
      <c r="G303" t="s">
        <v>41</v>
      </c>
    </row>
    <row r="304" spans="5:7">
      <c r="E304" s="16" t="s">
        <v>37</v>
      </c>
      <c r="G304" t="s">
        <v>291</v>
      </c>
    </row>
    <row r="305" spans="5:7" ht="0" hidden="1" customHeight="1">
      <c r="G305">
        <v>0</v>
      </c>
    </row>
    <row r="306" spans="5:7" ht="0.6" customHeight="1">
      <c r="G306">
        <v>0</v>
      </c>
    </row>
    <row r="307" spans="5:7" ht="15" customHeight="1">
      <c r="E307" s="5"/>
      <c r="G307" t="s">
        <v>57</v>
      </c>
    </row>
    <row r="308" spans="5:7">
      <c r="E308" s="5"/>
      <c r="G308" t="s">
        <v>59</v>
      </c>
    </row>
    <row r="309" spans="5:7">
      <c r="E309" s="13" t="s">
        <v>286</v>
      </c>
      <c r="G309" t="s">
        <v>61</v>
      </c>
    </row>
    <row r="310" spans="5:7">
      <c r="E310" s="33"/>
      <c r="G310" t="s">
        <v>62</v>
      </c>
    </row>
    <row r="311" spans="5:7">
      <c r="E311" s="35"/>
      <c r="G311" t="s">
        <v>87</v>
      </c>
    </row>
    <row r="312" spans="5:7">
      <c r="E312" s="37"/>
      <c r="G312" t="s">
        <v>72</v>
      </c>
    </row>
    <row r="313" spans="5:7">
      <c r="E313" s="13">
        <v>9.1</v>
      </c>
      <c r="G313" t="s">
        <v>37</v>
      </c>
    </row>
    <row r="314" spans="5:7">
      <c r="E314" s="14">
        <v>9.1</v>
      </c>
      <c r="G314">
        <v>0</v>
      </c>
    </row>
    <row r="315" spans="5:7" ht="15" customHeight="1">
      <c r="E315" s="5"/>
      <c r="G315">
        <v>0</v>
      </c>
    </row>
    <row r="316" spans="5:7">
      <c r="E316" s="13"/>
      <c r="G316" t="s">
        <v>35</v>
      </c>
    </row>
    <row r="317" spans="5:7" ht="15" customHeight="1">
      <c r="E317" s="5"/>
      <c r="G317" t="s">
        <v>293</v>
      </c>
    </row>
    <row r="318" spans="5:7">
      <c r="E318" s="15" t="s">
        <v>292</v>
      </c>
      <c r="G318" t="s">
        <v>41</v>
      </c>
    </row>
    <row r="319" spans="5:7">
      <c r="E319" s="16" t="s">
        <v>37</v>
      </c>
      <c r="G319" t="s">
        <v>302</v>
      </c>
    </row>
    <row r="320" spans="5:7" ht="0" hidden="1" customHeight="1">
      <c r="G320">
        <v>0</v>
      </c>
    </row>
    <row r="321" spans="5:7" ht="0.6" customHeight="1">
      <c r="G321">
        <v>0</v>
      </c>
    </row>
    <row r="322" spans="5:7" ht="15" customHeight="1">
      <c r="E322" s="5"/>
      <c r="G322" t="s">
        <v>57</v>
      </c>
    </row>
    <row r="323" spans="5:7">
      <c r="E323" s="5"/>
      <c r="G323" t="s">
        <v>59</v>
      </c>
    </row>
    <row r="324" spans="5:7">
      <c r="E324" s="13" t="s">
        <v>294</v>
      </c>
      <c r="G324" t="s">
        <v>61</v>
      </c>
    </row>
    <row r="325" spans="5:7">
      <c r="E325" s="33"/>
      <c r="G325" t="s">
        <v>62</v>
      </c>
    </row>
    <row r="326" spans="5:7">
      <c r="E326" s="35"/>
      <c r="G326" t="s">
        <v>126</v>
      </c>
    </row>
    <row r="327" spans="5:7">
      <c r="E327" s="37"/>
      <c r="G327" t="s">
        <v>72</v>
      </c>
    </row>
    <row r="328" spans="5:7">
      <c r="E328" s="13">
        <v>6.78</v>
      </c>
      <c r="G328" t="s">
        <v>37</v>
      </c>
    </row>
    <row r="329" spans="5:7">
      <c r="E329" s="14">
        <v>6.78</v>
      </c>
      <c r="G329">
        <v>0</v>
      </c>
    </row>
    <row r="330" spans="5:7" ht="15" customHeight="1">
      <c r="E330" s="5"/>
      <c r="G330" t="s">
        <v>35</v>
      </c>
    </row>
    <row r="331" spans="5:7">
      <c r="E331" s="13"/>
      <c r="G331" t="s">
        <v>305</v>
      </c>
    </row>
    <row r="332" spans="5:7" ht="15" customHeight="1">
      <c r="E332" s="5"/>
      <c r="G332" t="s">
        <v>41</v>
      </c>
    </row>
    <row r="333" spans="5:7">
      <c r="E333" s="15" t="s">
        <v>304</v>
      </c>
      <c r="G333" t="s">
        <v>311</v>
      </c>
    </row>
    <row r="334" spans="5:7">
      <c r="E334" s="16" t="s">
        <v>37</v>
      </c>
      <c r="G334">
        <v>0</v>
      </c>
    </row>
    <row r="335" spans="5:7" ht="0.6" customHeight="1">
      <c r="G335">
        <v>0</v>
      </c>
    </row>
    <row r="336" spans="5:7" ht="15" customHeight="1">
      <c r="E336" s="5"/>
      <c r="G336" t="s">
        <v>57</v>
      </c>
    </row>
    <row r="337" spans="5:7">
      <c r="E337" s="5"/>
      <c r="G337" t="s">
        <v>59</v>
      </c>
    </row>
    <row r="338" spans="5:7">
      <c r="E338" s="13" t="s">
        <v>306</v>
      </c>
      <c r="G338" t="s">
        <v>61</v>
      </c>
    </row>
    <row r="339" spans="5:7">
      <c r="E339" s="33"/>
      <c r="G339" t="s">
        <v>62</v>
      </c>
    </row>
    <row r="340" spans="5:7">
      <c r="E340" s="35"/>
      <c r="G340" t="s">
        <v>64</v>
      </c>
    </row>
    <row r="341" spans="5:7">
      <c r="E341" s="37"/>
      <c r="G341" t="s">
        <v>72</v>
      </c>
    </row>
    <row r="342" spans="5:7">
      <c r="E342" s="13">
        <v>7.76</v>
      </c>
      <c r="G342" t="s">
        <v>37</v>
      </c>
    </row>
    <row r="343" spans="5:7">
      <c r="E343" s="14">
        <v>7.76</v>
      </c>
      <c r="G343">
        <v>0</v>
      </c>
    </row>
    <row r="344" spans="5:7" ht="15" customHeight="1">
      <c r="E344" s="5"/>
      <c r="G344">
        <v>0</v>
      </c>
    </row>
    <row r="345" spans="5:7">
      <c r="E345" s="13"/>
      <c r="G345" t="s">
        <v>35</v>
      </c>
    </row>
    <row r="346" spans="5:7" ht="15" customHeight="1">
      <c r="E346" s="5"/>
      <c r="G346" t="s">
        <v>313</v>
      </c>
    </row>
    <row r="347" spans="5:7">
      <c r="E347" s="15" t="s">
        <v>312</v>
      </c>
      <c r="G347" t="s">
        <v>41</v>
      </c>
    </row>
    <row r="348" spans="5:7">
      <c r="E348" s="16" t="s">
        <v>37</v>
      </c>
      <c r="G348" t="s">
        <v>319</v>
      </c>
    </row>
    <row r="349" spans="5:7" ht="0" hidden="1" customHeight="1">
      <c r="G349">
        <v>0</v>
      </c>
    </row>
    <row r="350" spans="5:7" ht="0.6" customHeight="1">
      <c r="G350">
        <v>0</v>
      </c>
    </row>
    <row r="351" spans="5:7" ht="15" customHeight="1">
      <c r="E351" s="5"/>
      <c r="G351" t="s">
        <v>57</v>
      </c>
    </row>
    <row r="352" spans="5:7">
      <c r="E352" s="5"/>
      <c r="G352" t="s">
        <v>59</v>
      </c>
    </row>
    <row r="353" spans="5:7">
      <c r="E353" s="13" t="s">
        <v>314</v>
      </c>
      <c r="G353" t="s">
        <v>61</v>
      </c>
    </row>
    <row r="354" spans="5:7">
      <c r="E354" s="33"/>
      <c r="G354" t="s">
        <v>62</v>
      </c>
    </row>
    <row r="355" spans="5:7">
      <c r="E355" s="35"/>
      <c r="G355" t="s">
        <v>87</v>
      </c>
    </row>
    <row r="356" spans="5:7">
      <c r="E356" s="37"/>
      <c r="G356" t="s">
        <v>72</v>
      </c>
    </row>
    <row r="357" spans="5:7">
      <c r="E357" s="13">
        <v>9.06</v>
      </c>
      <c r="G357" t="s">
        <v>37</v>
      </c>
    </row>
    <row r="358" spans="5:7">
      <c r="E358" s="14">
        <v>9.06</v>
      </c>
      <c r="G358">
        <v>0</v>
      </c>
    </row>
    <row r="359" spans="5:7" ht="15" customHeight="1">
      <c r="E359" s="5"/>
      <c r="G359">
        <v>0</v>
      </c>
    </row>
    <row r="360" spans="5:7">
      <c r="E360" s="13"/>
      <c r="G360" t="s">
        <v>35</v>
      </c>
    </row>
    <row r="361" spans="5:7" ht="15" customHeight="1">
      <c r="E361" s="5"/>
      <c r="G361" t="s">
        <v>321</v>
      </c>
    </row>
    <row r="362" spans="5:7">
      <c r="E362" s="15" t="s">
        <v>320</v>
      </c>
      <c r="G362" t="s">
        <v>41</v>
      </c>
    </row>
    <row r="363" spans="5:7">
      <c r="E363" s="16" t="s">
        <v>37</v>
      </c>
      <c r="G363" t="s">
        <v>327</v>
      </c>
    </row>
    <row r="364" spans="5:7" ht="0" hidden="1" customHeight="1">
      <c r="G364">
        <v>0</v>
      </c>
    </row>
    <row r="365" spans="5:7" ht="0.6" customHeight="1">
      <c r="G365">
        <v>0</v>
      </c>
    </row>
    <row r="366" spans="5:7" ht="15" customHeight="1">
      <c r="E366" s="5"/>
      <c r="G366" t="s">
        <v>57</v>
      </c>
    </row>
    <row r="367" spans="5:7">
      <c r="E367" s="5"/>
      <c r="G367" t="s">
        <v>59</v>
      </c>
    </row>
    <row r="368" spans="5:7">
      <c r="E368" s="13" t="s">
        <v>322</v>
      </c>
      <c r="G368" t="s">
        <v>61</v>
      </c>
    </row>
    <row r="369" spans="5:7">
      <c r="E369" s="33"/>
      <c r="G369" t="s">
        <v>62</v>
      </c>
    </row>
    <row r="370" spans="5:7">
      <c r="E370" s="35"/>
      <c r="G370" t="s">
        <v>188</v>
      </c>
    </row>
    <row r="371" spans="5:7">
      <c r="E371" s="37"/>
      <c r="G371" t="s">
        <v>72</v>
      </c>
    </row>
    <row r="372" spans="5:7">
      <c r="E372" s="13">
        <v>8.6</v>
      </c>
      <c r="G372" t="s">
        <v>37</v>
      </c>
    </row>
    <row r="373" spans="5:7">
      <c r="E373" s="14">
        <v>8.6</v>
      </c>
      <c r="G373">
        <v>0</v>
      </c>
    </row>
    <row r="374" spans="5:7" ht="15" customHeight="1">
      <c r="E374" s="5"/>
      <c r="G374">
        <v>0</v>
      </c>
    </row>
    <row r="375" spans="5:7">
      <c r="E375" s="13"/>
      <c r="G375" t="s">
        <v>35</v>
      </c>
    </row>
    <row r="376" spans="5:7" ht="15" customHeight="1">
      <c r="E376" s="5"/>
      <c r="G376" t="s">
        <v>329</v>
      </c>
    </row>
    <row r="377" spans="5:7">
      <c r="E377" s="15" t="s">
        <v>328</v>
      </c>
      <c r="G377" t="s">
        <v>41</v>
      </c>
    </row>
    <row r="378" spans="5:7">
      <c r="E378" s="16" t="s">
        <v>37</v>
      </c>
      <c r="G378" t="s">
        <v>338</v>
      </c>
    </row>
    <row r="379" spans="5:7" ht="0" hidden="1" customHeight="1">
      <c r="G379">
        <v>0</v>
      </c>
    </row>
    <row r="380" spans="5:7" ht="0.6" customHeight="1">
      <c r="G380">
        <v>0</v>
      </c>
    </row>
    <row r="381" spans="5:7" ht="15" customHeight="1">
      <c r="E381" s="5"/>
      <c r="G381" t="s">
        <v>57</v>
      </c>
    </row>
    <row r="382" spans="5:7">
      <c r="E382" s="5"/>
      <c r="G382" t="s">
        <v>59</v>
      </c>
    </row>
    <row r="383" spans="5:7">
      <c r="E383" s="13" t="s">
        <v>330</v>
      </c>
      <c r="G383" t="s">
        <v>260</v>
      </c>
    </row>
    <row r="384" spans="5:7">
      <c r="E384" s="33"/>
      <c r="G384" t="s">
        <v>62</v>
      </c>
    </row>
    <row r="385" spans="5:7">
      <c r="E385" s="35"/>
      <c r="G385" t="s">
        <v>339</v>
      </c>
    </row>
    <row r="386" spans="5:7">
      <c r="E386" s="37"/>
      <c r="G386" t="s">
        <v>72</v>
      </c>
    </row>
    <row r="387" spans="5:7">
      <c r="E387" s="13">
        <v>5.14</v>
      </c>
      <c r="G387" t="s">
        <v>37</v>
      </c>
    </row>
    <row r="388" spans="5:7">
      <c r="E388" s="13"/>
      <c r="G388">
        <v>0</v>
      </c>
    </row>
    <row r="389" spans="5:7" ht="15" customHeight="1">
      <c r="E389" s="5"/>
      <c r="G389">
        <v>0</v>
      </c>
    </row>
    <row r="390" spans="5:7">
      <c r="E390" s="13"/>
      <c r="G390" t="s">
        <v>35</v>
      </c>
    </row>
    <row r="391" spans="5:7" ht="15" customHeight="1">
      <c r="E391" s="5"/>
      <c r="G391" t="s">
        <v>341</v>
      </c>
    </row>
    <row r="392" spans="5:7">
      <c r="E392" s="15" t="s">
        <v>340</v>
      </c>
      <c r="G392" t="s">
        <v>41</v>
      </c>
    </row>
    <row r="393" spans="5:7">
      <c r="E393" s="16" t="s">
        <v>37</v>
      </c>
      <c r="G393" t="s">
        <v>348</v>
      </c>
    </row>
    <row r="394" spans="5:7" ht="0" hidden="1" customHeight="1">
      <c r="G394">
        <v>0</v>
      </c>
    </row>
    <row r="395" spans="5:7" ht="0.6" customHeight="1">
      <c r="G395">
        <v>0</v>
      </c>
    </row>
    <row r="396" spans="5:7" ht="15" customHeight="1">
      <c r="E396" s="5"/>
      <c r="G396" t="s">
        <v>57</v>
      </c>
    </row>
    <row r="397" spans="5:7">
      <c r="E397" s="5"/>
      <c r="G397" t="s">
        <v>59</v>
      </c>
    </row>
    <row r="398" spans="5:7">
      <c r="E398" s="13" t="s">
        <v>342</v>
      </c>
      <c r="G398" t="s">
        <v>61</v>
      </c>
    </row>
    <row r="399" spans="5:7">
      <c r="E399" s="33"/>
      <c r="G399" t="s">
        <v>62</v>
      </c>
    </row>
    <row r="400" spans="5:7">
      <c r="E400" s="35"/>
      <c r="G400" t="s">
        <v>64</v>
      </c>
    </row>
    <row r="401" spans="5:7">
      <c r="E401" s="37"/>
      <c r="G401" t="s">
        <v>72</v>
      </c>
    </row>
    <row r="402" spans="5:7">
      <c r="E402" s="13">
        <v>7.68</v>
      </c>
      <c r="G402" t="s">
        <v>37</v>
      </c>
    </row>
    <row r="403" spans="5:7">
      <c r="E403" s="14">
        <v>7.68</v>
      </c>
      <c r="G403">
        <v>0</v>
      </c>
    </row>
    <row r="404" spans="5:7" ht="15" customHeight="1">
      <c r="E404" s="5"/>
      <c r="G404">
        <v>0</v>
      </c>
    </row>
    <row r="405" spans="5:7">
      <c r="E405" s="13"/>
      <c r="G405" t="s">
        <v>35</v>
      </c>
    </row>
    <row r="406" spans="5:7" ht="15" customHeight="1">
      <c r="E406" s="5"/>
      <c r="G406" t="s">
        <v>350</v>
      </c>
    </row>
    <row r="407" spans="5:7">
      <c r="E407" s="15" t="s">
        <v>349</v>
      </c>
      <c r="G407" t="s">
        <v>41</v>
      </c>
    </row>
    <row r="408" spans="5:7">
      <c r="E408" s="16" t="s">
        <v>37</v>
      </c>
      <c r="G408" t="s">
        <v>355</v>
      </c>
    </row>
    <row r="409" spans="5:7" ht="0" hidden="1" customHeight="1">
      <c r="G409">
        <v>0</v>
      </c>
    </row>
    <row r="410" spans="5:7" ht="0.6" customHeight="1">
      <c r="G410">
        <v>0</v>
      </c>
    </row>
    <row r="411" spans="5:7" ht="15" customHeight="1">
      <c r="E411" s="5"/>
      <c r="G411" t="s">
        <v>57</v>
      </c>
    </row>
    <row r="412" spans="5:7">
      <c r="E412" s="5"/>
      <c r="G412" t="s">
        <v>59</v>
      </c>
    </row>
    <row r="413" spans="5:7">
      <c r="E413" s="13" t="s">
        <v>351</v>
      </c>
      <c r="G413" t="s">
        <v>61</v>
      </c>
    </row>
    <row r="414" spans="5:7">
      <c r="E414" s="33"/>
      <c r="G414" t="s">
        <v>62</v>
      </c>
    </row>
    <row r="415" spans="5:7">
      <c r="E415" s="35"/>
      <c r="G415" t="s">
        <v>200</v>
      </c>
    </row>
    <row r="416" spans="5:7">
      <c r="E416" s="37"/>
      <c r="G416" t="s">
        <v>72</v>
      </c>
    </row>
    <row r="417" spans="5:7">
      <c r="E417" s="13">
        <v>8.1199999999999992</v>
      </c>
      <c r="G417" t="s">
        <v>37</v>
      </c>
    </row>
    <row r="418" spans="5:7">
      <c r="E418" s="14">
        <v>8.1199999999999992</v>
      </c>
      <c r="G418">
        <v>0</v>
      </c>
    </row>
    <row r="419" spans="5:7" ht="15" customHeight="1">
      <c r="E419" s="5"/>
      <c r="G419">
        <v>0</v>
      </c>
    </row>
    <row r="420" spans="5:7">
      <c r="E420" s="13"/>
      <c r="G420" t="s">
        <v>35</v>
      </c>
    </row>
    <row r="421" spans="5:7" ht="15" customHeight="1">
      <c r="E421" s="5"/>
      <c r="G421" t="s">
        <v>357</v>
      </c>
    </row>
    <row r="422" spans="5:7">
      <c r="E422" s="15" t="s">
        <v>356</v>
      </c>
      <c r="G422" t="s">
        <v>41</v>
      </c>
    </row>
    <row r="423" spans="5:7">
      <c r="E423" s="16" t="s">
        <v>37</v>
      </c>
      <c r="G423" t="s">
        <v>364</v>
      </c>
    </row>
    <row r="424" spans="5:7" ht="0" hidden="1" customHeight="1">
      <c r="G424">
        <v>0</v>
      </c>
    </row>
    <row r="425" spans="5:7" ht="0.6" customHeight="1">
      <c r="G425">
        <v>0</v>
      </c>
    </row>
    <row r="426" spans="5:7" ht="15" customHeight="1">
      <c r="E426" s="5"/>
      <c r="G426" t="s">
        <v>57</v>
      </c>
    </row>
    <row r="427" spans="5:7">
      <c r="E427" s="5"/>
      <c r="G427" t="s">
        <v>59</v>
      </c>
    </row>
    <row r="428" spans="5:7">
      <c r="E428" s="13" t="s">
        <v>358</v>
      </c>
      <c r="G428" t="s">
        <v>260</v>
      </c>
    </row>
    <row r="429" spans="5:7">
      <c r="E429" s="33"/>
      <c r="G429" t="s">
        <v>62</v>
      </c>
    </row>
    <row r="430" spans="5:7">
      <c r="E430" s="35"/>
      <c r="G430" t="s">
        <v>339</v>
      </c>
    </row>
    <row r="431" spans="5:7">
      <c r="E431" s="37"/>
      <c r="G431" t="s">
        <v>72</v>
      </c>
    </row>
    <row r="432" spans="5:7">
      <c r="E432" s="13">
        <v>5.24</v>
      </c>
      <c r="G432" t="s">
        <v>37</v>
      </c>
    </row>
    <row r="433" spans="5:7">
      <c r="E433" s="13"/>
      <c r="G433">
        <v>0</v>
      </c>
    </row>
    <row r="434" spans="5:7" ht="15" customHeight="1">
      <c r="E434" s="5"/>
      <c r="G434">
        <v>0</v>
      </c>
    </row>
    <row r="435" spans="5:7">
      <c r="E435" s="13"/>
      <c r="G435" t="s">
        <v>35</v>
      </c>
    </row>
    <row r="436" spans="5:7" ht="15" customHeight="1">
      <c r="E436" s="5"/>
      <c r="G436" t="s">
        <v>366</v>
      </c>
    </row>
    <row r="437" spans="5:7">
      <c r="E437" s="15" t="s">
        <v>365</v>
      </c>
      <c r="G437" t="s">
        <v>41</v>
      </c>
    </row>
    <row r="438" spans="5:7">
      <c r="E438" s="16" t="s">
        <v>37</v>
      </c>
      <c r="G438" t="s">
        <v>374</v>
      </c>
    </row>
    <row r="439" spans="5:7" ht="0" hidden="1" customHeight="1">
      <c r="G439">
        <v>0</v>
      </c>
    </row>
    <row r="440" spans="5:7" ht="0.6" customHeight="1">
      <c r="G440">
        <v>0</v>
      </c>
    </row>
    <row r="441" spans="5:7" ht="15" customHeight="1">
      <c r="E441" s="5"/>
      <c r="G441" t="s">
        <v>57</v>
      </c>
    </row>
    <row r="442" spans="5:7">
      <c r="E442" s="5"/>
      <c r="G442" t="s">
        <v>59</v>
      </c>
    </row>
    <row r="443" spans="5:7">
      <c r="E443" s="13" t="s">
        <v>367</v>
      </c>
      <c r="G443" t="s">
        <v>260</v>
      </c>
    </row>
    <row r="444" spans="5:7">
      <c r="E444" s="33"/>
      <c r="G444" t="s">
        <v>62</v>
      </c>
    </row>
    <row r="445" spans="5:7">
      <c r="E445" s="35"/>
      <c r="G445" t="s">
        <v>375</v>
      </c>
    </row>
    <row r="446" spans="5:7">
      <c r="E446" s="37"/>
      <c r="G446" t="s">
        <v>72</v>
      </c>
    </row>
    <row r="447" spans="5:7">
      <c r="E447" s="13">
        <v>5.64</v>
      </c>
      <c r="G447" t="s">
        <v>37</v>
      </c>
    </row>
    <row r="448" spans="5:7">
      <c r="E448" s="13"/>
      <c r="G448">
        <v>0</v>
      </c>
    </row>
    <row r="449" spans="5:7" ht="15" customHeight="1">
      <c r="E449" s="5"/>
      <c r="G449" t="s">
        <v>35</v>
      </c>
    </row>
    <row r="450" spans="5:7">
      <c r="E450" s="13"/>
      <c r="G450" t="s">
        <v>377</v>
      </c>
    </row>
    <row r="451" spans="5:7" ht="15" customHeight="1">
      <c r="E451" s="5"/>
      <c r="G451" t="s">
        <v>41</v>
      </c>
    </row>
    <row r="452" spans="5:7">
      <c r="E452" s="15" t="s">
        <v>376</v>
      </c>
      <c r="G452" t="s">
        <v>338</v>
      </c>
    </row>
    <row r="453" spans="5:7">
      <c r="E453" s="16" t="s">
        <v>37</v>
      </c>
      <c r="G453">
        <v>0</v>
      </c>
    </row>
    <row r="454" spans="5:7" ht="0.6" customHeight="1">
      <c r="G454">
        <v>0</v>
      </c>
    </row>
    <row r="455" spans="5:7" ht="15" customHeight="1">
      <c r="E455" s="5"/>
      <c r="G455" t="s">
        <v>57</v>
      </c>
    </row>
    <row r="456" spans="5:7">
      <c r="E456" s="5"/>
      <c r="G456" t="s">
        <v>59</v>
      </c>
    </row>
    <row r="457" spans="5:7">
      <c r="E457" s="13" t="s">
        <v>378</v>
      </c>
      <c r="G457" t="s">
        <v>260</v>
      </c>
    </row>
    <row r="458" spans="5:7">
      <c r="E458" s="33"/>
      <c r="G458" t="s">
        <v>62</v>
      </c>
    </row>
    <row r="459" spans="5:7">
      <c r="E459" s="35"/>
      <c r="G459" t="s">
        <v>375</v>
      </c>
    </row>
    <row r="460" spans="5:7">
      <c r="E460" s="37"/>
      <c r="G460" t="s">
        <v>72</v>
      </c>
    </row>
    <row r="461" spans="5:7">
      <c r="E461" s="13">
        <v>5.82</v>
      </c>
      <c r="G461" t="s">
        <v>37</v>
      </c>
    </row>
    <row r="462" spans="5:7">
      <c r="E462" s="13"/>
      <c r="G462">
        <v>0</v>
      </c>
    </row>
    <row r="463" spans="5:7" ht="15" customHeight="1">
      <c r="E463" s="5"/>
      <c r="G463">
        <v>0</v>
      </c>
    </row>
    <row r="464" spans="5:7">
      <c r="E464" s="13"/>
      <c r="G464" t="s">
        <v>35</v>
      </c>
    </row>
    <row r="465" spans="5:7" ht="15" customHeight="1">
      <c r="E465" s="5"/>
      <c r="G465" t="s">
        <v>386</v>
      </c>
    </row>
    <row r="466" spans="5:7">
      <c r="E466" s="15" t="s">
        <v>385</v>
      </c>
      <c r="G466" t="s">
        <v>41</v>
      </c>
    </row>
    <row r="467" spans="5:7">
      <c r="E467" s="16" t="s">
        <v>37</v>
      </c>
      <c r="G467" t="s">
        <v>302</v>
      </c>
    </row>
    <row r="468" spans="5:7" ht="0" hidden="1" customHeight="1">
      <c r="G468">
        <v>0</v>
      </c>
    </row>
    <row r="469" spans="5:7" ht="0.6" customHeight="1">
      <c r="G469">
        <v>0</v>
      </c>
    </row>
    <row r="470" spans="5:7" ht="15" customHeight="1">
      <c r="E470" s="5"/>
      <c r="G470" t="s">
        <v>57</v>
      </c>
    </row>
    <row r="471" spans="5:7">
      <c r="E471" s="5"/>
      <c r="G471" t="s">
        <v>59</v>
      </c>
    </row>
    <row r="472" spans="5:7">
      <c r="E472" s="13" t="s">
        <v>387</v>
      </c>
      <c r="G472" t="s">
        <v>260</v>
      </c>
    </row>
    <row r="473" spans="5:7">
      <c r="E473" s="33"/>
      <c r="G473" t="s">
        <v>62</v>
      </c>
    </row>
    <row r="474" spans="5:7">
      <c r="E474" s="35"/>
      <c r="G474" t="s">
        <v>339</v>
      </c>
    </row>
    <row r="475" spans="5:7">
      <c r="E475" s="37"/>
      <c r="G475" t="s">
        <v>72</v>
      </c>
    </row>
    <row r="476" spans="5:7">
      <c r="E476" s="13">
        <v>5.38</v>
      </c>
      <c r="G476" t="s">
        <v>37</v>
      </c>
    </row>
    <row r="477" spans="5:7">
      <c r="E477" s="13"/>
      <c r="G477">
        <v>0</v>
      </c>
    </row>
    <row r="478" spans="5:7" ht="15" customHeight="1">
      <c r="E478" s="5"/>
      <c r="G478">
        <v>0</v>
      </c>
    </row>
    <row r="479" spans="5:7">
      <c r="E479" s="13"/>
      <c r="G479" t="s">
        <v>35</v>
      </c>
    </row>
    <row r="480" spans="5:7" ht="15" customHeight="1">
      <c r="E480" s="5"/>
      <c r="G480" t="s">
        <v>394</v>
      </c>
    </row>
    <row r="481" spans="5:7">
      <c r="E481" s="15" t="s">
        <v>393</v>
      </c>
      <c r="G481" t="s">
        <v>41</v>
      </c>
    </row>
    <row r="482" spans="5:7">
      <c r="E482" s="16" t="s">
        <v>37</v>
      </c>
      <c r="G482" t="s">
        <v>398</v>
      </c>
    </row>
    <row r="483" spans="5:7" ht="0" hidden="1" customHeight="1">
      <c r="G483">
        <v>0</v>
      </c>
    </row>
    <row r="484" spans="5:7" ht="0.6" customHeight="1">
      <c r="G484">
        <v>0</v>
      </c>
    </row>
    <row r="485" spans="5:7" ht="15" customHeight="1">
      <c r="E485" s="5"/>
      <c r="G485" t="s">
        <v>57</v>
      </c>
    </row>
    <row r="486" spans="5:7">
      <c r="E486" s="5"/>
      <c r="G486" t="s">
        <v>59</v>
      </c>
    </row>
    <row r="487" spans="5:7">
      <c r="E487" s="13" t="s">
        <v>395</v>
      </c>
      <c r="G487" t="s">
        <v>61</v>
      </c>
    </row>
    <row r="488" spans="5:7">
      <c r="E488" s="33"/>
      <c r="G488" t="s">
        <v>62</v>
      </c>
    </row>
    <row r="489" spans="5:7">
      <c r="E489" s="35"/>
      <c r="G489" t="s">
        <v>399</v>
      </c>
    </row>
    <row r="490" spans="5:7">
      <c r="E490" s="37"/>
      <c r="G490" t="s">
        <v>72</v>
      </c>
    </row>
    <row r="491" spans="5:7">
      <c r="E491" s="13">
        <v>9.6199999999999992</v>
      </c>
      <c r="G491" t="s">
        <v>37</v>
      </c>
    </row>
    <row r="492" spans="5:7">
      <c r="E492" s="14">
        <v>9.6199999999999992</v>
      </c>
      <c r="G492">
        <v>0</v>
      </c>
    </row>
    <row r="493" spans="5:7" ht="15" customHeight="1">
      <c r="E493" s="5"/>
      <c r="G493">
        <v>0</v>
      </c>
    </row>
    <row r="494" spans="5:7">
      <c r="E494" s="13"/>
      <c r="G494" t="s">
        <v>35</v>
      </c>
    </row>
    <row r="495" spans="5:7" ht="15" customHeight="1">
      <c r="E495" s="5"/>
      <c r="G495" t="s">
        <v>401</v>
      </c>
    </row>
    <row r="496" spans="5:7">
      <c r="E496" s="15" t="s">
        <v>400</v>
      </c>
      <c r="G496" t="s">
        <v>41</v>
      </c>
    </row>
    <row r="497" spans="5:7">
      <c r="E497" s="16" t="s">
        <v>37</v>
      </c>
      <c r="G497" t="s">
        <v>409</v>
      </c>
    </row>
    <row r="498" spans="5:7" ht="0" hidden="1" customHeight="1">
      <c r="G498">
        <v>0</v>
      </c>
    </row>
    <row r="499" spans="5:7" ht="0.6" customHeight="1">
      <c r="G499">
        <v>0</v>
      </c>
    </row>
    <row r="500" spans="5:7" ht="15" customHeight="1">
      <c r="E500" s="5"/>
      <c r="G500" t="s">
        <v>57</v>
      </c>
    </row>
    <row r="501" spans="5:7">
      <c r="E501" s="5"/>
      <c r="G501" t="s">
        <v>59</v>
      </c>
    </row>
    <row r="502" spans="5:7">
      <c r="E502" s="13" t="s">
        <v>402</v>
      </c>
      <c r="G502" t="s">
        <v>61</v>
      </c>
    </row>
    <row r="503" spans="5:7">
      <c r="E503" s="33"/>
      <c r="G503" t="s">
        <v>62</v>
      </c>
    </row>
    <row r="504" spans="5:7">
      <c r="E504" s="35"/>
      <c r="G504" t="s">
        <v>126</v>
      </c>
    </row>
    <row r="505" spans="5:7">
      <c r="E505" s="37"/>
      <c r="G505" t="s">
        <v>72</v>
      </c>
    </row>
    <row r="506" spans="5:7">
      <c r="E506" s="13">
        <v>6.88</v>
      </c>
      <c r="G506" t="s">
        <v>37</v>
      </c>
    </row>
    <row r="507" spans="5:7">
      <c r="E507" s="14">
        <v>6.88</v>
      </c>
      <c r="G507">
        <v>0</v>
      </c>
    </row>
    <row r="508" spans="5:7" ht="15" customHeight="1">
      <c r="E508" s="5"/>
      <c r="G508">
        <v>0</v>
      </c>
    </row>
    <row r="509" spans="5:7">
      <c r="E509" s="13"/>
      <c r="G509" t="s">
        <v>35</v>
      </c>
    </row>
    <row r="510" spans="5:7" ht="15" customHeight="1">
      <c r="E510" s="5"/>
      <c r="G510" t="s">
        <v>411</v>
      </c>
    </row>
    <row r="511" spans="5:7">
      <c r="E511" s="15" t="s">
        <v>410</v>
      </c>
      <c r="G511" t="s">
        <v>41</v>
      </c>
    </row>
    <row r="512" spans="5:7">
      <c r="E512" s="16" t="s">
        <v>37</v>
      </c>
      <c r="G512" t="s">
        <v>419</v>
      </c>
    </row>
    <row r="513" spans="5:7" ht="0" hidden="1" customHeight="1">
      <c r="G513">
        <v>0</v>
      </c>
    </row>
    <row r="514" spans="5:7" ht="0.6" customHeight="1">
      <c r="G514">
        <v>0</v>
      </c>
    </row>
    <row r="515" spans="5:7" ht="15" customHeight="1">
      <c r="E515" s="5"/>
      <c r="G515" t="s">
        <v>57</v>
      </c>
    </row>
    <row r="516" spans="5:7">
      <c r="E516" s="5"/>
      <c r="G516" t="s">
        <v>59</v>
      </c>
    </row>
    <row r="517" spans="5:7">
      <c r="E517" s="13" t="s">
        <v>412</v>
      </c>
      <c r="G517" t="s">
        <v>260</v>
      </c>
    </row>
    <row r="518" spans="5:7">
      <c r="E518" s="33"/>
      <c r="G518" t="s">
        <v>62</v>
      </c>
    </row>
    <row r="519" spans="5:7">
      <c r="E519" s="35"/>
      <c r="G519" t="s">
        <v>339</v>
      </c>
    </row>
    <row r="520" spans="5:7">
      <c r="E520" s="37"/>
      <c r="G520" t="s">
        <v>72</v>
      </c>
    </row>
    <row r="521" spans="5:7">
      <c r="E521" s="13">
        <v>5.3</v>
      </c>
      <c r="G521" t="s">
        <v>37</v>
      </c>
    </row>
    <row r="522" spans="5:7">
      <c r="E522" s="13"/>
      <c r="G522">
        <v>0</v>
      </c>
    </row>
    <row r="523" spans="5:7" ht="15" customHeight="1">
      <c r="E523" s="5"/>
      <c r="G523">
        <v>0</v>
      </c>
    </row>
    <row r="524" spans="5:7">
      <c r="E524" s="13"/>
      <c r="G524" t="s">
        <v>35</v>
      </c>
    </row>
    <row r="525" spans="5:7" ht="15" customHeight="1">
      <c r="E525" s="5"/>
      <c r="G525" t="s">
        <v>421</v>
      </c>
    </row>
    <row r="526" spans="5:7">
      <c r="E526" s="15" t="s">
        <v>420</v>
      </c>
      <c r="G526" t="s">
        <v>41</v>
      </c>
    </row>
    <row r="527" spans="5:7">
      <c r="E527" s="16" t="s">
        <v>37</v>
      </c>
      <c r="G527" t="s">
        <v>428</v>
      </c>
    </row>
    <row r="528" spans="5:7" ht="0" hidden="1" customHeight="1">
      <c r="G528">
        <v>0</v>
      </c>
    </row>
    <row r="529" spans="5:7" ht="0.6" customHeight="1">
      <c r="G529">
        <v>0</v>
      </c>
    </row>
    <row r="530" spans="5:7" ht="15" customHeight="1">
      <c r="E530" s="5"/>
      <c r="G530" t="s">
        <v>57</v>
      </c>
    </row>
    <row r="531" spans="5:7">
      <c r="E531" s="5"/>
      <c r="G531" t="s">
        <v>59</v>
      </c>
    </row>
    <row r="532" spans="5:7">
      <c r="E532" s="13" t="s">
        <v>422</v>
      </c>
      <c r="G532" t="s">
        <v>61</v>
      </c>
    </row>
    <row r="533" spans="5:7">
      <c r="E533" s="33"/>
      <c r="G533" t="s">
        <v>62</v>
      </c>
    </row>
    <row r="534" spans="5:7">
      <c r="E534" s="35"/>
      <c r="G534" t="s">
        <v>188</v>
      </c>
    </row>
    <row r="535" spans="5:7">
      <c r="E535" s="37"/>
      <c r="G535" t="s">
        <v>72</v>
      </c>
    </row>
    <row r="536" spans="5:7">
      <c r="E536" s="13">
        <v>8.5399999999999991</v>
      </c>
      <c r="G536" t="s">
        <v>37</v>
      </c>
    </row>
    <row r="537" spans="5:7">
      <c r="E537" s="14">
        <v>8.5399999999999991</v>
      </c>
      <c r="G537">
        <v>0</v>
      </c>
    </row>
    <row r="538" spans="5:7" ht="15" customHeight="1">
      <c r="E538" s="5"/>
      <c r="G538">
        <v>0</v>
      </c>
    </row>
    <row r="539" spans="5:7">
      <c r="E539" s="13"/>
      <c r="G539" t="s">
        <v>35</v>
      </c>
    </row>
    <row r="540" spans="5:7" ht="15" customHeight="1">
      <c r="E540" s="5"/>
      <c r="G540" t="s">
        <v>430</v>
      </c>
    </row>
    <row r="541" spans="5:7">
      <c r="E541" s="15" t="s">
        <v>429</v>
      </c>
      <c r="G541" t="s">
        <v>41</v>
      </c>
    </row>
    <row r="542" spans="5:7">
      <c r="E542" s="16" t="s">
        <v>37</v>
      </c>
      <c r="G542" t="s">
        <v>435</v>
      </c>
    </row>
    <row r="543" spans="5:7" ht="0" hidden="1" customHeight="1">
      <c r="G543">
        <v>0</v>
      </c>
    </row>
    <row r="544" spans="5:7" ht="0.6" customHeight="1">
      <c r="G544">
        <v>0</v>
      </c>
    </row>
    <row r="545" spans="5:7" ht="15" customHeight="1">
      <c r="E545" s="5"/>
      <c r="G545" t="s">
        <v>57</v>
      </c>
    </row>
    <row r="546" spans="5:7">
      <c r="E546" s="5"/>
      <c r="G546" t="s">
        <v>59</v>
      </c>
    </row>
    <row r="547" spans="5:7">
      <c r="E547" s="13" t="s">
        <v>431</v>
      </c>
      <c r="G547" t="s">
        <v>61</v>
      </c>
    </row>
    <row r="548" spans="5:7">
      <c r="E548" s="33"/>
      <c r="G548" t="s">
        <v>62</v>
      </c>
    </row>
    <row r="549" spans="5:7">
      <c r="E549" s="35"/>
      <c r="G549" t="s">
        <v>64</v>
      </c>
    </row>
    <row r="550" spans="5:7">
      <c r="E550" s="37"/>
      <c r="G550" t="s">
        <v>72</v>
      </c>
    </row>
    <row r="551" spans="5:7">
      <c r="E551" s="13">
        <v>7.94</v>
      </c>
      <c r="G551" t="s">
        <v>37</v>
      </c>
    </row>
    <row r="552" spans="5:7">
      <c r="E552" s="14">
        <v>7.94</v>
      </c>
      <c r="G552">
        <v>0</v>
      </c>
    </row>
    <row r="553" spans="5:7" ht="15" customHeight="1">
      <c r="E553" s="5"/>
      <c r="G553">
        <v>0</v>
      </c>
    </row>
    <row r="554" spans="5:7">
      <c r="E554" s="13"/>
      <c r="G554" t="s">
        <v>35</v>
      </c>
    </row>
    <row r="555" spans="5:7" ht="15" customHeight="1">
      <c r="E555" s="5"/>
      <c r="G555" t="s">
        <v>437</v>
      </c>
    </row>
    <row r="556" spans="5:7">
      <c r="E556" s="15" t="s">
        <v>436</v>
      </c>
      <c r="G556" t="s">
        <v>41</v>
      </c>
    </row>
    <row r="557" spans="5:7">
      <c r="E557" s="16" t="s">
        <v>37</v>
      </c>
      <c r="G557" t="s">
        <v>443</v>
      </c>
    </row>
    <row r="558" spans="5:7" ht="0" hidden="1" customHeight="1">
      <c r="G558">
        <v>0</v>
      </c>
    </row>
    <row r="559" spans="5:7" ht="0.6" customHeight="1">
      <c r="G559">
        <v>0</v>
      </c>
    </row>
    <row r="560" spans="5:7" ht="15" customHeight="1">
      <c r="E560" s="5"/>
      <c r="G560" t="s">
        <v>57</v>
      </c>
    </row>
    <row r="561" spans="5:7">
      <c r="E561" s="5"/>
      <c r="G561" t="s">
        <v>59</v>
      </c>
    </row>
    <row r="562" spans="5:7">
      <c r="E562" s="13" t="s">
        <v>438</v>
      </c>
      <c r="G562" t="s">
        <v>61</v>
      </c>
    </row>
    <row r="563" spans="5:7">
      <c r="E563" s="33"/>
      <c r="G563" t="s">
        <v>62</v>
      </c>
    </row>
    <row r="564" spans="5:7">
      <c r="E564" s="35"/>
      <c r="G564" t="s">
        <v>126</v>
      </c>
    </row>
    <row r="565" spans="5:7">
      <c r="E565" s="37"/>
      <c r="G565" t="s">
        <v>72</v>
      </c>
    </row>
    <row r="566" spans="5:7">
      <c r="E566" s="13">
        <v>6.74</v>
      </c>
      <c r="G566" t="s">
        <v>37</v>
      </c>
    </row>
    <row r="567" spans="5:7">
      <c r="E567" s="14">
        <v>6.74</v>
      </c>
      <c r="G567">
        <v>0</v>
      </c>
    </row>
    <row r="568" spans="5:7" ht="15" customHeight="1">
      <c r="E568" s="5"/>
      <c r="G568">
        <v>0</v>
      </c>
    </row>
    <row r="569" spans="5:7">
      <c r="E569" s="13"/>
      <c r="G569" t="s">
        <v>35</v>
      </c>
    </row>
    <row r="570" spans="5:7" ht="15" customHeight="1">
      <c r="E570" s="5"/>
      <c r="G570" t="s">
        <v>445</v>
      </c>
    </row>
    <row r="571" spans="5:7">
      <c r="E571" s="15" t="s">
        <v>444</v>
      </c>
      <c r="G571" t="s">
        <v>41</v>
      </c>
    </row>
    <row r="572" spans="5:7">
      <c r="E572" s="16" t="s">
        <v>37</v>
      </c>
      <c r="G572" t="s">
        <v>450</v>
      </c>
    </row>
    <row r="573" spans="5:7" ht="0" hidden="1" customHeight="1">
      <c r="G573">
        <v>0</v>
      </c>
    </row>
    <row r="574" spans="5:7" ht="0.6" customHeight="1">
      <c r="G574">
        <v>0</v>
      </c>
    </row>
    <row r="575" spans="5:7" ht="15" customHeight="1">
      <c r="E575" s="5"/>
      <c r="G575" t="s">
        <v>57</v>
      </c>
    </row>
    <row r="576" spans="5:7">
      <c r="E576" s="5"/>
      <c r="G576" t="s">
        <v>59</v>
      </c>
    </row>
    <row r="577" spans="5:7">
      <c r="E577" s="13" t="s">
        <v>446</v>
      </c>
      <c r="G577" t="s">
        <v>61</v>
      </c>
    </row>
    <row r="578" spans="5:7">
      <c r="E578" s="33"/>
      <c r="G578" t="s">
        <v>62</v>
      </c>
    </row>
    <row r="579" spans="5:7">
      <c r="E579" s="35"/>
      <c r="G579" t="s">
        <v>200</v>
      </c>
    </row>
    <row r="580" spans="5:7">
      <c r="E580" s="37"/>
      <c r="G580" t="s">
        <v>72</v>
      </c>
    </row>
    <row r="581" spans="5:7">
      <c r="E581" s="13">
        <v>8.1199999999999992</v>
      </c>
      <c r="G581" t="s">
        <v>37</v>
      </c>
    </row>
    <row r="582" spans="5:7">
      <c r="E582" s="14">
        <v>8.1199999999999992</v>
      </c>
      <c r="G582">
        <v>0</v>
      </c>
    </row>
    <row r="583" spans="5:7" ht="15" customHeight="1">
      <c r="E583" s="5"/>
      <c r="G583" t="s">
        <v>35</v>
      </c>
    </row>
    <row r="584" spans="5:7">
      <c r="E584" s="13"/>
      <c r="G584" t="s">
        <v>452</v>
      </c>
    </row>
    <row r="585" spans="5:7" ht="15" customHeight="1">
      <c r="E585" s="5"/>
      <c r="G585" t="s">
        <v>41</v>
      </c>
    </row>
    <row r="586" spans="5:7">
      <c r="E586" s="15" t="s">
        <v>451</v>
      </c>
      <c r="G586" t="s">
        <v>456</v>
      </c>
    </row>
    <row r="587" spans="5:7">
      <c r="E587" s="16" t="s">
        <v>37</v>
      </c>
      <c r="G587">
        <v>0</v>
      </c>
    </row>
    <row r="588" spans="5:7" ht="0.6" customHeight="1">
      <c r="G588">
        <v>0</v>
      </c>
    </row>
    <row r="589" spans="5:7" ht="15" customHeight="1">
      <c r="E589" s="5"/>
      <c r="G589" t="s">
        <v>57</v>
      </c>
    </row>
    <row r="590" spans="5:7">
      <c r="E590" s="5"/>
      <c r="G590" t="s">
        <v>59</v>
      </c>
    </row>
    <row r="591" spans="5:7">
      <c r="E591" s="13" t="s">
        <v>453</v>
      </c>
      <c r="G591" t="s">
        <v>61</v>
      </c>
    </row>
    <row r="592" spans="5:7">
      <c r="E592" s="33"/>
      <c r="G592" t="s">
        <v>62</v>
      </c>
    </row>
    <row r="593" spans="5:7">
      <c r="E593" s="35"/>
      <c r="G593" t="s">
        <v>188</v>
      </c>
    </row>
    <row r="594" spans="5:7">
      <c r="E594" s="37"/>
      <c r="G594" t="s">
        <v>72</v>
      </c>
    </row>
    <row r="595" spans="5:7">
      <c r="E595" s="13">
        <v>8.94</v>
      </c>
      <c r="G595" t="s">
        <v>37</v>
      </c>
    </row>
    <row r="596" spans="5:7">
      <c r="E596" s="14">
        <v>8.94</v>
      </c>
      <c r="G596">
        <v>0</v>
      </c>
    </row>
    <row r="597" spans="5:7" ht="15" customHeight="1">
      <c r="E597" s="5"/>
      <c r="G597">
        <v>0</v>
      </c>
    </row>
    <row r="598" spans="5:7">
      <c r="E598" s="13"/>
      <c r="G598" t="s">
        <v>35</v>
      </c>
    </row>
    <row r="599" spans="5:7" ht="15" customHeight="1">
      <c r="E599" s="5"/>
      <c r="G599" t="s">
        <v>458</v>
      </c>
    </row>
    <row r="600" spans="5:7">
      <c r="E600" s="15" t="s">
        <v>457</v>
      </c>
      <c r="G600" t="s">
        <v>41</v>
      </c>
    </row>
    <row r="601" spans="5:7">
      <c r="E601" s="16" t="s">
        <v>37</v>
      </c>
      <c r="G601" t="s">
        <v>464</v>
      </c>
    </row>
    <row r="602" spans="5:7" ht="0" hidden="1" customHeight="1">
      <c r="G602">
        <v>0</v>
      </c>
    </row>
    <row r="603" spans="5:7" ht="0.6" customHeight="1">
      <c r="G603">
        <v>0</v>
      </c>
    </row>
    <row r="604" spans="5:7" ht="15" customHeight="1">
      <c r="E604" s="5"/>
      <c r="G604" t="s">
        <v>57</v>
      </c>
    </row>
    <row r="605" spans="5:7">
      <c r="E605" s="5"/>
      <c r="G605" t="s">
        <v>59</v>
      </c>
    </row>
    <row r="606" spans="5:7">
      <c r="E606" s="13" t="s">
        <v>459</v>
      </c>
      <c r="G606" t="s">
        <v>61</v>
      </c>
    </row>
    <row r="607" spans="5:7">
      <c r="E607" s="33"/>
      <c r="G607" t="s">
        <v>62</v>
      </c>
    </row>
    <row r="608" spans="5:7">
      <c r="E608" s="35"/>
      <c r="G608" t="s">
        <v>200</v>
      </c>
    </row>
    <row r="609" spans="5:7">
      <c r="E609" s="37"/>
      <c r="G609" t="s">
        <v>72</v>
      </c>
    </row>
    <row r="610" spans="5:7">
      <c r="E610" s="13">
        <v>8.42</v>
      </c>
      <c r="G610" t="s">
        <v>37</v>
      </c>
    </row>
    <row r="611" spans="5:7">
      <c r="E611" s="14">
        <v>8.42</v>
      </c>
      <c r="G611">
        <v>0</v>
      </c>
    </row>
    <row r="612" spans="5:7" ht="15" customHeight="1">
      <c r="E612" s="5"/>
      <c r="G612">
        <v>0</v>
      </c>
    </row>
    <row r="613" spans="5:7">
      <c r="E613" s="13"/>
      <c r="G613" t="s">
        <v>35</v>
      </c>
    </row>
    <row r="614" spans="5:7" ht="15" customHeight="1">
      <c r="E614" s="5"/>
      <c r="G614" t="s">
        <v>466</v>
      </c>
    </row>
    <row r="615" spans="5:7">
      <c r="E615" s="15" t="s">
        <v>465</v>
      </c>
      <c r="G615" t="s">
        <v>41</v>
      </c>
    </row>
    <row r="616" spans="5:7">
      <c r="E616" s="16" t="s">
        <v>37</v>
      </c>
      <c r="G616" t="s">
        <v>472</v>
      </c>
    </row>
    <row r="617" spans="5:7" ht="0" hidden="1" customHeight="1">
      <c r="G617">
        <v>0</v>
      </c>
    </row>
    <row r="618" spans="5:7" ht="0.6" customHeight="1">
      <c r="G618">
        <v>0</v>
      </c>
    </row>
    <row r="619" spans="5:7" ht="15" customHeight="1">
      <c r="E619" s="5"/>
      <c r="G619" t="s">
        <v>57</v>
      </c>
    </row>
    <row r="620" spans="5:7">
      <c r="E620" s="5"/>
      <c r="G620" t="s">
        <v>59</v>
      </c>
    </row>
    <row r="621" spans="5:7">
      <c r="E621" s="13" t="s">
        <v>467</v>
      </c>
      <c r="G621" t="s">
        <v>61</v>
      </c>
    </row>
    <row r="622" spans="5:7">
      <c r="E622" s="33"/>
      <c r="G622" t="s">
        <v>62</v>
      </c>
    </row>
    <row r="623" spans="5:7">
      <c r="E623" s="35"/>
      <c r="G623" t="s">
        <v>101</v>
      </c>
    </row>
    <row r="624" spans="5:7">
      <c r="E624" s="37"/>
      <c r="G624" t="s">
        <v>72</v>
      </c>
    </row>
    <row r="625" spans="5:7">
      <c r="E625" s="13">
        <v>7.3</v>
      </c>
      <c r="G625" t="s">
        <v>37</v>
      </c>
    </row>
    <row r="626" spans="5:7">
      <c r="E626" s="14">
        <v>7.3</v>
      </c>
      <c r="G626">
        <v>0</v>
      </c>
    </row>
    <row r="627" spans="5:7" ht="15" customHeight="1">
      <c r="E627" s="5"/>
      <c r="G627">
        <v>0</v>
      </c>
    </row>
    <row r="628" spans="5:7">
      <c r="E628" s="13"/>
      <c r="G628" t="s">
        <v>35</v>
      </c>
    </row>
    <row r="629" spans="5:7" ht="15" customHeight="1">
      <c r="E629" s="5"/>
      <c r="G629" t="s">
        <v>474</v>
      </c>
    </row>
    <row r="630" spans="5:7">
      <c r="E630" s="15" t="s">
        <v>473</v>
      </c>
      <c r="G630" t="s">
        <v>41</v>
      </c>
    </row>
    <row r="631" spans="5:7">
      <c r="E631" s="16" t="s">
        <v>37</v>
      </c>
      <c r="G631" t="s">
        <v>481</v>
      </c>
    </row>
    <row r="632" spans="5:7" ht="0" hidden="1" customHeight="1">
      <c r="G632">
        <v>0</v>
      </c>
    </row>
    <row r="633" spans="5:7" ht="0.6" customHeight="1">
      <c r="G633">
        <v>0</v>
      </c>
    </row>
    <row r="634" spans="5:7" ht="15" customHeight="1">
      <c r="E634" s="5"/>
      <c r="G634" t="s">
        <v>57</v>
      </c>
    </row>
    <row r="635" spans="5:7">
      <c r="E635" s="5"/>
      <c r="G635" t="s">
        <v>59</v>
      </c>
    </row>
    <row r="636" spans="5:7">
      <c r="E636" s="13" t="s">
        <v>475</v>
      </c>
      <c r="G636" t="s">
        <v>61</v>
      </c>
    </row>
    <row r="637" spans="5:7">
      <c r="E637" s="33"/>
      <c r="G637" t="s">
        <v>62</v>
      </c>
    </row>
    <row r="638" spans="5:7">
      <c r="E638" s="35"/>
      <c r="G638" t="s">
        <v>200</v>
      </c>
    </row>
    <row r="639" spans="5:7">
      <c r="E639" s="37"/>
      <c r="G639" t="s">
        <v>72</v>
      </c>
    </row>
    <row r="640" spans="5:7">
      <c r="E640" s="13">
        <v>8</v>
      </c>
      <c r="G640" t="s">
        <v>37</v>
      </c>
    </row>
    <row r="641" spans="5:7">
      <c r="E641" s="14">
        <v>8</v>
      </c>
      <c r="G641">
        <v>0</v>
      </c>
    </row>
    <row r="642" spans="5:7" ht="15" customHeight="1">
      <c r="E642" s="5"/>
      <c r="G642">
        <v>0</v>
      </c>
    </row>
    <row r="643" spans="5:7">
      <c r="E643" s="13"/>
      <c r="G643" t="s">
        <v>35</v>
      </c>
    </row>
    <row r="644" spans="5:7" ht="15" customHeight="1">
      <c r="E644" s="5"/>
      <c r="G644" t="s">
        <v>484</v>
      </c>
    </row>
    <row r="645" spans="5:7">
      <c r="E645" s="15" t="s">
        <v>483</v>
      </c>
      <c r="G645" t="s">
        <v>41</v>
      </c>
    </row>
    <row r="646" spans="5:7">
      <c r="E646" s="16" t="s">
        <v>37</v>
      </c>
      <c r="G646" t="s">
        <v>490</v>
      </c>
    </row>
    <row r="647" spans="5:7" ht="0" hidden="1" customHeight="1">
      <c r="G647">
        <v>0</v>
      </c>
    </row>
    <row r="648" spans="5:7" ht="0.6" customHeight="1">
      <c r="G648">
        <v>0</v>
      </c>
    </row>
    <row r="649" spans="5:7" ht="15" customHeight="1">
      <c r="E649" s="5"/>
      <c r="G649" t="s">
        <v>57</v>
      </c>
    </row>
    <row r="650" spans="5:7">
      <c r="E650" s="5"/>
      <c r="G650" t="s">
        <v>59</v>
      </c>
    </row>
    <row r="651" spans="5:7">
      <c r="E651" s="13" t="s">
        <v>485</v>
      </c>
      <c r="G651" t="s">
        <v>61</v>
      </c>
    </row>
    <row r="652" spans="5:7">
      <c r="E652" s="33"/>
      <c r="G652" t="s">
        <v>62</v>
      </c>
    </row>
    <row r="653" spans="5:7">
      <c r="E653" s="35"/>
      <c r="G653" t="s">
        <v>188</v>
      </c>
    </row>
    <row r="654" spans="5:7">
      <c r="E654" s="37"/>
      <c r="G654" t="s">
        <v>72</v>
      </c>
    </row>
    <row r="655" spans="5:7">
      <c r="E655" s="13">
        <v>8.64</v>
      </c>
      <c r="G655" t="s">
        <v>37</v>
      </c>
    </row>
    <row r="656" spans="5:7">
      <c r="E656" s="14">
        <v>8.64</v>
      </c>
      <c r="G656">
        <v>0</v>
      </c>
    </row>
    <row r="657" spans="5:7" ht="15" customHeight="1">
      <c r="E657" s="5"/>
      <c r="G657">
        <v>0</v>
      </c>
    </row>
    <row r="658" spans="5:7">
      <c r="E658" s="13"/>
      <c r="G658" t="s">
        <v>35</v>
      </c>
    </row>
    <row r="659" spans="5:7" ht="15" customHeight="1">
      <c r="E659" s="5"/>
      <c r="G659" t="s">
        <v>492</v>
      </c>
    </row>
    <row r="660" spans="5:7">
      <c r="E660" s="15" t="s">
        <v>491</v>
      </c>
      <c r="G660" t="s">
        <v>41</v>
      </c>
    </row>
    <row r="661" spans="5:7">
      <c r="E661" s="16" t="s">
        <v>37</v>
      </c>
      <c r="G661" t="s">
        <v>498</v>
      </c>
    </row>
    <row r="662" spans="5:7" ht="0" hidden="1" customHeight="1">
      <c r="G662">
        <v>0</v>
      </c>
    </row>
    <row r="663" spans="5:7" ht="0.6" customHeight="1">
      <c r="G663">
        <v>0</v>
      </c>
    </row>
    <row r="664" spans="5:7" ht="15" customHeight="1">
      <c r="E664" s="5"/>
      <c r="G664" t="s">
        <v>57</v>
      </c>
    </row>
    <row r="665" spans="5:7">
      <c r="E665" s="5"/>
      <c r="G665" t="s">
        <v>59</v>
      </c>
    </row>
    <row r="666" spans="5:7">
      <c r="E666" s="13" t="s">
        <v>493</v>
      </c>
      <c r="G666" t="s">
        <v>61</v>
      </c>
    </row>
    <row r="667" spans="5:7">
      <c r="E667" s="33"/>
      <c r="G667" t="s">
        <v>62</v>
      </c>
    </row>
    <row r="668" spans="5:7">
      <c r="E668" s="35"/>
      <c r="G668" t="s">
        <v>64</v>
      </c>
    </row>
    <row r="669" spans="5:7">
      <c r="E669" s="37"/>
      <c r="G669" t="s">
        <v>72</v>
      </c>
    </row>
    <row r="670" spans="5:7">
      <c r="E670" s="13">
        <v>7.8</v>
      </c>
      <c r="G670" t="s">
        <v>37</v>
      </c>
    </row>
    <row r="671" spans="5:7">
      <c r="E671" s="14">
        <v>7.8</v>
      </c>
      <c r="G671">
        <v>0</v>
      </c>
    </row>
    <row r="672" spans="5:7" ht="15" customHeight="1">
      <c r="E672" s="5"/>
      <c r="G672">
        <v>0</v>
      </c>
    </row>
    <row r="673" spans="5:7">
      <c r="E673" s="13"/>
      <c r="G673" t="s">
        <v>35</v>
      </c>
    </row>
    <row r="674" spans="5:7" ht="15" customHeight="1">
      <c r="E674" s="5"/>
      <c r="G674" t="s">
        <v>500</v>
      </c>
    </row>
    <row r="675" spans="5:7">
      <c r="E675" s="15" t="s">
        <v>499</v>
      </c>
      <c r="G675" t="s">
        <v>41</v>
      </c>
    </row>
    <row r="676" spans="5:7">
      <c r="E676" s="16" t="s">
        <v>37</v>
      </c>
      <c r="G676" t="s">
        <v>506</v>
      </c>
    </row>
    <row r="677" spans="5:7" ht="0" hidden="1" customHeight="1">
      <c r="G677">
        <v>0</v>
      </c>
    </row>
    <row r="678" spans="5:7" ht="0.6" customHeight="1">
      <c r="G678">
        <v>0</v>
      </c>
    </row>
    <row r="679" spans="5:7" ht="15" customHeight="1">
      <c r="E679" s="5"/>
      <c r="G679" t="s">
        <v>57</v>
      </c>
    </row>
    <row r="680" spans="5:7">
      <c r="E680" s="5"/>
      <c r="G680" t="s">
        <v>59</v>
      </c>
    </row>
    <row r="681" spans="5:7">
      <c r="E681" s="13" t="s">
        <v>501</v>
      </c>
      <c r="G681" t="s">
        <v>61</v>
      </c>
    </row>
    <row r="682" spans="5:7">
      <c r="E682" s="33"/>
      <c r="G682" t="s">
        <v>62</v>
      </c>
    </row>
    <row r="683" spans="5:7">
      <c r="E683" s="35"/>
      <c r="G683" t="s">
        <v>273</v>
      </c>
    </row>
    <row r="684" spans="5:7">
      <c r="E684" s="37"/>
      <c r="G684" t="s">
        <v>72</v>
      </c>
    </row>
    <row r="685" spans="5:7">
      <c r="E685" s="13">
        <v>6.28</v>
      </c>
      <c r="G685" t="s">
        <v>37</v>
      </c>
    </row>
    <row r="686" spans="5:7">
      <c r="E686" s="14">
        <v>6.28</v>
      </c>
      <c r="G686">
        <v>0</v>
      </c>
    </row>
    <row r="687" spans="5:7" ht="15" customHeight="1">
      <c r="E687" s="5"/>
      <c r="G687">
        <v>0</v>
      </c>
    </row>
    <row r="688" spans="5:7">
      <c r="E688" s="13"/>
      <c r="G688" t="s">
        <v>35</v>
      </c>
    </row>
    <row r="689" spans="5:7" ht="15" customHeight="1">
      <c r="E689" s="5"/>
      <c r="G689" t="s">
        <v>508</v>
      </c>
    </row>
    <row r="690" spans="5:7">
      <c r="E690" s="15" t="s">
        <v>507</v>
      </c>
      <c r="G690" t="s">
        <v>41</v>
      </c>
    </row>
    <row r="691" spans="5:7">
      <c r="E691" s="16" t="s">
        <v>37</v>
      </c>
      <c r="G691" t="s">
        <v>513</v>
      </c>
    </row>
    <row r="692" spans="5:7" ht="0" hidden="1" customHeight="1">
      <c r="G692">
        <v>0</v>
      </c>
    </row>
    <row r="693" spans="5:7" ht="0.6" customHeight="1">
      <c r="G693">
        <v>0</v>
      </c>
    </row>
    <row r="694" spans="5:7" ht="15" customHeight="1">
      <c r="E694" s="5"/>
      <c r="G694" t="s">
        <v>57</v>
      </c>
    </row>
    <row r="695" spans="5:7">
      <c r="E695" s="5"/>
      <c r="G695" t="s">
        <v>59</v>
      </c>
    </row>
    <row r="696" spans="5:7">
      <c r="E696" s="13" t="s">
        <v>509</v>
      </c>
      <c r="G696" t="s">
        <v>61</v>
      </c>
    </row>
    <row r="697" spans="5:7">
      <c r="E697" s="33"/>
      <c r="G697" t="s">
        <v>62</v>
      </c>
    </row>
    <row r="698" spans="5:7">
      <c r="E698" s="35"/>
      <c r="G698" t="s">
        <v>188</v>
      </c>
    </row>
    <row r="699" spans="5:7">
      <c r="E699" s="37"/>
      <c r="G699" t="s">
        <v>72</v>
      </c>
    </row>
    <row r="700" spans="5:7">
      <c r="E700" s="13">
        <v>8.8000000000000007</v>
      </c>
      <c r="G700" t="s">
        <v>37</v>
      </c>
    </row>
    <row r="701" spans="5:7">
      <c r="E701" s="14">
        <v>8.8000000000000007</v>
      </c>
      <c r="G701">
        <v>0</v>
      </c>
    </row>
    <row r="702" spans="5:7" ht="15" customHeight="1">
      <c r="E702" s="5"/>
      <c r="G702">
        <v>0</v>
      </c>
    </row>
    <row r="703" spans="5:7">
      <c r="E703" s="13"/>
      <c r="G703" t="s">
        <v>35</v>
      </c>
    </row>
    <row r="704" spans="5:7" ht="15" customHeight="1">
      <c r="E704" s="5"/>
      <c r="G704" t="s">
        <v>515</v>
      </c>
    </row>
    <row r="705" spans="5:7">
      <c r="E705" s="15" t="s">
        <v>514</v>
      </c>
      <c r="G705" t="s">
        <v>41</v>
      </c>
    </row>
    <row r="706" spans="5:7">
      <c r="E706" s="16" t="s">
        <v>37</v>
      </c>
      <c r="G706" t="s">
        <v>521</v>
      </c>
    </row>
    <row r="707" spans="5:7" ht="0" hidden="1" customHeight="1">
      <c r="G707">
        <v>0</v>
      </c>
    </row>
    <row r="708" spans="5:7" ht="0.6" customHeight="1">
      <c r="G708">
        <v>0</v>
      </c>
    </row>
    <row r="709" spans="5:7" ht="15" customHeight="1">
      <c r="E709" s="5"/>
      <c r="G709" t="s">
        <v>57</v>
      </c>
    </row>
    <row r="710" spans="5:7">
      <c r="E710" s="5"/>
      <c r="G710" t="s">
        <v>59</v>
      </c>
    </row>
    <row r="711" spans="5:7">
      <c r="E711" s="13" t="s">
        <v>516</v>
      </c>
      <c r="G711" t="s">
        <v>61</v>
      </c>
    </row>
    <row r="712" spans="5:7">
      <c r="E712" s="33"/>
      <c r="G712" t="s">
        <v>62</v>
      </c>
    </row>
    <row r="713" spans="5:7">
      <c r="E713" s="35"/>
      <c r="G713" t="s">
        <v>273</v>
      </c>
    </row>
    <row r="714" spans="5:7">
      <c r="E714" s="37"/>
      <c r="G714" t="s">
        <v>72</v>
      </c>
    </row>
    <row r="715" spans="5:7">
      <c r="E715" s="13">
        <v>6.22</v>
      </c>
      <c r="G715" t="s">
        <v>37</v>
      </c>
    </row>
    <row r="716" spans="5:7">
      <c r="E716" s="14">
        <v>6.22</v>
      </c>
      <c r="G716">
        <v>0</v>
      </c>
    </row>
    <row r="717" spans="5:7" ht="15" customHeight="1">
      <c r="E717" s="5"/>
      <c r="G717" t="s">
        <v>35</v>
      </c>
    </row>
    <row r="718" spans="5:7">
      <c r="E718" s="13"/>
      <c r="G718" t="s">
        <v>523</v>
      </c>
    </row>
    <row r="719" spans="5:7" ht="15" customHeight="1">
      <c r="E719" s="5"/>
      <c r="G719" t="s">
        <v>41</v>
      </c>
    </row>
    <row r="720" spans="5:7">
      <c r="E720" s="15" t="s">
        <v>522</v>
      </c>
      <c r="G720" t="s">
        <v>528</v>
      </c>
    </row>
    <row r="721" spans="5:7">
      <c r="E721" s="16" t="s">
        <v>37</v>
      </c>
      <c r="G721">
        <v>0</v>
      </c>
    </row>
    <row r="722" spans="5:7" ht="0.6" customHeight="1">
      <c r="G722">
        <v>0</v>
      </c>
    </row>
    <row r="723" spans="5:7" ht="15" customHeight="1">
      <c r="E723" s="5"/>
      <c r="G723" t="s">
        <v>57</v>
      </c>
    </row>
    <row r="724" spans="5:7">
      <c r="E724" s="5"/>
      <c r="G724" t="s">
        <v>59</v>
      </c>
    </row>
    <row r="725" spans="5:7">
      <c r="E725" s="13" t="s">
        <v>524</v>
      </c>
      <c r="G725" t="s">
        <v>61</v>
      </c>
    </row>
    <row r="726" spans="5:7">
      <c r="E726" s="33"/>
      <c r="G726" t="s">
        <v>62</v>
      </c>
    </row>
    <row r="727" spans="5:7">
      <c r="E727" s="35"/>
      <c r="G727" t="s">
        <v>273</v>
      </c>
    </row>
    <row r="728" spans="5:7">
      <c r="E728" s="37"/>
      <c r="G728" t="s">
        <v>72</v>
      </c>
    </row>
    <row r="729" spans="5:7">
      <c r="E729" s="13">
        <v>6.12</v>
      </c>
      <c r="G729" t="s">
        <v>37</v>
      </c>
    </row>
    <row r="730" spans="5:7">
      <c r="E730" s="14">
        <v>6.12</v>
      </c>
      <c r="G730">
        <v>0</v>
      </c>
    </row>
    <row r="731" spans="5:7" ht="15" customHeight="1">
      <c r="E731" s="5"/>
      <c r="G731">
        <v>0</v>
      </c>
    </row>
    <row r="732" spans="5:7">
      <c r="E732" s="13"/>
      <c r="G732" t="s">
        <v>35</v>
      </c>
    </row>
    <row r="733" spans="5:7" ht="15" customHeight="1">
      <c r="E733" s="5"/>
      <c r="G733" t="s">
        <v>530</v>
      </c>
    </row>
    <row r="734" spans="5:7">
      <c r="E734" s="15" t="s">
        <v>529</v>
      </c>
      <c r="G734" t="s">
        <v>41</v>
      </c>
    </row>
    <row r="735" spans="5:7">
      <c r="E735" s="16" t="s">
        <v>37</v>
      </c>
      <c r="G735" t="s">
        <v>533</v>
      </c>
    </row>
    <row r="736" spans="5:7" ht="0" hidden="1" customHeight="1">
      <c r="G736">
        <v>0</v>
      </c>
    </row>
    <row r="737" spans="5:7" ht="0.6" customHeight="1">
      <c r="G737">
        <v>0</v>
      </c>
    </row>
    <row r="738" spans="5:7" ht="15" customHeight="1">
      <c r="E738" s="5"/>
      <c r="G738" t="s">
        <v>57</v>
      </c>
    </row>
    <row r="739" spans="5:7">
      <c r="E739" s="5"/>
      <c r="G739" t="s">
        <v>59</v>
      </c>
    </row>
    <row r="740" spans="5:7">
      <c r="E740" s="13" t="s">
        <v>531</v>
      </c>
      <c r="G740" t="s">
        <v>61</v>
      </c>
    </row>
    <row r="741" spans="5:7">
      <c r="E741" s="33"/>
      <c r="G741" t="s">
        <v>62</v>
      </c>
    </row>
    <row r="742" spans="5:7">
      <c r="E742" s="35"/>
      <c r="G742" t="s">
        <v>87</v>
      </c>
    </row>
    <row r="743" spans="5:7">
      <c r="E743" s="37"/>
      <c r="G743" t="s">
        <v>72</v>
      </c>
    </row>
    <row r="744" spans="5:7">
      <c r="E744" s="13">
        <v>9.32</v>
      </c>
      <c r="G744" t="s">
        <v>37</v>
      </c>
    </row>
    <row r="745" spans="5:7">
      <c r="E745" s="14">
        <v>9.32</v>
      </c>
      <c r="G745">
        <v>0</v>
      </c>
    </row>
    <row r="746" spans="5:7" ht="15" customHeight="1">
      <c r="E746" s="5"/>
      <c r="G746">
        <v>0</v>
      </c>
    </row>
    <row r="747" spans="5:7">
      <c r="E747" s="13"/>
      <c r="G747" t="s">
        <v>35</v>
      </c>
    </row>
    <row r="748" spans="5:7" ht="15" customHeight="1">
      <c r="E748" s="5"/>
      <c r="G748" t="s">
        <v>535</v>
      </c>
    </row>
    <row r="749" spans="5:7">
      <c r="E749" s="15" t="s">
        <v>534</v>
      </c>
      <c r="G749" t="s">
        <v>41</v>
      </c>
    </row>
    <row r="750" spans="5:7">
      <c r="E750" s="16" t="s">
        <v>37</v>
      </c>
      <c r="G750" t="s">
        <v>542</v>
      </c>
    </row>
    <row r="751" spans="5:7" ht="0" hidden="1" customHeight="1">
      <c r="G751">
        <v>0</v>
      </c>
    </row>
    <row r="752" spans="5:7" ht="0.6" customHeight="1">
      <c r="G752">
        <v>0</v>
      </c>
    </row>
    <row r="753" spans="5:7" ht="15" customHeight="1">
      <c r="E753" s="5"/>
      <c r="G753" t="s">
        <v>57</v>
      </c>
    </row>
    <row r="754" spans="5:7">
      <c r="E754" s="5"/>
      <c r="G754" t="s">
        <v>59</v>
      </c>
    </row>
    <row r="755" spans="5:7">
      <c r="E755" s="13" t="s">
        <v>536</v>
      </c>
      <c r="G755" t="s">
        <v>61</v>
      </c>
    </row>
    <row r="756" spans="5:7">
      <c r="E756" s="33"/>
      <c r="G756" t="s">
        <v>62</v>
      </c>
    </row>
    <row r="757" spans="5:7">
      <c r="E757" s="35"/>
      <c r="G757" t="s">
        <v>200</v>
      </c>
    </row>
    <row r="758" spans="5:7">
      <c r="E758" s="37"/>
      <c r="G758" t="s">
        <v>72</v>
      </c>
    </row>
    <row r="759" spans="5:7">
      <c r="E759" s="13">
        <v>8.1199999999999992</v>
      </c>
      <c r="G759" t="s">
        <v>37</v>
      </c>
    </row>
    <row r="760" spans="5:7">
      <c r="E760" s="14">
        <v>8.1199999999999992</v>
      </c>
      <c r="G760">
        <v>0</v>
      </c>
    </row>
    <row r="761" spans="5:7" ht="15" customHeight="1">
      <c r="E761" s="5"/>
      <c r="G761">
        <v>0</v>
      </c>
    </row>
    <row r="762" spans="5:7">
      <c r="E762" s="13"/>
      <c r="G762" t="s">
        <v>35</v>
      </c>
    </row>
    <row r="763" spans="5:7" ht="15" customHeight="1">
      <c r="E763" s="5"/>
      <c r="G763" t="s">
        <v>544</v>
      </c>
    </row>
    <row r="764" spans="5:7">
      <c r="E764" s="15" t="s">
        <v>543</v>
      </c>
      <c r="G764" t="s">
        <v>41</v>
      </c>
    </row>
    <row r="765" spans="5:7">
      <c r="E765" s="16" t="s">
        <v>37</v>
      </c>
      <c r="G765" t="s">
        <v>551</v>
      </c>
    </row>
    <row r="766" spans="5:7" ht="0" hidden="1" customHeight="1">
      <c r="G766">
        <v>0</v>
      </c>
    </row>
    <row r="767" spans="5:7" ht="0.6" customHeight="1">
      <c r="G767">
        <v>0</v>
      </c>
    </row>
    <row r="768" spans="5:7" ht="15" customHeight="1">
      <c r="E768" s="5"/>
      <c r="G768" t="s">
        <v>57</v>
      </c>
    </row>
    <row r="769" spans="5:7">
      <c r="E769" s="5"/>
      <c r="G769" t="s">
        <v>59</v>
      </c>
    </row>
    <row r="770" spans="5:7">
      <c r="E770" s="13" t="s">
        <v>545</v>
      </c>
      <c r="G770" t="s">
        <v>61</v>
      </c>
    </row>
    <row r="771" spans="5:7">
      <c r="E771" s="33"/>
      <c r="G771" t="s">
        <v>62</v>
      </c>
    </row>
    <row r="772" spans="5:7">
      <c r="E772" s="35"/>
      <c r="G772" t="s">
        <v>200</v>
      </c>
    </row>
    <row r="773" spans="5:7">
      <c r="E773" s="37"/>
      <c r="G773" t="s">
        <v>72</v>
      </c>
    </row>
    <row r="774" spans="5:7">
      <c r="E774" s="13">
        <v>8.06</v>
      </c>
      <c r="G774" t="s">
        <v>37</v>
      </c>
    </row>
    <row r="775" spans="5:7">
      <c r="E775" s="14">
        <v>8.06</v>
      </c>
      <c r="G775">
        <v>0</v>
      </c>
    </row>
    <row r="776" spans="5:7" ht="15" customHeight="1">
      <c r="E776" s="5"/>
      <c r="G776">
        <v>0</v>
      </c>
    </row>
    <row r="777" spans="5:7">
      <c r="E777" s="13"/>
      <c r="G777" t="s">
        <v>35</v>
      </c>
    </row>
    <row r="778" spans="5:7" ht="15" customHeight="1">
      <c r="E778" s="5"/>
      <c r="G778" t="s">
        <v>554</v>
      </c>
    </row>
    <row r="779" spans="5:7">
      <c r="E779" s="15" t="s">
        <v>553</v>
      </c>
      <c r="G779" t="s">
        <v>41</v>
      </c>
    </row>
    <row r="780" spans="5:7">
      <c r="E780" s="16" t="s">
        <v>37</v>
      </c>
      <c r="G780" t="s">
        <v>560</v>
      </c>
    </row>
    <row r="781" spans="5:7" ht="0" hidden="1" customHeight="1">
      <c r="G781">
        <v>0</v>
      </c>
    </row>
    <row r="782" spans="5:7" ht="0.6" customHeight="1">
      <c r="G782">
        <v>0</v>
      </c>
    </row>
    <row r="783" spans="5:7" ht="15" customHeight="1">
      <c r="E783" s="5"/>
      <c r="G783" t="s">
        <v>57</v>
      </c>
    </row>
    <row r="784" spans="5:7">
      <c r="E784" s="5"/>
      <c r="G784" t="s">
        <v>59</v>
      </c>
    </row>
    <row r="785" spans="5:7">
      <c r="E785" s="13" t="s">
        <v>555</v>
      </c>
      <c r="G785" t="s">
        <v>61</v>
      </c>
    </row>
    <row r="786" spans="5:7">
      <c r="E786" s="33"/>
      <c r="G786" t="s">
        <v>62</v>
      </c>
    </row>
    <row r="787" spans="5:7">
      <c r="E787" s="35"/>
      <c r="G787" t="s">
        <v>200</v>
      </c>
    </row>
    <row r="788" spans="5:7">
      <c r="E788" s="37"/>
      <c r="G788" t="s">
        <v>72</v>
      </c>
    </row>
    <row r="789" spans="5:7">
      <c r="E789" s="13">
        <v>8.44</v>
      </c>
      <c r="G789" t="s">
        <v>37</v>
      </c>
    </row>
    <row r="790" spans="5:7">
      <c r="E790" s="14">
        <v>8.44</v>
      </c>
      <c r="G790">
        <v>0</v>
      </c>
    </row>
    <row r="791" spans="5:7" ht="15" customHeight="1">
      <c r="E791" s="5"/>
      <c r="G791">
        <v>0</v>
      </c>
    </row>
    <row r="792" spans="5:7">
      <c r="E792" s="13"/>
      <c r="G792" t="s">
        <v>35</v>
      </c>
    </row>
    <row r="793" spans="5:7" ht="15" customHeight="1">
      <c r="E793" s="5"/>
      <c r="G793" t="s">
        <v>562</v>
      </c>
    </row>
    <row r="794" spans="5:7">
      <c r="E794" s="15" t="s">
        <v>561</v>
      </c>
      <c r="G794" t="s">
        <v>41</v>
      </c>
    </row>
    <row r="795" spans="5:7">
      <c r="E795" s="16" t="s">
        <v>37</v>
      </c>
      <c r="G795" t="s">
        <v>567</v>
      </c>
    </row>
    <row r="796" spans="5:7" ht="0" hidden="1" customHeight="1">
      <c r="G796">
        <v>0</v>
      </c>
    </row>
    <row r="797" spans="5:7" ht="0.6" customHeight="1">
      <c r="G797">
        <v>0</v>
      </c>
    </row>
    <row r="798" spans="5:7" ht="15" customHeight="1">
      <c r="E798" s="5"/>
      <c r="G798" t="s">
        <v>57</v>
      </c>
    </row>
    <row r="799" spans="5:7">
      <c r="E799" s="5"/>
      <c r="G799" t="s">
        <v>59</v>
      </c>
    </row>
    <row r="800" spans="5:7">
      <c r="E800" s="13" t="s">
        <v>563</v>
      </c>
      <c r="G800" t="s">
        <v>61</v>
      </c>
    </row>
    <row r="801" spans="5:7">
      <c r="E801" s="33"/>
      <c r="G801" t="s">
        <v>62</v>
      </c>
    </row>
    <row r="802" spans="5:7">
      <c r="E802" s="35"/>
      <c r="G802" t="s">
        <v>101</v>
      </c>
    </row>
    <row r="803" spans="5:7">
      <c r="E803" s="37"/>
      <c r="G803" t="s">
        <v>72</v>
      </c>
    </row>
    <row r="804" spans="5:7">
      <c r="E804" s="13">
        <v>7.24</v>
      </c>
      <c r="G804" t="s">
        <v>37</v>
      </c>
    </row>
    <row r="805" spans="5:7">
      <c r="E805" s="14">
        <v>7.24</v>
      </c>
      <c r="G805">
        <v>0</v>
      </c>
    </row>
    <row r="806" spans="5:7" ht="15" customHeight="1">
      <c r="E806" s="5"/>
      <c r="G806">
        <v>0</v>
      </c>
    </row>
    <row r="807" spans="5:7">
      <c r="E807" s="13"/>
      <c r="G807" t="s">
        <v>35</v>
      </c>
    </row>
    <row r="808" spans="5:7" ht="15" customHeight="1">
      <c r="E808" s="5"/>
      <c r="G808" t="s">
        <v>569</v>
      </c>
    </row>
    <row r="809" spans="5:7">
      <c r="E809" s="15" t="s">
        <v>568</v>
      </c>
      <c r="G809" t="s">
        <v>41</v>
      </c>
    </row>
    <row r="810" spans="5:7">
      <c r="E810" s="16" t="s">
        <v>37</v>
      </c>
      <c r="G810" t="s">
        <v>137</v>
      </c>
    </row>
    <row r="811" spans="5:7" ht="0" hidden="1" customHeight="1">
      <c r="G811">
        <v>0</v>
      </c>
    </row>
    <row r="812" spans="5:7" ht="0.6" customHeight="1">
      <c r="G812">
        <v>0</v>
      </c>
    </row>
    <row r="813" spans="5:7" ht="15" customHeight="1">
      <c r="E813" s="5"/>
      <c r="G813" t="s">
        <v>57</v>
      </c>
    </row>
    <row r="814" spans="5:7">
      <c r="E814" s="5"/>
      <c r="G814" t="s">
        <v>59</v>
      </c>
    </row>
    <row r="815" spans="5:7">
      <c r="E815" s="13" t="s">
        <v>570</v>
      </c>
      <c r="G815" t="s">
        <v>61</v>
      </c>
    </row>
    <row r="816" spans="5:7">
      <c r="E816" s="33"/>
      <c r="G816" t="s">
        <v>62</v>
      </c>
    </row>
    <row r="817" spans="5:7">
      <c r="E817" s="35"/>
      <c r="G817" t="s">
        <v>101</v>
      </c>
    </row>
    <row r="818" spans="5:7">
      <c r="E818" s="37"/>
      <c r="G818" t="s">
        <v>72</v>
      </c>
    </row>
    <row r="819" spans="5:7">
      <c r="E819" s="13">
        <v>7.28</v>
      </c>
      <c r="G819" t="s">
        <v>37</v>
      </c>
    </row>
    <row r="820" spans="5:7">
      <c r="E820" s="14">
        <v>7.28</v>
      </c>
      <c r="G820">
        <v>0</v>
      </c>
    </row>
    <row r="821" spans="5:7" ht="15" customHeight="1">
      <c r="E821" s="5"/>
      <c r="G821">
        <v>0</v>
      </c>
    </row>
    <row r="822" spans="5:7">
      <c r="E822" s="13"/>
      <c r="G822" t="s">
        <v>35</v>
      </c>
    </row>
    <row r="823" spans="5:7" ht="15" customHeight="1">
      <c r="E823" s="5"/>
      <c r="G823" t="s">
        <v>576</v>
      </c>
    </row>
    <row r="824" spans="5:7">
      <c r="E824" s="15" t="s">
        <v>575</v>
      </c>
      <c r="G824" t="s">
        <v>41</v>
      </c>
    </row>
    <row r="825" spans="5:7">
      <c r="E825" s="16" t="s">
        <v>37</v>
      </c>
      <c r="G825" t="s">
        <v>419</v>
      </c>
    </row>
    <row r="826" spans="5:7" ht="0" hidden="1" customHeight="1">
      <c r="G826">
        <v>0</v>
      </c>
    </row>
    <row r="827" spans="5:7" ht="0.6" customHeight="1">
      <c r="G827">
        <v>0</v>
      </c>
    </row>
    <row r="828" spans="5:7" ht="15" customHeight="1">
      <c r="E828" s="5"/>
      <c r="G828" t="s">
        <v>57</v>
      </c>
    </row>
    <row r="829" spans="5:7">
      <c r="E829" s="5"/>
      <c r="G829" t="s">
        <v>59</v>
      </c>
    </row>
    <row r="830" spans="5:7">
      <c r="E830" s="13" t="s">
        <v>577</v>
      </c>
      <c r="G830" t="s">
        <v>61</v>
      </c>
    </row>
    <row r="831" spans="5:7">
      <c r="E831" s="33"/>
      <c r="G831" t="s">
        <v>62</v>
      </c>
    </row>
    <row r="832" spans="5:7">
      <c r="E832" s="35"/>
      <c r="G832" t="s">
        <v>273</v>
      </c>
    </row>
    <row r="833" spans="5:7">
      <c r="E833" s="37"/>
      <c r="G833" t="s">
        <v>72</v>
      </c>
    </row>
    <row r="834" spans="5:7">
      <c r="E834" s="13">
        <v>6.08</v>
      </c>
      <c r="G834" t="s">
        <v>37</v>
      </c>
    </row>
    <row r="835" spans="5:7">
      <c r="E835" s="14">
        <v>6.08</v>
      </c>
      <c r="G835">
        <v>0</v>
      </c>
    </row>
    <row r="836" spans="5:7" ht="15" customHeight="1">
      <c r="E836" s="5"/>
      <c r="G836">
        <v>0</v>
      </c>
    </row>
    <row r="837" spans="5:7">
      <c r="E837" s="13"/>
      <c r="G837" t="s">
        <v>35</v>
      </c>
    </row>
    <row r="838" spans="5:7" ht="15" customHeight="1">
      <c r="E838" s="5"/>
      <c r="G838" t="s">
        <v>584</v>
      </c>
    </row>
    <row r="839" spans="5:7">
      <c r="E839" s="15" t="s">
        <v>583</v>
      </c>
      <c r="G839" t="s">
        <v>41</v>
      </c>
    </row>
    <row r="840" spans="5:7">
      <c r="E840" s="16" t="s">
        <v>37</v>
      </c>
      <c r="G840" t="s">
        <v>592</v>
      </c>
    </row>
    <row r="841" spans="5:7" ht="0" hidden="1" customHeight="1">
      <c r="G841">
        <v>0</v>
      </c>
    </row>
    <row r="842" spans="5:7" ht="0.6" customHeight="1">
      <c r="G842">
        <v>0</v>
      </c>
    </row>
    <row r="843" spans="5:7" ht="15" customHeight="1">
      <c r="E843" s="5"/>
      <c r="G843" t="s">
        <v>57</v>
      </c>
    </row>
    <row r="844" spans="5:7">
      <c r="E844" s="5"/>
      <c r="G844" t="s">
        <v>59</v>
      </c>
    </row>
    <row r="845" spans="5:7">
      <c r="E845" s="13" t="s">
        <v>585</v>
      </c>
      <c r="G845" t="s">
        <v>61</v>
      </c>
    </row>
    <row r="846" spans="5:7">
      <c r="E846" s="33"/>
      <c r="G846" t="s">
        <v>62</v>
      </c>
    </row>
    <row r="847" spans="5:7">
      <c r="E847" s="35"/>
      <c r="G847" t="s">
        <v>375</v>
      </c>
    </row>
    <row r="848" spans="5:7">
      <c r="E848" s="37"/>
      <c r="G848" t="s">
        <v>72</v>
      </c>
    </row>
    <row r="849" spans="5:7">
      <c r="E849" s="13">
        <v>5.82</v>
      </c>
      <c r="G849" t="s">
        <v>37</v>
      </c>
    </row>
    <row r="850" spans="5:7">
      <c r="E850" s="14">
        <v>5.82</v>
      </c>
      <c r="G850">
        <v>0</v>
      </c>
    </row>
    <row r="851" spans="5:7" ht="15" customHeight="1">
      <c r="E851" s="5"/>
      <c r="G851" t="s">
        <v>35</v>
      </c>
    </row>
    <row r="852" spans="5:7">
      <c r="E852" s="13"/>
      <c r="G852" t="s">
        <v>594</v>
      </c>
    </row>
    <row r="853" spans="5:7" ht="15" customHeight="1">
      <c r="E853" s="5"/>
      <c r="G853" t="s">
        <v>41</v>
      </c>
    </row>
    <row r="854" spans="5:7">
      <c r="E854" s="15" t="s">
        <v>593</v>
      </c>
      <c r="G854" t="s">
        <v>198</v>
      </c>
    </row>
    <row r="855" spans="5:7">
      <c r="E855" s="16" t="s">
        <v>37</v>
      </c>
      <c r="G855">
        <v>0</v>
      </c>
    </row>
    <row r="856" spans="5:7" ht="0.6" customHeight="1">
      <c r="G856">
        <v>0</v>
      </c>
    </row>
    <row r="857" spans="5:7" ht="15" customHeight="1">
      <c r="E857" s="5"/>
      <c r="G857" t="s">
        <v>57</v>
      </c>
    </row>
    <row r="858" spans="5:7">
      <c r="E858" s="5"/>
      <c r="G858" t="s">
        <v>59</v>
      </c>
    </row>
    <row r="859" spans="5:7">
      <c r="E859" s="13" t="s">
        <v>595</v>
      </c>
      <c r="G859" t="s">
        <v>61</v>
      </c>
    </row>
    <row r="860" spans="5:7">
      <c r="E860" s="33"/>
      <c r="G860" t="s">
        <v>62</v>
      </c>
    </row>
    <row r="861" spans="5:7">
      <c r="E861" s="35"/>
      <c r="G861" t="s">
        <v>87</v>
      </c>
    </row>
    <row r="862" spans="5:7">
      <c r="E862" s="37"/>
      <c r="G862" t="s">
        <v>72</v>
      </c>
    </row>
    <row r="863" spans="5:7">
      <c r="E863" s="13">
        <v>9.02</v>
      </c>
      <c r="G863" t="s">
        <v>37</v>
      </c>
    </row>
    <row r="864" spans="5:7">
      <c r="E864" s="14">
        <v>9.02</v>
      </c>
      <c r="G864">
        <v>0</v>
      </c>
    </row>
    <row r="865" spans="5:7" ht="15" customHeight="1">
      <c r="E865" s="5"/>
      <c r="G865">
        <v>0</v>
      </c>
    </row>
    <row r="866" spans="5:7">
      <c r="E866" s="13"/>
      <c r="G866" t="s">
        <v>35</v>
      </c>
    </row>
    <row r="867" spans="5:7" ht="15" customHeight="1">
      <c r="E867" s="5"/>
      <c r="G867" t="s">
        <v>598</v>
      </c>
    </row>
    <row r="868" spans="5:7">
      <c r="E868" s="15" t="s">
        <v>597</v>
      </c>
      <c r="G868" t="s">
        <v>41</v>
      </c>
    </row>
    <row r="869" spans="5:7">
      <c r="E869" s="16" t="s">
        <v>37</v>
      </c>
      <c r="G869" t="s">
        <v>603</v>
      </c>
    </row>
    <row r="870" spans="5:7" ht="0" hidden="1" customHeight="1">
      <c r="G870">
        <v>0</v>
      </c>
    </row>
    <row r="871" spans="5:7" ht="0.6" customHeight="1">
      <c r="G871">
        <v>0</v>
      </c>
    </row>
    <row r="872" spans="5:7" ht="15" customHeight="1">
      <c r="E872" s="5"/>
      <c r="G872" t="s">
        <v>57</v>
      </c>
    </row>
    <row r="873" spans="5:7">
      <c r="E873" s="5"/>
      <c r="G873" t="s">
        <v>59</v>
      </c>
    </row>
    <row r="874" spans="5:7">
      <c r="E874" s="13" t="s">
        <v>599</v>
      </c>
      <c r="G874" t="s">
        <v>61</v>
      </c>
    </row>
    <row r="875" spans="5:7">
      <c r="E875" s="33"/>
      <c r="G875" t="s">
        <v>62</v>
      </c>
    </row>
    <row r="876" spans="5:7">
      <c r="E876" s="35"/>
      <c r="G876" t="s">
        <v>87</v>
      </c>
    </row>
    <row r="877" spans="5:7">
      <c r="E877" s="37"/>
      <c r="G877" t="s">
        <v>72</v>
      </c>
    </row>
    <row r="878" spans="5:7">
      <c r="E878" s="13">
        <v>9.48</v>
      </c>
      <c r="G878" t="s">
        <v>37</v>
      </c>
    </row>
    <row r="879" spans="5:7">
      <c r="E879" s="14">
        <v>9.48</v>
      </c>
      <c r="G879">
        <v>0</v>
      </c>
    </row>
    <row r="880" spans="5:7" ht="15" customHeight="1">
      <c r="E880" s="5"/>
      <c r="G880">
        <v>0</v>
      </c>
    </row>
    <row r="881" spans="5:7">
      <c r="E881" s="13"/>
      <c r="G881" t="s">
        <v>35</v>
      </c>
    </row>
    <row r="882" spans="5:7" ht="15" customHeight="1">
      <c r="E882" s="5"/>
      <c r="G882" t="s">
        <v>605</v>
      </c>
    </row>
    <row r="883" spans="5:7">
      <c r="E883" s="15" t="s">
        <v>604</v>
      </c>
      <c r="G883" t="s">
        <v>41</v>
      </c>
    </row>
    <row r="884" spans="5:7">
      <c r="E884" s="16" t="s">
        <v>37</v>
      </c>
      <c r="G884" t="s">
        <v>608</v>
      </c>
    </row>
    <row r="885" spans="5:7" ht="0" hidden="1" customHeight="1">
      <c r="G885">
        <v>0</v>
      </c>
    </row>
    <row r="886" spans="5:7" ht="0.6" customHeight="1">
      <c r="G886">
        <v>0</v>
      </c>
    </row>
    <row r="887" spans="5:7" ht="15" customHeight="1">
      <c r="E887" s="5"/>
      <c r="G887" t="s">
        <v>57</v>
      </c>
    </row>
    <row r="888" spans="5:7">
      <c r="E888" s="5"/>
      <c r="G888" t="s">
        <v>59</v>
      </c>
    </row>
    <row r="889" spans="5:7">
      <c r="E889" s="13" t="s">
        <v>606</v>
      </c>
      <c r="G889" t="s">
        <v>61</v>
      </c>
    </row>
    <row r="890" spans="5:7">
      <c r="E890" s="33"/>
      <c r="G890" t="s">
        <v>62</v>
      </c>
    </row>
    <row r="891" spans="5:7">
      <c r="E891" s="35"/>
      <c r="G891" t="s">
        <v>87</v>
      </c>
    </row>
    <row r="892" spans="5:7">
      <c r="E892" s="37"/>
      <c r="G892" t="s">
        <v>72</v>
      </c>
    </row>
    <row r="893" spans="5:7">
      <c r="E893" s="13">
        <v>9.48</v>
      </c>
      <c r="G893" t="s">
        <v>37</v>
      </c>
    </row>
    <row r="894" spans="5:7">
      <c r="E894" s="14">
        <v>9.48</v>
      </c>
      <c r="G894">
        <v>0</v>
      </c>
    </row>
    <row r="895" spans="5:7" ht="15" customHeight="1">
      <c r="E895" s="5"/>
      <c r="G895">
        <v>0</v>
      </c>
    </row>
    <row r="896" spans="5:7">
      <c r="E896" s="13"/>
      <c r="G896" t="s">
        <v>35</v>
      </c>
    </row>
    <row r="897" spans="5:7" ht="15" customHeight="1">
      <c r="E897" s="5"/>
      <c r="G897" t="s">
        <v>610</v>
      </c>
    </row>
    <row r="898" spans="5:7">
      <c r="E898" s="15" t="s">
        <v>609</v>
      </c>
      <c r="G898" t="s">
        <v>41</v>
      </c>
    </row>
    <row r="899" spans="5:7">
      <c r="E899" s="16" t="s">
        <v>37</v>
      </c>
      <c r="G899" t="s">
        <v>617</v>
      </c>
    </row>
    <row r="900" spans="5:7" ht="0" hidden="1" customHeight="1">
      <c r="G900">
        <v>0</v>
      </c>
    </row>
    <row r="901" spans="5:7" ht="0.6" customHeight="1">
      <c r="G901">
        <v>0</v>
      </c>
    </row>
    <row r="902" spans="5:7" ht="15" customHeight="1">
      <c r="E902" s="5"/>
      <c r="G902" t="s">
        <v>57</v>
      </c>
    </row>
    <row r="903" spans="5:7">
      <c r="E903" s="5"/>
      <c r="G903" t="s">
        <v>59</v>
      </c>
    </row>
    <row r="904" spans="5:7">
      <c r="E904" s="13" t="s">
        <v>611</v>
      </c>
      <c r="G904" t="s">
        <v>61</v>
      </c>
    </row>
    <row r="905" spans="5:7">
      <c r="E905" s="33"/>
      <c r="G905" t="s">
        <v>62</v>
      </c>
    </row>
    <row r="906" spans="5:7">
      <c r="E906" s="35"/>
      <c r="G906" t="s">
        <v>273</v>
      </c>
    </row>
    <row r="907" spans="5:7">
      <c r="E907" s="37"/>
      <c r="G907" t="s">
        <v>72</v>
      </c>
    </row>
    <row r="908" spans="5:7">
      <c r="E908" s="13">
        <v>6.42</v>
      </c>
      <c r="G908" t="s">
        <v>37</v>
      </c>
    </row>
    <row r="909" spans="5:7">
      <c r="E909" s="14">
        <v>6.42</v>
      </c>
      <c r="G909">
        <v>0</v>
      </c>
    </row>
    <row r="910" spans="5:7" ht="15" customHeight="1">
      <c r="E910" s="5"/>
      <c r="G910">
        <v>0</v>
      </c>
    </row>
    <row r="911" spans="5:7">
      <c r="E911" s="13"/>
      <c r="G911" t="s">
        <v>35</v>
      </c>
    </row>
    <row r="912" spans="5:7" ht="15" customHeight="1">
      <c r="E912" s="5"/>
      <c r="G912" t="s">
        <v>619</v>
      </c>
    </row>
    <row r="913" spans="5:7">
      <c r="E913" s="15" t="s">
        <v>618</v>
      </c>
      <c r="G913" t="s">
        <v>41</v>
      </c>
    </row>
    <row r="914" spans="5:7">
      <c r="E914" s="16" t="s">
        <v>37</v>
      </c>
      <c r="G914" t="s">
        <v>623</v>
      </c>
    </row>
    <row r="915" spans="5:7" ht="0" hidden="1" customHeight="1">
      <c r="G915">
        <v>0</v>
      </c>
    </row>
    <row r="916" spans="5:7" ht="0.6" customHeight="1">
      <c r="G916">
        <v>0</v>
      </c>
    </row>
    <row r="917" spans="5:7" ht="15" customHeight="1">
      <c r="E917" s="5"/>
      <c r="G917" t="s">
        <v>57</v>
      </c>
    </row>
    <row r="918" spans="5:7">
      <c r="E918" s="5"/>
      <c r="G918" t="s">
        <v>59</v>
      </c>
    </row>
    <row r="919" spans="5:7">
      <c r="E919" s="13" t="s">
        <v>620</v>
      </c>
      <c r="G919" t="s">
        <v>61</v>
      </c>
    </row>
    <row r="920" spans="5:7">
      <c r="E920" s="33"/>
      <c r="G920" t="s">
        <v>62</v>
      </c>
    </row>
    <row r="921" spans="5:7">
      <c r="E921" s="35"/>
      <c r="G921" t="s">
        <v>64</v>
      </c>
    </row>
    <row r="922" spans="5:7">
      <c r="E922" s="37"/>
      <c r="G922" t="s">
        <v>72</v>
      </c>
    </row>
    <row r="923" spans="5:7">
      <c r="E923" s="13">
        <v>7.68</v>
      </c>
      <c r="G923" t="s">
        <v>37</v>
      </c>
    </row>
    <row r="924" spans="5:7">
      <c r="E924" s="14">
        <v>7.68</v>
      </c>
      <c r="G924">
        <v>0</v>
      </c>
    </row>
    <row r="925" spans="5:7" ht="15" customHeight="1">
      <c r="E925" s="5"/>
      <c r="G925">
        <v>0</v>
      </c>
    </row>
    <row r="926" spans="5:7">
      <c r="E926" s="13"/>
      <c r="G926" t="s">
        <v>35</v>
      </c>
    </row>
    <row r="927" spans="5:7" ht="15" customHeight="1">
      <c r="E927" s="5"/>
      <c r="G927" t="s">
        <v>625</v>
      </c>
    </row>
    <row r="928" spans="5:7">
      <c r="E928" s="15" t="s">
        <v>624</v>
      </c>
      <c r="G928" t="s">
        <v>41</v>
      </c>
    </row>
    <row r="929" spans="5:7">
      <c r="E929" s="16" t="s">
        <v>37</v>
      </c>
      <c r="G929" t="s">
        <v>630</v>
      </c>
    </row>
    <row r="930" spans="5:7" ht="0" hidden="1" customHeight="1">
      <c r="G930">
        <v>0</v>
      </c>
    </row>
    <row r="931" spans="5:7" ht="0.6" customHeight="1">
      <c r="G931">
        <v>0</v>
      </c>
    </row>
    <row r="932" spans="5:7" ht="15" customHeight="1">
      <c r="E932" s="5"/>
      <c r="G932" t="s">
        <v>57</v>
      </c>
    </row>
    <row r="933" spans="5:7">
      <c r="E933" s="5"/>
      <c r="G933" t="s">
        <v>59</v>
      </c>
    </row>
    <row r="934" spans="5:7">
      <c r="E934" s="13" t="s">
        <v>626</v>
      </c>
      <c r="G934" t="s">
        <v>61</v>
      </c>
    </row>
    <row r="935" spans="5:7">
      <c r="E935" s="33"/>
      <c r="G935" t="s">
        <v>62</v>
      </c>
    </row>
    <row r="936" spans="5:7">
      <c r="E936" s="35"/>
      <c r="G936" t="s">
        <v>273</v>
      </c>
    </row>
    <row r="937" spans="5:7">
      <c r="E937" s="37"/>
      <c r="G937" t="s">
        <v>72</v>
      </c>
    </row>
    <row r="938" spans="5:7">
      <c r="E938" s="13">
        <v>6.12</v>
      </c>
      <c r="G938" t="s">
        <v>37</v>
      </c>
    </row>
    <row r="939" spans="5:7">
      <c r="E939" s="14">
        <v>6.12</v>
      </c>
      <c r="G939">
        <v>0</v>
      </c>
    </row>
    <row r="940" spans="5:7" ht="15" customHeight="1">
      <c r="E940" s="5"/>
      <c r="G940">
        <v>0</v>
      </c>
    </row>
    <row r="941" spans="5:7">
      <c r="E941" s="13"/>
      <c r="G941" t="s">
        <v>35</v>
      </c>
    </row>
    <row r="942" spans="5:7" ht="15" customHeight="1">
      <c r="E942" s="5"/>
      <c r="G942" t="s">
        <v>633</v>
      </c>
    </row>
    <row r="943" spans="5:7">
      <c r="E943" s="15" t="s">
        <v>632</v>
      </c>
      <c r="G943" t="s">
        <v>41</v>
      </c>
    </row>
    <row r="944" spans="5:7">
      <c r="E944" s="16" t="s">
        <v>37</v>
      </c>
      <c r="G944" t="s">
        <v>637</v>
      </c>
    </row>
    <row r="945" spans="5:7" ht="0" hidden="1" customHeight="1">
      <c r="G945">
        <v>0</v>
      </c>
    </row>
    <row r="946" spans="5:7" ht="0.6" customHeight="1">
      <c r="G946">
        <v>0</v>
      </c>
    </row>
    <row r="947" spans="5:7" ht="15" customHeight="1">
      <c r="E947" s="5"/>
      <c r="G947" t="s">
        <v>57</v>
      </c>
    </row>
    <row r="948" spans="5:7">
      <c r="E948" s="5"/>
      <c r="G948" t="s">
        <v>59</v>
      </c>
    </row>
    <row r="949" spans="5:7">
      <c r="E949" s="13" t="s">
        <v>634</v>
      </c>
      <c r="G949" t="s">
        <v>61</v>
      </c>
    </row>
    <row r="950" spans="5:7">
      <c r="E950" s="33"/>
      <c r="G950" t="s">
        <v>62</v>
      </c>
    </row>
    <row r="951" spans="5:7">
      <c r="E951" s="35"/>
      <c r="G951" t="s">
        <v>188</v>
      </c>
    </row>
    <row r="952" spans="5:7">
      <c r="E952" s="37"/>
      <c r="G952" t="s">
        <v>72</v>
      </c>
    </row>
    <row r="953" spans="5:7">
      <c r="E953" s="13">
        <v>8.92</v>
      </c>
      <c r="G953" t="s">
        <v>37</v>
      </c>
    </row>
    <row r="954" spans="5:7">
      <c r="E954" s="14">
        <v>8.92</v>
      </c>
      <c r="G954">
        <v>0</v>
      </c>
    </row>
    <row r="955" spans="5:7" ht="15" customHeight="1">
      <c r="E955" s="5"/>
      <c r="G955">
        <v>0</v>
      </c>
    </row>
    <row r="956" spans="5:7">
      <c r="E956" s="13"/>
      <c r="G956" t="s">
        <v>35</v>
      </c>
    </row>
    <row r="957" spans="5:7" ht="15" customHeight="1">
      <c r="E957" s="5"/>
      <c r="G957" t="s">
        <v>639</v>
      </c>
    </row>
    <row r="958" spans="5:7">
      <c r="E958" s="15" t="s">
        <v>638</v>
      </c>
      <c r="G958" t="s">
        <v>41</v>
      </c>
    </row>
    <row r="959" spans="5:7">
      <c r="E959" s="16" t="s">
        <v>37</v>
      </c>
      <c r="G959" t="s">
        <v>644</v>
      </c>
    </row>
    <row r="960" spans="5:7" ht="0" hidden="1" customHeight="1">
      <c r="G960">
        <v>0</v>
      </c>
    </row>
    <row r="961" spans="5:7" ht="0.6" customHeight="1">
      <c r="G961">
        <v>0</v>
      </c>
    </row>
    <row r="962" spans="5:7" ht="15" customHeight="1">
      <c r="E962" s="5"/>
      <c r="G962" t="s">
        <v>57</v>
      </c>
    </row>
    <row r="963" spans="5:7">
      <c r="E963" s="5"/>
      <c r="G963" t="s">
        <v>59</v>
      </c>
    </row>
    <row r="964" spans="5:7">
      <c r="E964" s="13" t="s">
        <v>640</v>
      </c>
      <c r="G964" t="s">
        <v>61</v>
      </c>
    </row>
    <row r="965" spans="5:7">
      <c r="E965" s="33"/>
      <c r="G965" t="s">
        <v>62</v>
      </c>
    </row>
    <row r="966" spans="5:7">
      <c r="E966" s="35"/>
      <c r="G966" t="s">
        <v>188</v>
      </c>
    </row>
    <row r="967" spans="5:7">
      <c r="E967" s="37"/>
      <c r="G967" t="s">
        <v>72</v>
      </c>
    </row>
    <row r="968" spans="5:7">
      <c r="E968" s="13">
        <v>8.8800000000000008</v>
      </c>
      <c r="G968" t="s">
        <v>37</v>
      </c>
    </row>
    <row r="969" spans="5:7">
      <c r="E969" s="14">
        <v>8.8800000000000008</v>
      </c>
      <c r="G969">
        <v>0</v>
      </c>
    </row>
    <row r="970" spans="5:7" ht="15" customHeight="1">
      <c r="E970" s="5"/>
      <c r="G970">
        <v>0</v>
      </c>
    </row>
    <row r="971" spans="5:7">
      <c r="E971" s="13"/>
      <c r="G971">
        <v>0</v>
      </c>
    </row>
    <row r="972" spans="5:7" ht="15" customHeight="1">
      <c r="E972" s="5"/>
      <c r="G972">
        <v>0</v>
      </c>
    </row>
    <row r="973" spans="5:7">
      <c r="E973" s="15" t="s">
        <v>645</v>
      </c>
      <c r="G973">
        <v>0</v>
      </c>
    </row>
    <row r="974" spans="5:7">
      <c r="E974" s="16" t="s">
        <v>37</v>
      </c>
    </row>
    <row r="975" spans="5:7" ht="0" hidden="1" customHeight="1"/>
  </sheetData>
  <mergeCells count="67">
    <mergeCell ref="E965:E967"/>
    <mergeCell ref="E950:E952"/>
    <mergeCell ref="E935:E937"/>
    <mergeCell ref="E920:E922"/>
    <mergeCell ref="E905:E907"/>
    <mergeCell ref="E890:E892"/>
    <mergeCell ref="E875:E877"/>
    <mergeCell ref="E860:E862"/>
    <mergeCell ref="E846:E848"/>
    <mergeCell ref="E831:E833"/>
    <mergeCell ref="E816:E818"/>
    <mergeCell ref="E801:E803"/>
    <mergeCell ref="E786:E788"/>
    <mergeCell ref="E771:E773"/>
    <mergeCell ref="E756:E758"/>
    <mergeCell ref="E741:E743"/>
    <mergeCell ref="E726:E728"/>
    <mergeCell ref="E712:E714"/>
    <mergeCell ref="E697:E699"/>
    <mergeCell ref="E682:E684"/>
    <mergeCell ref="E667:E669"/>
    <mergeCell ref="E652:E654"/>
    <mergeCell ref="E637:E639"/>
    <mergeCell ref="E622:E624"/>
    <mergeCell ref="E607:E609"/>
    <mergeCell ref="E592:E594"/>
    <mergeCell ref="E578:E580"/>
    <mergeCell ref="E563:E565"/>
    <mergeCell ref="E548:E550"/>
    <mergeCell ref="E533:E535"/>
    <mergeCell ref="E518:E520"/>
    <mergeCell ref="E503:E505"/>
    <mergeCell ref="E488:E490"/>
    <mergeCell ref="E473:E475"/>
    <mergeCell ref="E458:E460"/>
    <mergeCell ref="E444:E446"/>
    <mergeCell ref="E429:E431"/>
    <mergeCell ref="E414:E416"/>
    <mergeCell ref="E399:E401"/>
    <mergeCell ref="E384:E386"/>
    <mergeCell ref="E369:E371"/>
    <mergeCell ref="E354:E356"/>
    <mergeCell ref="E339:E341"/>
    <mergeCell ref="E325:E327"/>
    <mergeCell ref="E310:E312"/>
    <mergeCell ref="E295:E297"/>
    <mergeCell ref="E280:E282"/>
    <mergeCell ref="E265:E267"/>
    <mergeCell ref="E250:E252"/>
    <mergeCell ref="E235:E237"/>
    <mergeCell ref="E220:E222"/>
    <mergeCell ref="E205:E207"/>
    <mergeCell ref="E191:E193"/>
    <mergeCell ref="E176:E178"/>
    <mergeCell ref="E161:E163"/>
    <mergeCell ref="E146:E148"/>
    <mergeCell ref="E131:E133"/>
    <mergeCell ref="E116:E118"/>
    <mergeCell ref="E101:E103"/>
    <mergeCell ref="E86:E88"/>
    <mergeCell ref="D2:E2"/>
    <mergeCell ref="D4:G4"/>
    <mergeCell ref="E71:E73"/>
    <mergeCell ref="E57:E59"/>
    <mergeCell ref="E42:E44"/>
    <mergeCell ref="E27:E29"/>
    <mergeCell ref="E12:E14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&amp;"-,Regular"18/05/2024 10:14 AM &amp;C&amp;"Segoe UI,Regular"&amp;9 Page 2   of   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D1:T975"/>
  <sheetViews>
    <sheetView showGridLines="0" workbookViewId="0">
      <pane ySplit="5" topLeftCell="A953" activePane="bottomLeft" state="frozen"/>
      <selection pane="bottomLeft" activeCell="T964" sqref="T964"/>
    </sheetView>
  </sheetViews>
  <sheetFormatPr defaultRowHeight="15"/>
  <cols>
    <col min="1" max="1" width="0.28515625" style="18" customWidth="1"/>
    <col min="2" max="2" width="0.42578125" style="18" customWidth="1"/>
    <col min="3" max="3" width="0.28515625" style="18" customWidth="1"/>
    <col min="4" max="4" width="0.140625" style="18" customWidth="1"/>
    <col min="5" max="5" width="7.5703125" style="18" customWidth="1"/>
    <col min="6" max="6" width="19.140625" style="18" customWidth="1"/>
    <col min="7" max="7" width="13.42578125" style="18" customWidth="1"/>
    <col min="8" max="14" width="9.85546875" style="18" customWidth="1"/>
    <col min="15" max="15" width="8" style="18" customWidth="1"/>
    <col min="16" max="16" width="1.85546875" style="18" customWidth="1"/>
    <col min="17" max="17" width="7.42578125" style="18" customWidth="1"/>
    <col min="18" max="18" width="0" style="18" hidden="1" customWidth="1"/>
    <col min="19" max="19" width="16.140625" style="18" customWidth="1"/>
    <col min="20" max="20" width="21.7109375" style="18" customWidth="1"/>
    <col min="21" max="16384" width="9.140625" style="18"/>
  </cols>
  <sheetData>
    <row r="1" spans="4:20" ht="0.95" customHeight="1"/>
    <row r="2" spans="4:20" ht="16.149999999999999" customHeight="1"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4:20" ht="6.6" customHeight="1"/>
    <row r="4" spans="4:20" ht="23.85" customHeight="1">
      <c r="D4" s="29" t="s">
        <v>1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4:20" ht="5.0999999999999996" customHeight="1"/>
    <row r="6" spans="4:20" ht="11.25" customHeight="1"/>
    <row r="7" spans="4:20" ht="7.7" customHeight="1"/>
    <row r="8" spans="4:20" ht="0.6" customHeight="1"/>
    <row r="9" spans="4:20">
      <c r="E9" s="38" t="s">
        <v>35</v>
      </c>
      <c r="F9" s="31"/>
      <c r="G9" s="19" t="s">
        <v>36</v>
      </c>
      <c r="H9" s="20" t="s">
        <v>37</v>
      </c>
      <c r="I9" s="20" t="s">
        <v>37</v>
      </c>
      <c r="J9" s="20" t="s">
        <v>37</v>
      </c>
      <c r="K9" s="20" t="s">
        <v>37</v>
      </c>
      <c r="L9" s="20" t="s">
        <v>37</v>
      </c>
      <c r="M9" s="20" t="s">
        <v>37</v>
      </c>
      <c r="N9" s="20" t="s">
        <v>37</v>
      </c>
      <c r="O9" s="39" t="s">
        <v>37</v>
      </c>
      <c r="P9" s="28"/>
      <c r="Q9" s="20" t="s">
        <v>37</v>
      </c>
    </row>
    <row r="10" spans="4:20" ht="21">
      <c r="E10" s="32" t="s">
        <v>38</v>
      </c>
      <c r="F10" s="31"/>
      <c r="G10" s="22" t="s">
        <v>39</v>
      </c>
      <c r="H10" s="22" t="s">
        <v>19</v>
      </c>
      <c r="I10" s="22" t="s">
        <v>9</v>
      </c>
      <c r="J10" s="22" t="s">
        <v>21</v>
      </c>
      <c r="K10" s="22" t="s">
        <v>11</v>
      </c>
      <c r="L10" s="22" t="s">
        <v>17</v>
      </c>
      <c r="M10" s="22" t="s">
        <v>27</v>
      </c>
      <c r="N10" s="22" t="s">
        <v>7</v>
      </c>
      <c r="O10" s="40" t="s">
        <v>25</v>
      </c>
      <c r="P10" s="31"/>
      <c r="Q10" s="22" t="s">
        <v>40</v>
      </c>
    </row>
    <row r="11" spans="4:20" ht="22.5">
      <c r="E11" s="21" t="s">
        <v>41</v>
      </c>
      <c r="F11" s="21" t="s">
        <v>42</v>
      </c>
      <c r="G11" s="11" t="s">
        <v>43</v>
      </c>
      <c r="H11" s="23" t="s">
        <v>44</v>
      </c>
      <c r="I11" s="23" t="s">
        <v>45</v>
      </c>
      <c r="J11" s="23" t="s">
        <v>46</v>
      </c>
      <c r="K11" s="23" t="s">
        <v>47</v>
      </c>
      <c r="L11" s="23" t="s">
        <v>48</v>
      </c>
      <c r="M11" s="23" t="s">
        <v>49</v>
      </c>
      <c r="N11" s="23" t="s">
        <v>50</v>
      </c>
      <c r="O11" s="30" t="s">
        <v>51</v>
      </c>
      <c r="P11" s="31"/>
      <c r="Q11" s="11" t="s">
        <v>37</v>
      </c>
      <c r="S11" s="18" t="str">
        <f>$E17</f>
        <v>Result: PASS</v>
      </c>
      <c r="T11" s="18">
        <f>$Q17</f>
        <v>534</v>
      </c>
    </row>
    <row r="12" spans="4:20">
      <c r="E12" s="32" t="s">
        <v>52</v>
      </c>
      <c r="F12" s="33"/>
      <c r="G12" s="11" t="s">
        <v>53</v>
      </c>
      <c r="H12" s="23" t="s">
        <v>51</v>
      </c>
      <c r="I12" s="23" t="s">
        <v>51</v>
      </c>
      <c r="J12" s="23" t="s">
        <v>51</v>
      </c>
      <c r="K12" s="23" t="s">
        <v>51</v>
      </c>
      <c r="L12" s="23" t="s">
        <v>51</v>
      </c>
      <c r="M12" s="23" t="s">
        <v>51</v>
      </c>
      <c r="N12" s="23" t="s">
        <v>51</v>
      </c>
      <c r="O12" s="30" t="s">
        <v>54</v>
      </c>
      <c r="P12" s="31"/>
      <c r="Q12" s="11" t="s">
        <v>37</v>
      </c>
      <c r="S12" s="18" t="str">
        <f t="shared" ref="S12:S75" si="0">$E18</f>
        <v>Class</v>
      </c>
      <c r="T12" s="18">
        <f t="shared" ref="T12:T75" si="1">$Q18</f>
        <v>700</v>
      </c>
    </row>
    <row r="13" spans="4:20">
      <c r="E13" s="34"/>
      <c r="F13" s="35"/>
      <c r="G13" s="11" t="s">
        <v>55</v>
      </c>
      <c r="H13" s="23" t="s">
        <v>37</v>
      </c>
      <c r="I13" s="23" t="s">
        <v>37</v>
      </c>
      <c r="J13" s="23" t="s">
        <v>37</v>
      </c>
      <c r="K13" s="23" t="s">
        <v>37</v>
      </c>
      <c r="L13" s="23" t="s">
        <v>37</v>
      </c>
      <c r="M13" s="23" t="s">
        <v>37</v>
      </c>
      <c r="N13" s="23" t="s">
        <v>37</v>
      </c>
      <c r="O13" s="30" t="s">
        <v>37</v>
      </c>
      <c r="P13" s="31"/>
      <c r="Q13" s="11">
        <v>0</v>
      </c>
      <c r="S13" s="18" t="str">
        <f t="shared" si="0"/>
        <v>Term Grade: AA+</v>
      </c>
      <c r="T13" s="18" t="str">
        <f t="shared" si="1"/>
        <v/>
      </c>
    </row>
    <row r="14" spans="4:20">
      <c r="E14" s="36"/>
      <c r="F14" s="37"/>
      <c r="G14" s="11" t="s">
        <v>56</v>
      </c>
      <c r="H14" s="23">
        <v>4</v>
      </c>
      <c r="I14" s="23">
        <v>4</v>
      </c>
      <c r="J14" s="23">
        <v>4</v>
      </c>
      <c r="K14" s="23">
        <v>3</v>
      </c>
      <c r="L14" s="23">
        <v>3</v>
      </c>
      <c r="M14" s="23">
        <v>3</v>
      </c>
      <c r="N14" s="23">
        <v>2</v>
      </c>
      <c r="O14" s="30">
        <v>2</v>
      </c>
      <c r="P14" s="31"/>
      <c r="Q14" s="11">
        <v>25</v>
      </c>
      <c r="S14" s="18" t="str">
        <f t="shared" si="0"/>
        <v>M.C.No</v>
      </c>
      <c r="T14" s="18" t="str">
        <f t="shared" si="1"/>
        <v/>
      </c>
    </row>
    <row r="15" spans="4:20">
      <c r="E15" s="21" t="s">
        <v>57</v>
      </c>
      <c r="F15" s="21">
        <v>7.98</v>
      </c>
      <c r="G15" s="11" t="s">
        <v>58</v>
      </c>
      <c r="H15" s="23">
        <v>7</v>
      </c>
      <c r="I15" s="23">
        <v>9</v>
      </c>
      <c r="J15" s="23">
        <v>7.5</v>
      </c>
      <c r="K15" s="23">
        <v>6.5</v>
      </c>
      <c r="L15" s="23">
        <v>7.5</v>
      </c>
      <c r="M15" s="23">
        <v>8.5</v>
      </c>
      <c r="N15" s="23">
        <v>9.5</v>
      </c>
      <c r="O15" s="30">
        <v>9.5</v>
      </c>
      <c r="P15" s="31"/>
      <c r="Q15" s="11" t="s">
        <v>37</v>
      </c>
      <c r="S15" s="18" t="str">
        <f t="shared" si="0"/>
        <v/>
      </c>
      <c r="T15" s="18" t="str">
        <f t="shared" si="1"/>
        <v/>
      </c>
    </row>
    <row r="16" spans="4:20">
      <c r="E16" s="21" t="s">
        <v>59</v>
      </c>
      <c r="F16" s="14">
        <v>7.98</v>
      </c>
      <c r="G16" s="11" t="s">
        <v>60</v>
      </c>
      <c r="H16" s="23">
        <v>28</v>
      </c>
      <c r="I16" s="23">
        <v>36</v>
      </c>
      <c r="J16" s="23">
        <v>30</v>
      </c>
      <c r="K16" s="23">
        <v>19.5</v>
      </c>
      <c r="L16" s="23">
        <v>22.5</v>
      </c>
      <c r="M16" s="23">
        <v>25.5</v>
      </c>
      <c r="N16" s="23">
        <v>19</v>
      </c>
      <c r="O16" s="30">
        <v>19</v>
      </c>
      <c r="P16" s="31"/>
      <c r="Q16" s="11">
        <v>199.5</v>
      </c>
      <c r="S16" s="18">
        <f t="shared" si="0"/>
        <v>0</v>
      </c>
      <c r="T16" s="18">
        <f t="shared" si="1"/>
        <v>0</v>
      </c>
    </row>
    <row r="17" spans="5:20">
      <c r="E17" s="32" t="s">
        <v>61</v>
      </c>
      <c r="F17" s="31"/>
      <c r="G17" s="11" t="s">
        <v>40</v>
      </c>
      <c r="H17" s="23">
        <v>67</v>
      </c>
      <c r="I17" s="23">
        <v>89</v>
      </c>
      <c r="J17" s="23">
        <v>74</v>
      </c>
      <c r="K17" s="23">
        <v>60</v>
      </c>
      <c r="L17" s="23">
        <v>74</v>
      </c>
      <c r="M17" s="23">
        <v>80</v>
      </c>
      <c r="N17" s="23">
        <v>45</v>
      </c>
      <c r="O17" s="30">
        <v>45</v>
      </c>
      <c r="P17" s="31"/>
      <c r="Q17" s="11">
        <v>534</v>
      </c>
      <c r="S17" s="18">
        <f t="shared" si="0"/>
        <v>0</v>
      </c>
      <c r="T17" s="18">
        <f t="shared" si="1"/>
        <v>0</v>
      </c>
    </row>
    <row r="18" spans="5:20">
      <c r="E18" s="21" t="s">
        <v>62</v>
      </c>
      <c r="F18" s="21"/>
      <c r="G18" s="11" t="s">
        <v>63</v>
      </c>
      <c r="H18" s="23">
        <v>100</v>
      </c>
      <c r="I18" s="23">
        <v>100</v>
      </c>
      <c r="J18" s="23">
        <v>100</v>
      </c>
      <c r="K18" s="23">
        <v>100</v>
      </c>
      <c r="L18" s="23">
        <v>100</v>
      </c>
      <c r="M18" s="23">
        <v>100</v>
      </c>
      <c r="N18" s="23">
        <v>50</v>
      </c>
      <c r="O18" s="30">
        <v>50</v>
      </c>
      <c r="P18" s="31"/>
      <c r="Q18" s="11">
        <v>700</v>
      </c>
      <c r="S18" s="18" t="str">
        <f t="shared" si="0"/>
        <v>Dr. B.B. Hegde First Grade College, Kundapura, Udupi.</v>
      </c>
      <c r="T18" s="18" t="str">
        <f t="shared" si="1"/>
        <v/>
      </c>
    </row>
    <row r="19" spans="5:20">
      <c r="E19" s="32" t="s">
        <v>64</v>
      </c>
      <c r="F19" s="31"/>
      <c r="G19" s="11" t="s">
        <v>65</v>
      </c>
      <c r="H19" s="23" t="s">
        <v>66</v>
      </c>
      <c r="I19" s="23" t="s">
        <v>67</v>
      </c>
      <c r="J19" s="23" t="s">
        <v>68</v>
      </c>
      <c r="K19" s="23" t="s">
        <v>69</v>
      </c>
      <c r="L19" s="23" t="s">
        <v>68</v>
      </c>
      <c r="M19" s="23" t="s">
        <v>70</v>
      </c>
      <c r="N19" s="23" t="s">
        <v>71</v>
      </c>
      <c r="O19" s="30" t="s">
        <v>71</v>
      </c>
      <c r="P19" s="31"/>
      <c r="Q19" s="11" t="s">
        <v>37</v>
      </c>
      <c r="S19" s="18" t="str">
        <f t="shared" si="0"/>
        <v>00002</v>
      </c>
      <c r="T19" s="18" t="str">
        <f t="shared" si="1"/>
        <v>Total</v>
      </c>
    </row>
    <row r="20" spans="5:20">
      <c r="E20" s="15" t="s">
        <v>72</v>
      </c>
      <c r="F20" s="15" t="s">
        <v>73</v>
      </c>
      <c r="G20" s="11" t="s">
        <v>74</v>
      </c>
      <c r="H20" s="23" t="s">
        <v>75</v>
      </c>
      <c r="I20" s="23" t="s">
        <v>75</v>
      </c>
      <c r="J20" s="23" t="s">
        <v>75</v>
      </c>
      <c r="K20" s="23" t="s">
        <v>75</v>
      </c>
      <c r="L20" s="23" t="s">
        <v>75</v>
      </c>
      <c r="M20" s="23" t="s">
        <v>75</v>
      </c>
      <c r="N20" s="23" t="s">
        <v>75</v>
      </c>
      <c r="O20" s="30" t="s">
        <v>75</v>
      </c>
      <c r="P20" s="31"/>
      <c r="Q20" s="11" t="s">
        <v>37</v>
      </c>
      <c r="S20" s="18" t="str">
        <f t="shared" si="0"/>
        <v>USN</v>
      </c>
      <c r="T20" s="18" t="str">
        <f t="shared" si="1"/>
        <v/>
      </c>
    </row>
    <row r="21" spans="5:20">
      <c r="E21" s="16" t="s">
        <v>37</v>
      </c>
      <c r="F21" s="16" t="s">
        <v>37</v>
      </c>
      <c r="G21" s="16" t="s">
        <v>37</v>
      </c>
      <c r="H21" s="24" t="s">
        <v>37</v>
      </c>
      <c r="I21" s="24" t="s">
        <v>37</v>
      </c>
      <c r="J21" s="24" t="s">
        <v>37</v>
      </c>
      <c r="K21" s="24" t="s">
        <v>37</v>
      </c>
      <c r="L21" s="24" t="s">
        <v>37</v>
      </c>
      <c r="M21" s="24" t="s">
        <v>37</v>
      </c>
      <c r="N21" s="24" t="s">
        <v>37</v>
      </c>
      <c r="O21" s="41" t="s">
        <v>37</v>
      </c>
      <c r="P21" s="28"/>
      <c r="Q21" s="24" t="s">
        <v>37</v>
      </c>
      <c r="S21" s="18" t="str">
        <f t="shared" si="0"/>
        <v>KALPANA</v>
      </c>
      <c r="T21" s="18" t="str">
        <f t="shared" si="1"/>
        <v/>
      </c>
    </row>
    <row r="22" spans="5:20" ht="0" hidden="1" customHeight="1">
      <c r="S22" s="18">
        <f t="shared" si="0"/>
        <v>0</v>
      </c>
      <c r="T22" s="18">
        <f t="shared" si="1"/>
        <v>0</v>
      </c>
    </row>
    <row r="23" spans="5:20" ht="0.6" customHeight="1">
      <c r="S23" s="18">
        <f t="shared" si="0"/>
        <v>0</v>
      </c>
      <c r="T23" s="18">
        <f t="shared" si="1"/>
        <v>25</v>
      </c>
    </row>
    <row r="24" spans="5:20">
      <c r="E24" s="38" t="s">
        <v>35</v>
      </c>
      <c r="F24" s="31"/>
      <c r="G24" s="19" t="s">
        <v>36</v>
      </c>
      <c r="H24" s="20" t="s">
        <v>37</v>
      </c>
      <c r="I24" s="20" t="s">
        <v>37</v>
      </c>
      <c r="J24" s="20" t="s">
        <v>37</v>
      </c>
      <c r="K24" s="20" t="s">
        <v>37</v>
      </c>
      <c r="L24" s="20" t="s">
        <v>37</v>
      </c>
      <c r="M24" s="20" t="s">
        <v>37</v>
      </c>
      <c r="N24" s="20" t="s">
        <v>37</v>
      </c>
      <c r="O24" s="39" t="s">
        <v>37</v>
      </c>
      <c r="P24" s="28"/>
      <c r="Q24" s="20" t="s">
        <v>37</v>
      </c>
      <c r="S24" s="18" t="str">
        <f t="shared" si="0"/>
        <v>SGPA</v>
      </c>
      <c r="T24" s="18" t="str">
        <f t="shared" si="1"/>
        <v/>
      </c>
    </row>
    <row r="25" spans="5:20" ht="21">
      <c r="E25" s="32" t="s">
        <v>76</v>
      </c>
      <c r="F25" s="31"/>
      <c r="G25" s="22" t="s">
        <v>39</v>
      </c>
      <c r="H25" s="22" t="s">
        <v>19</v>
      </c>
      <c r="I25" s="22" t="s">
        <v>9</v>
      </c>
      <c r="J25" s="22" t="s">
        <v>21</v>
      </c>
      <c r="K25" s="22" t="s">
        <v>11</v>
      </c>
      <c r="L25" s="22" t="s">
        <v>17</v>
      </c>
      <c r="M25" s="22" t="s">
        <v>27</v>
      </c>
      <c r="N25" s="22" t="s">
        <v>7</v>
      </c>
      <c r="O25" s="40" t="s">
        <v>29</v>
      </c>
      <c r="P25" s="31"/>
      <c r="Q25" s="22" t="s">
        <v>40</v>
      </c>
      <c r="S25" s="18" t="str">
        <f t="shared" si="0"/>
        <v>CGPA</v>
      </c>
      <c r="T25" s="18">
        <f t="shared" si="1"/>
        <v>233</v>
      </c>
    </row>
    <row r="26" spans="5:20" ht="22.5">
      <c r="E26" s="21" t="s">
        <v>41</v>
      </c>
      <c r="F26" s="21" t="s">
        <v>77</v>
      </c>
      <c r="G26" s="11" t="s">
        <v>43</v>
      </c>
      <c r="H26" s="23" t="s">
        <v>78</v>
      </c>
      <c r="I26" s="23" t="s">
        <v>79</v>
      </c>
      <c r="J26" s="23" t="s">
        <v>80</v>
      </c>
      <c r="K26" s="23" t="s">
        <v>81</v>
      </c>
      <c r="L26" s="23" t="s">
        <v>82</v>
      </c>
      <c r="M26" s="23" t="s">
        <v>83</v>
      </c>
      <c r="N26" s="23" t="s">
        <v>84</v>
      </c>
      <c r="O26" s="30" t="s">
        <v>51</v>
      </c>
      <c r="P26" s="31"/>
      <c r="Q26" s="11" t="s">
        <v>37</v>
      </c>
      <c r="S26" s="18" t="str">
        <f t="shared" si="0"/>
        <v>Result: PASS</v>
      </c>
      <c r="T26" s="18">
        <f t="shared" si="1"/>
        <v>631</v>
      </c>
    </row>
    <row r="27" spans="5:20">
      <c r="E27" s="32" t="s">
        <v>85</v>
      </c>
      <c r="F27" s="33"/>
      <c r="G27" s="11" t="s">
        <v>53</v>
      </c>
      <c r="H27" s="23" t="s">
        <v>51</v>
      </c>
      <c r="I27" s="23" t="s">
        <v>51</v>
      </c>
      <c r="J27" s="23" t="s">
        <v>51</v>
      </c>
      <c r="K27" s="23" t="s">
        <v>51</v>
      </c>
      <c r="L27" s="23" t="s">
        <v>51</v>
      </c>
      <c r="M27" s="23" t="s">
        <v>51</v>
      </c>
      <c r="N27" s="23" t="s">
        <v>51</v>
      </c>
      <c r="O27" s="30" t="s">
        <v>86</v>
      </c>
      <c r="P27" s="31"/>
      <c r="Q27" s="11" t="s">
        <v>37</v>
      </c>
      <c r="S27" s="18" t="str">
        <f t="shared" si="0"/>
        <v>Class</v>
      </c>
      <c r="T27" s="18">
        <f t="shared" si="1"/>
        <v>700</v>
      </c>
    </row>
    <row r="28" spans="5:20">
      <c r="E28" s="34"/>
      <c r="F28" s="35"/>
      <c r="G28" s="11" t="s">
        <v>55</v>
      </c>
      <c r="H28" s="23" t="s">
        <v>37</v>
      </c>
      <c r="I28" s="23" t="s">
        <v>37</v>
      </c>
      <c r="J28" s="23" t="s">
        <v>37</v>
      </c>
      <c r="K28" s="23" t="s">
        <v>37</v>
      </c>
      <c r="L28" s="23" t="s">
        <v>37</v>
      </c>
      <c r="M28" s="23" t="s">
        <v>37</v>
      </c>
      <c r="N28" s="23" t="s">
        <v>37</v>
      </c>
      <c r="O28" s="30" t="s">
        <v>37</v>
      </c>
      <c r="P28" s="31"/>
      <c r="Q28" s="11">
        <v>0</v>
      </c>
      <c r="S28" s="18" t="str">
        <f t="shared" si="0"/>
        <v>Term Grade: OO</v>
      </c>
      <c r="T28" s="18" t="str">
        <f t="shared" si="1"/>
        <v/>
      </c>
    </row>
    <row r="29" spans="5:20">
      <c r="E29" s="36"/>
      <c r="F29" s="37"/>
      <c r="G29" s="11" t="s">
        <v>56</v>
      </c>
      <c r="H29" s="23">
        <v>4</v>
      </c>
      <c r="I29" s="23">
        <v>4</v>
      </c>
      <c r="J29" s="23">
        <v>4</v>
      </c>
      <c r="K29" s="23">
        <v>3</v>
      </c>
      <c r="L29" s="23">
        <v>3</v>
      </c>
      <c r="M29" s="23">
        <v>3</v>
      </c>
      <c r="N29" s="23">
        <v>2</v>
      </c>
      <c r="O29" s="30">
        <v>2</v>
      </c>
      <c r="P29" s="31"/>
      <c r="Q29" s="11">
        <v>25</v>
      </c>
      <c r="S29" s="18" t="str">
        <f t="shared" si="0"/>
        <v>M.C.No</v>
      </c>
      <c r="T29" s="18" t="str">
        <f t="shared" si="1"/>
        <v/>
      </c>
    </row>
    <row r="30" spans="5:20">
      <c r="E30" s="21" t="s">
        <v>57</v>
      </c>
      <c r="F30" s="21">
        <v>9.32</v>
      </c>
      <c r="G30" s="11" t="s">
        <v>58</v>
      </c>
      <c r="H30" s="23">
        <v>9</v>
      </c>
      <c r="I30" s="23">
        <v>10</v>
      </c>
      <c r="J30" s="23">
        <v>9</v>
      </c>
      <c r="K30" s="23">
        <v>7</v>
      </c>
      <c r="L30" s="23">
        <v>10</v>
      </c>
      <c r="M30" s="23">
        <v>10</v>
      </c>
      <c r="N30" s="23">
        <v>10</v>
      </c>
      <c r="O30" s="30">
        <v>10</v>
      </c>
      <c r="P30" s="31"/>
      <c r="Q30" s="11" t="s">
        <v>37</v>
      </c>
      <c r="S30" s="18" t="str">
        <f t="shared" si="0"/>
        <v/>
      </c>
      <c r="T30" s="18" t="str">
        <f t="shared" si="1"/>
        <v/>
      </c>
    </row>
    <row r="31" spans="5:20">
      <c r="E31" s="21" t="s">
        <v>59</v>
      </c>
      <c r="F31" s="14">
        <v>9.32</v>
      </c>
      <c r="G31" s="11" t="s">
        <v>60</v>
      </c>
      <c r="H31" s="23">
        <v>36</v>
      </c>
      <c r="I31" s="23">
        <v>40</v>
      </c>
      <c r="J31" s="23">
        <v>36</v>
      </c>
      <c r="K31" s="23">
        <v>21</v>
      </c>
      <c r="L31" s="23">
        <v>30</v>
      </c>
      <c r="M31" s="23">
        <v>30</v>
      </c>
      <c r="N31" s="23">
        <v>20</v>
      </c>
      <c r="O31" s="30">
        <v>20</v>
      </c>
      <c r="P31" s="31"/>
      <c r="Q31" s="11">
        <v>233</v>
      </c>
      <c r="S31" s="18">
        <f t="shared" si="0"/>
        <v>0</v>
      </c>
      <c r="T31" s="18">
        <f t="shared" si="1"/>
        <v>0</v>
      </c>
    </row>
    <row r="32" spans="5:20">
      <c r="E32" s="32" t="s">
        <v>61</v>
      </c>
      <c r="F32" s="31"/>
      <c r="G32" s="11" t="s">
        <v>40</v>
      </c>
      <c r="H32" s="23">
        <v>86</v>
      </c>
      <c r="I32" s="23">
        <v>95</v>
      </c>
      <c r="J32" s="23">
        <v>88</v>
      </c>
      <c r="K32" s="23">
        <v>68</v>
      </c>
      <c r="L32" s="23">
        <v>98</v>
      </c>
      <c r="M32" s="23">
        <v>100</v>
      </c>
      <c r="N32" s="23">
        <v>48</v>
      </c>
      <c r="O32" s="30">
        <v>48</v>
      </c>
      <c r="P32" s="31"/>
      <c r="Q32" s="11">
        <v>631</v>
      </c>
      <c r="S32" s="18">
        <f t="shared" si="0"/>
        <v>0</v>
      </c>
      <c r="T32" s="18">
        <f t="shared" si="1"/>
        <v>0</v>
      </c>
    </row>
    <row r="33" spans="5:20">
      <c r="E33" s="21" t="s">
        <v>62</v>
      </c>
      <c r="F33" s="21"/>
      <c r="G33" s="11" t="s">
        <v>63</v>
      </c>
      <c r="H33" s="23">
        <v>100</v>
      </c>
      <c r="I33" s="23">
        <v>100</v>
      </c>
      <c r="J33" s="23">
        <v>100</v>
      </c>
      <c r="K33" s="23">
        <v>100</v>
      </c>
      <c r="L33" s="23">
        <v>100</v>
      </c>
      <c r="M33" s="23">
        <v>100</v>
      </c>
      <c r="N33" s="23">
        <v>50</v>
      </c>
      <c r="O33" s="30">
        <v>50</v>
      </c>
      <c r="P33" s="31"/>
      <c r="Q33" s="11">
        <v>700</v>
      </c>
      <c r="S33" s="18" t="str">
        <f t="shared" si="0"/>
        <v>Dr. B.B. Hegde First Grade College, Kundapura, Udupi.</v>
      </c>
      <c r="T33" s="18" t="str">
        <f t="shared" si="1"/>
        <v/>
      </c>
    </row>
    <row r="34" spans="5:20">
      <c r="E34" s="32" t="s">
        <v>87</v>
      </c>
      <c r="F34" s="31"/>
      <c r="G34" s="11" t="s">
        <v>65</v>
      </c>
      <c r="H34" s="23" t="s">
        <v>67</v>
      </c>
      <c r="I34" s="23" t="s">
        <v>88</v>
      </c>
      <c r="J34" s="23" t="s">
        <v>67</v>
      </c>
      <c r="K34" s="23" t="s">
        <v>66</v>
      </c>
      <c r="L34" s="23" t="s">
        <v>88</v>
      </c>
      <c r="M34" s="23" t="s">
        <v>88</v>
      </c>
      <c r="N34" s="23" t="s">
        <v>88</v>
      </c>
      <c r="O34" s="30" t="s">
        <v>88</v>
      </c>
      <c r="P34" s="31"/>
      <c r="Q34" s="11" t="s">
        <v>37</v>
      </c>
      <c r="S34" s="18" t="str">
        <f t="shared" si="0"/>
        <v>00003</v>
      </c>
      <c r="T34" s="18" t="str">
        <f t="shared" si="1"/>
        <v>Total</v>
      </c>
    </row>
    <row r="35" spans="5:20">
      <c r="E35" s="15" t="s">
        <v>72</v>
      </c>
      <c r="F35" s="15" t="s">
        <v>89</v>
      </c>
      <c r="G35" s="11" t="s">
        <v>74</v>
      </c>
      <c r="H35" s="23" t="s">
        <v>75</v>
      </c>
      <c r="I35" s="23" t="s">
        <v>75</v>
      </c>
      <c r="J35" s="23" t="s">
        <v>75</v>
      </c>
      <c r="K35" s="23" t="s">
        <v>75</v>
      </c>
      <c r="L35" s="23" t="s">
        <v>75</v>
      </c>
      <c r="M35" s="23" t="s">
        <v>75</v>
      </c>
      <c r="N35" s="23" t="s">
        <v>75</v>
      </c>
      <c r="O35" s="30" t="s">
        <v>75</v>
      </c>
      <c r="P35" s="31"/>
      <c r="Q35" s="11" t="s">
        <v>37</v>
      </c>
      <c r="S35" s="18" t="str">
        <f t="shared" si="0"/>
        <v>USN</v>
      </c>
      <c r="T35" s="18" t="str">
        <f t="shared" si="1"/>
        <v/>
      </c>
    </row>
    <row r="36" spans="5:20">
      <c r="E36" s="16" t="s">
        <v>37</v>
      </c>
      <c r="F36" s="16" t="s">
        <v>37</v>
      </c>
      <c r="G36" s="16" t="s">
        <v>37</v>
      </c>
      <c r="H36" s="24" t="s">
        <v>37</v>
      </c>
      <c r="I36" s="24" t="s">
        <v>37</v>
      </c>
      <c r="J36" s="24" t="s">
        <v>37</v>
      </c>
      <c r="K36" s="24" t="s">
        <v>37</v>
      </c>
      <c r="L36" s="24" t="s">
        <v>37</v>
      </c>
      <c r="M36" s="24" t="s">
        <v>37</v>
      </c>
      <c r="N36" s="24" t="s">
        <v>37</v>
      </c>
      <c r="O36" s="41" t="s">
        <v>37</v>
      </c>
      <c r="P36" s="28"/>
      <c r="Q36" s="24" t="s">
        <v>37</v>
      </c>
      <c r="S36" s="18" t="str">
        <f t="shared" si="0"/>
        <v>T V NEHA NAIR</v>
      </c>
      <c r="T36" s="18" t="str">
        <f t="shared" si="1"/>
        <v/>
      </c>
    </row>
    <row r="37" spans="5:20" ht="0" hidden="1" customHeight="1">
      <c r="S37" s="18">
        <f t="shared" si="0"/>
        <v>0</v>
      </c>
      <c r="T37" s="18">
        <f t="shared" si="1"/>
        <v>0</v>
      </c>
    </row>
    <row r="38" spans="5:20" ht="0.6" customHeight="1">
      <c r="S38" s="18">
        <f t="shared" si="0"/>
        <v>0</v>
      </c>
      <c r="T38" s="18">
        <f t="shared" si="1"/>
        <v>25</v>
      </c>
    </row>
    <row r="39" spans="5:20">
      <c r="E39" s="38" t="s">
        <v>35</v>
      </c>
      <c r="F39" s="31"/>
      <c r="G39" s="19" t="s">
        <v>36</v>
      </c>
      <c r="H39" s="20" t="s">
        <v>37</v>
      </c>
      <c r="I39" s="20" t="s">
        <v>37</v>
      </c>
      <c r="J39" s="20" t="s">
        <v>37</v>
      </c>
      <c r="K39" s="20" t="s">
        <v>37</v>
      </c>
      <c r="L39" s="20" t="s">
        <v>37</v>
      </c>
      <c r="M39" s="20" t="s">
        <v>37</v>
      </c>
      <c r="N39" s="20" t="s">
        <v>37</v>
      </c>
      <c r="O39" s="39" t="s">
        <v>37</v>
      </c>
      <c r="P39" s="28"/>
      <c r="Q39" s="20" t="s">
        <v>37</v>
      </c>
      <c r="S39" s="18" t="str">
        <f t="shared" si="0"/>
        <v>SGPA</v>
      </c>
      <c r="T39" s="18" t="str">
        <f t="shared" si="1"/>
        <v/>
      </c>
    </row>
    <row r="40" spans="5:20" ht="21">
      <c r="E40" s="32" t="s">
        <v>90</v>
      </c>
      <c r="F40" s="31"/>
      <c r="G40" s="22" t="s">
        <v>39</v>
      </c>
      <c r="H40" s="22" t="s">
        <v>19</v>
      </c>
      <c r="I40" s="22" t="s">
        <v>9</v>
      </c>
      <c r="J40" s="22" t="s">
        <v>21</v>
      </c>
      <c r="K40" s="22" t="s">
        <v>11</v>
      </c>
      <c r="L40" s="22" t="s">
        <v>15</v>
      </c>
      <c r="M40" s="22" t="s">
        <v>27</v>
      </c>
      <c r="N40" s="22" t="s">
        <v>5</v>
      </c>
      <c r="O40" s="40" t="s">
        <v>7</v>
      </c>
      <c r="P40" s="31"/>
      <c r="Q40" s="22" t="s">
        <v>40</v>
      </c>
      <c r="S40" s="18" t="str">
        <f t="shared" si="0"/>
        <v>CGPA</v>
      </c>
      <c r="T40" s="18">
        <f t="shared" si="1"/>
        <v>186</v>
      </c>
    </row>
    <row r="41" spans="5:20" ht="22.5">
      <c r="E41" s="21" t="s">
        <v>41</v>
      </c>
      <c r="F41" s="21" t="s">
        <v>91</v>
      </c>
      <c r="G41" s="11" t="s">
        <v>43</v>
      </c>
      <c r="H41" s="23" t="s">
        <v>92</v>
      </c>
      <c r="I41" s="23" t="s">
        <v>93</v>
      </c>
      <c r="J41" s="23" t="s">
        <v>94</v>
      </c>
      <c r="K41" s="23" t="s">
        <v>95</v>
      </c>
      <c r="L41" s="23" t="s">
        <v>96</v>
      </c>
      <c r="M41" s="23" t="s">
        <v>97</v>
      </c>
      <c r="N41" s="23" t="s">
        <v>51</v>
      </c>
      <c r="O41" s="30" t="s">
        <v>98</v>
      </c>
      <c r="P41" s="31"/>
      <c r="Q41" s="11" t="s">
        <v>37</v>
      </c>
      <c r="S41" s="18" t="str">
        <f t="shared" si="0"/>
        <v>Result: PASS</v>
      </c>
      <c r="T41" s="18">
        <f t="shared" si="1"/>
        <v>492</v>
      </c>
    </row>
    <row r="42" spans="5:20">
      <c r="E42" s="32" t="s">
        <v>99</v>
      </c>
      <c r="F42" s="33"/>
      <c r="G42" s="11" t="s">
        <v>53</v>
      </c>
      <c r="H42" s="23" t="s">
        <v>51</v>
      </c>
      <c r="I42" s="23" t="s">
        <v>51</v>
      </c>
      <c r="J42" s="23" t="s">
        <v>51</v>
      </c>
      <c r="K42" s="23" t="s">
        <v>51</v>
      </c>
      <c r="L42" s="23" t="s">
        <v>51</v>
      </c>
      <c r="M42" s="23" t="s">
        <v>51</v>
      </c>
      <c r="N42" s="23" t="s">
        <v>100</v>
      </c>
      <c r="O42" s="30" t="s">
        <v>51</v>
      </c>
      <c r="P42" s="31"/>
      <c r="Q42" s="11" t="s">
        <v>37</v>
      </c>
      <c r="S42" s="18" t="str">
        <f t="shared" si="0"/>
        <v>Class</v>
      </c>
      <c r="T42" s="18">
        <f t="shared" si="1"/>
        <v>700</v>
      </c>
    </row>
    <row r="43" spans="5:20">
      <c r="E43" s="34"/>
      <c r="F43" s="35"/>
      <c r="G43" s="11" t="s">
        <v>55</v>
      </c>
      <c r="H43" s="23" t="s">
        <v>37</v>
      </c>
      <c r="I43" s="23" t="s">
        <v>37</v>
      </c>
      <c r="J43" s="23" t="s">
        <v>37</v>
      </c>
      <c r="K43" s="23" t="s">
        <v>37</v>
      </c>
      <c r="L43" s="23" t="s">
        <v>37</v>
      </c>
      <c r="M43" s="23" t="s">
        <v>37</v>
      </c>
      <c r="N43" s="23" t="s">
        <v>37</v>
      </c>
      <c r="O43" s="30" t="s">
        <v>37</v>
      </c>
      <c r="P43" s="31"/>
      <c r="Q43" s="11">
        <v>0</v>
      </c>
      <c r="S43" s="18" t="str">
        <f t="shared" si="0"/>
        <v>Term Grade: AA</v>
      </c>
      <c r="T43" s="18" t="str">
        <f t="shared" si="1"/>
        <v/>
      </c>
    </row>
    <row r="44" spans="5:20">
      <c r="E44" s="36"/>
      <c r="F44" s="37"/>
      <c r="G44" s="11" t="s">
        <v>56</v>
      </c>
      <c r="H44" s="23">
        <v>4</v>
      </c>
      <c r="I44" s="23">
        <v>4</v>
      </c>
      <c r="J44" s="23">
        <v>4</v>
      </c>
      <c r="K44" s="23">
        <v>3</v>
      </c>
      <c r="L44" s="23">
        <v>3</v>
      </c>
      <c r="M44" s="23">
        <v>3</v>
      </c>
      <c r="N44" s="23">
        <v>2</v>
      </c>
      <c r="O44" s="30">
        <v>2</v>
      </c>
      <c r="P44" s="31"/>
      <c r="Q44" s="11">
        <v>25</v>
      </c>
      <c r="S44" s="18" t="str">
        <f t="shared" si="0"/>
        <v>M.C.No</v>
      </c>
      <c r="T44" s="18" t="str">
        <f t="shared" si="1"/>
        <v/>
      </c>
    </row>
    <row r="45" spans="5:20">
      <c r="E45" s="21" t="s">
        <v>57</v>
      </c>
      <c r="F45" s="21">
        <v>7.44</v>
      </c>
      <c r="G45" s="11" t="s">
        <v>58</v>
      </c>
      <c r="H45" s="23">
        <v>7.5</v>
      </c>
      <c r="I45" s="23">
        <v>8</v>
      </c>
      <c r="J45" s="23">
        <v>7</v>
      </c>
      <c r="K45" s="23">
        <v>6</v>
      </c>
      <c r="L45" s="23">
        <v>7</v>
      </c>
      <c r="M45" s="23">
        <v>6</v>
      </c>
      <c r="N45" s="23">
        <v>10</v>
      </c>
      <c r="O45" s="30">
        <v>9.5</v>
      </c>
      <c r="P45" s="31"/>
      <c r="Q45" s="11" t="s">
        <v>37</v>
      </c>
      <c r="S45" s="18" t="str">
        <f t="shared" si="0"/>
        <v/>
      </c>
      <c r="T45" s="18" t="str">
        <f t="shared" si="1"/>
        <v/>
      </c>
    </row>
    <row r="46" spans="5:20">
      <c r="E46" s="21" t="s">
        <v>59</v>
      </c>
      <c r="F46" s="14">
        <v>7.44</v>
      </c>
      <c r="G46" s="11" t="s">
        <v>60</v>
      </c>
      <c r="H46" s="23">
        <v>30</v>
      </c>
      <c r="I46" s="23">
        <v>32</v>
      </c>
      <c r="J46" s="23">
        <v>28</v>
      </c>
      <c r="K46" s="23">
        <v>18</v>
      </c>
      <c r="L46" s="23">
        <v>21</v>
      </c>
      <c r="M46" s="23">
        <v>18</v>
      </c>
      <c r="N46" s="23">
        <v>20</v>
      </c>
      <c r="O46" s="30">
        <v>19</v>
      </c>
      <c r="P46" s="31"/>
      <c r="Q46" s="11">
        <v>186</v>
      </c>
      <c r="S46" s="18">
        <f t="shared" si="0"/>
        <v>0</v>
      </c>
      <c r="T46" s="18">
        <f t="shared" si="1"/>
        <v>0</v>
      </c>
    </row>
    <row r="47" spans="5:20">
      <c r="E47" s="32" t="s">
        <v>61</v>
      </c>
      <c r="F47" s="31"/>
      <c r="G47" s="11" t="s">
        <v>40</v>
      </c>
      <c r="H47" s="23">
        <v>72</v>
      </c>
      <c r="I47" s="23">
        <v>78</v>
      </c>
      <c r="J47" s="23">
        <v>66</v>
      </c>
      <c r="K47" s="23">
        <v>55</v>
      </c>
      <c r="L47" s="23">
        <v>66</v>
      </c>
      <c r="M47" s="23">
        <v>59</v>
      </c>
      <c r="N47" s="23">
        <v>50</v>
      </c>
      <c r="O47" s="30">
        <v>46</v>
      </c>
      <c r="P47" s="31"/>
      <c r="Q47" s="11">
        <v>492</v>
      </c>
      <c r="S47" s="18">
        <f t="shared" si="0"/>
        <v>0</v>
      </c>
      <c r="T47" s="18">
        <f t="shared" si="1"/>
        <v>0</v>
      </c>
    </row>
    <row r="48" spans="5:20">
      <c r="E48" s="21" t="s">
        <v>62</v>
      </c>
      <c r="F48" s="21"/>
      <c r="G48" s="11" t="s">
        <v>63</v>
      </c>
      <c r="H48" s="23">
        <v>100</v>
      </c>
      <c r="I48" s="23">
        <v>100</v>
      </c>
      <c r="J48" s="23">
        <v>100</v>
      </c>
      <c r="K48" s="23">
        <v>100</v>
      </c>
      <c r="L48" s="23">
        <v>100</v>
      </c>
      <c r="M48" s="23">
        <v>100</v>
      </c>
      <c r="N48" s="23">
        <v>50</v>
      </c>
      <c r="O48" s="30">
        <v>50</v>
      </c>
      <c r="P48" s="31"/>
      <c r="Q48" s="11">
        <v>700</v>
      </c>
      <c r="S48" s="18" t="str">
        <f t="shared" si="0"/>
        <v>Dr. B.B. Hegde First Grade College, Kundapura, Udupi.</v>
      </c>
      <c r="T48" s="18" t="str">
        <f t="shared" si="1"/>
        <v/>
      </c>
    </row>
    <row r="49" spans="5:20">
      <c r="E49" s="32" t="s">
        <v>101</v>
      </c>
      <c r="F49" s="31"/>
      <c r="G49" s="11" t="s">
        <v>65</v>
      </c>
      <c r="H49" s="23" t="s">
        <v>68</v>
      </c>
      <c r="I49" s="23" t="s">
        <v>102</v>
      </c>
      <c r="J49" s="23" t="s">
        <v>66</v>
      </c>
      <c r="K49" s="23" t="s">
        <v>103</v>
      </c>
      <c r="L49" s="23" t="s">
        <v>66</v>
      </c>
      <c r="M49" s="23" t="s">
        <v>103</v>
      </c>
      <c r="N49" s="23" t="s">
        <v>88</v>
      </c>
      <c r="O49" s="30" t="s">
        <v>71</v>
      </c>
      <c r="P49" s="31"/>
      <c r="Q49" s="11" t="s">
        <v>37</v>
      </c>
      <c r="S49" s="18" t="str">
        <f t="shared" si="0"/>
        <v>00004</v>
      </c>
      <c r="T49" s="18" t="str">
        <f t="shared" si="1"/>
        <v>Total</v>
      </c>
    </row>
    <row r="50" spans="5:20">
      <c r="E50" s="15" t="s">
        <v>72</v>
      </c>
      <c r="F50" s="15" t="s">
        <v>104</v>
      </c>
      <c r="G50" s="11" t="s">
        <v>74</v>
      </c>
      <c r="H50" s="23" t="s">
        <v>75</v>
      </c>
      <c r="I50" s="23" t="s">
        <v>75</v>
      </c>
      <c r="J50" s="23" t="s">
        <v>75</v>
      </c>
      <c r="K50" s="23" t="s">
        <v>75</v>
      </c>
      <c r="L50" s="23" t="s">
        <v>75</v>
      </c>
      <c r="M50" s="23" t="s">
        <v>75</v>
      </c>
      <c r="N50" s="23" t="s">
        <v>75</v>
      </c>
      <c r="O50" s="30" t="s">
        <v>75</v>
      </c>
      <c r="P50" s="31"/>
      <c r="Q50" s="11" t="s">
        <v>37</v>
      </c>
      <c r="S50" s="18" t="str">
        <f t="shared" si="0"/>
        <v>USN</v>
      </c>
      <c r="T50" s="18" t="str">
        <f t="shared" si="1"/>
        <v/>
      </c>
    </row>
    <row r="51" spans="5:20">
      <c r="E51" s="16" t="s">
        <v>37</v>
      </c>
      <c r="F51" s="16" t="s">
        <v>37</v>
      </c>
      <c r="G51" s="16" t="s">
        <v>37</v>
      </c>
      <c r="H51" s="24" t="s">
        <v>37</v>
      </c>
      <c r="I51" s="24" t="s">
        <v>37</v>
      </c>
      <c r="J51" s="24" t="s">
        <v>37</v>
      </c>
      <c r="K51" s="24" t="s">
        <v>37</v>
      </c>
      <c r="L51" s="24" t="s">
        <v>37</v>
      </c>
      <c r="M51" s="24" t="s">
        <v>37</v>
      </c>
      <c r="N51" s="24" t="s">
        <v>37</v>
      </c>
      <c r="O51" s="41" t="s">
        <v>37</v>
      </c>
      <c r="P51" s="28"/>
      <c r="Q51" s="24" t="s">
        <v>37</v>
      </c>
      <c r="S51" s="18" t="str">
        <f t="shared" si="0"/>
        <v>SHAMANTH J H</v>
      </c>
      <c r="T51" s="18" t="str">
        <f t="shared" si="1"/>
        <v/>
      </c>
    </row>
    <row r="52" spans="5:20" ht="0" hidden="1" customHeight="1">
      <c r="S52" s="18">
        <f t="shared" si="0"/>
        <v>0</v>
      </c>
      <c r="T52" s="18">
        <f t="shared" si="1"/>
        <v>0</v>
      </c>
    </row>
    <row r="53" spans="5:20" ht="0.6" customHeight="1">
      <c r="S53" s="18">
        <f t="shared" si="0"/>
        <v>0</v>
      </c>
      <c r="T53" s="18">
        <f t="shared" si="1"/>
        <v>25</v>
      </c>
    </row>
    <row r="54" spans="5:20">
      <c r="E54" s="38" t="s">
        <v>35</v>
      </c>
      <c r="F54" s="31"/>
      <c r="G54" s="19" t="s">
        <v>36</v>
      </c>
      <c r="H54" s="20" t="s">
        <v>37</v>
      </c>
      <c r="I54" s="20" t="s">
        <v>37</v>
      </c>
      <c r="J54" s="20" t="s">
        <v>37</v>
      </c>
      <c r="K54" s="20" t="s">
        <v>37</v>
      </c>
      <c r="L54" s="20" t="s">
        <v>37</v>
      </c>
      <c r="M54" s="20" t="s">
        <v>37</v>
      </c>
      <c r="N54" s="20" t="s">
        <v>37</v>
      </c>
      <c r="O54" s="39" t="s">
        <v>37</v>
      </c>
      <c r="P54" s="28"/>
      <c r="Q54" s="20" t="s">
        <v>37</v>
      </c>
      <c r="S54" s="18" t="str">
        <f t="shared" si="0"/>
        <v>SGPA</v>
      </c>
      <c r="T54" s="18" t="str">
        <f t="shared" si="1"/>
        <v/>
      </c>
    </row>
    <row r="55" spans="5:20" ht="21">
      <c r="E55" s="32" t="s">
        <v>105</v>
      </c>
      <c r="F55" s="31"/>
      <c r="G55" s="22" t="s">
        <v>39</v>
      </c>
      <c r="H55" s="22" t="s">
        <v>19</v>
      </c>
      <c r="I55" s="22" t="s">
        <v>9</v>
      </c>
      <c r="J55" s="22" t="s">
        <v>21</v>
      </c>
      <c r="K55" s="22" t="s">
        <v>11</v>
      </c>
      <c r="L55" s="22" t="s">
        <v>17</v>
      </c>
      <c r="M55" s="22" t="s">
        <v>27</v>
      </c>
      <c r="N55" s="22" t="s">
        <v>5</v>
      </c>
      <c r="O55" s="40" t="s">
        <v>7</v>
      </c>
      <c r="P55" s="31"/>
      <c r="Q55" s="22" t="s">
        <v>40</v>
      </c>
      <c r="S55" s="18" t="str">
        <f t="shared" si="0"/>
        <v>CGPA</v>
      </c>
      <c r="T55" s="18">
        <f t="shared" si="1"/>
        <v>188</v>
      </c>
    </row>
    <row r="56" spans="5:20" ht="22.5">
      <c r="E56" s="21" t="s">
        <v>41</v>
      </c>
      <c r="F56" s="21" t="s">
        <v>106</v>
      </c>
      <c r="G56" s="11" t="s">
        <v>43</v>
      </c>
      <c r="H56" s="23" t="s">
        <v>107</v>
      </c>
      <c r="I56" s="23" t="s">
        <v>78</v>
      </c>
      <c r="J56" s="23" t="s">
        <v>108</v>
      </c>
      <c r="K56" s="23" t="s">
        <v>109</v>
      </c>
      <c r="L56" s="23" t="s">
        <v>110</v>
      </c>
      <c r="M56" s="23" t="s">
        <v>111</v>
      </c>
      <c r="N56" s="23" t="s">
        <v>51</v>
      </c>
      <c r="O56" s="30" t="s">
        <v>112</v>
      </c>
      <c r="P56" s="31"/>
      <c r="Q56" s="11" t="s">
        <v>37</v>
      </c>
      <c r="S56" s="18" t="str">
        <f t="shared" si="0"/>
        <v>Result: PASS</v>
      </c>
      <c r="T56" s="18">
        <f t="shared" si="1"/>
        <v>503</v>
      </c>
    </row>
    <row r="57" spans="5:20">
      <c r="E57" s="32" t="s">
        <v>113</v>
      </c>
      <c r="F57" s="33"/>
      <c r="G57" s="11" t="s">
        <v>53</v>
      </c>
      <c r="H57" s="23" t="s">
        <v>51</v>
      </c>
      <c r="I57" s="23" t="s">
        <v>51</v>
      </c>
      <c r="J57" s="23" t="s">
        <v>51</v>
      </c>
      <c r="K57" s="23" t="s">
        <v>51</v>
      </c>
      <c r="L57" s="23" t="s">
        <v>51</v>
      </c>
      <c r="M57" s="23" t="s">
        <v>51</v>
      </c>
      <c r="N57" s="23" t="s">
        <v>100</v>
      </c>
      <c r="O57" s="30" t="s">
        <v>51</v>
      </c>
      <c r="P57" s="31"/>
      <c r="Q57" s="11" t="s">
        <v>37</v>
      </c>
      <c r="S57" s="18" t="str">
        <f t="shared" si="0"/>
        <v>Class</v>
      </c>
      <c r="T57" s="18">
        <f t="shared" si="1"/>
        <v>700</v>
      </c>
    </row>
    <row r="58" spans="5:20">
      <c r="E58" s="34"/>
      <c r="F58" s="35"/>
      <c r="G58" s="11" t="s">
        <v>55</v>
      </c>
      <c r="H58" s="23" t="s">
        <v>37</v>
      </c>
      <c r="I58" s="23" t="s">
        <v>37</v>
      </c>
      <c r="J58" s="23" t="s">
        <v>37</v>
      </c>
      <c r="K58" s="23" t="s">
        <v>37</v>
      </c>
      <c r="L58" s="23" t="s">
        <v>37</v>
      </c>
      <c r="M58" s="23" t="s">
        <v>37</v>
      </c>
      <c r="N58" s="23" t="s">
        <v>37</v>
      </c>
      <c r="O58" s="30" t="s">
        <v>37</v>
      </c>
      <c r="P58" s="31"/>
      <c r="Q58" s="11">
        <v>0</v>
      </c>
      <c r="S58" s="18" t="str">
        <f t="shared" si="0"/>
        <v>Term Grade: AA+</v>
      </c>
      <c r="T58" s="18" t="str">
        <f t="shared" si="1"/>
        <v/>
      </c>
    </row>
    <row r="59" spans="5:20">
      <c r="E59" s="36"/>
      <c r="F59" s="37"/>
      <c r="G59" s="11" t="s">
        <v>56</v>
      </c>
      <c r="H59" s="23">
        <v>4</v>
      </c>
      <c r="I59" s="23">
        <v>4</v>
      </c>
      <c r="J59" s="23">
        <v>4</v>
      </c>
      <c r="K59" s="23">
        <v>3</v>
      </c>
      <c r="L59" s="23">
        <v>3</v>
      </c>
      <c r="M59" s="23">
        <v>3</v>
      </c>
      <c r="N59" s="23">
        <v>2</v>
      </c>
      <c r="O59" s="30">
        <v>2</v>
      </c>
      <c r="P59" s="31"/>
      <c r="Q59" s="11">
        <v>25</v>
      </c>
      <c r="S59" s="18" t="str">
        <f t="shared" si="0"/>
        <v>M.C.No</v>
      </c>
      <c r="T59" s="18" t="str">
        <f t="shared" si="1"/>
        <v/>
      </c>
    </row>
    <row r="60" spans="5:20">
      <c r="E60" s="21" t="s">
        <v>57</v>
      </c>
      <c r="F60" s="21">
        <v>7.52</v>
      </c>
      <c r="G60" s="11" t="s">
        <v>58</v>
      </c>
      <c r="H60" s="23">
        <v>7</v>
      </c>
      <c r="I60" s="23">
        <v>9</v>
      </c>
      <c r="J60" s="23">
        <v>7</v>
      </c>
      <c r="K60" s="23">
        <v>6</v>
      </c>
      <c r="L60" s="23">
        <v>8</v>
      </c>
      <c r="M60" s="23">
        <v>6</v>
      </c>
      <c r="N60" s="23">
        <v>10</v>
      </c>
      <c r="O60" s="30">
        <v>8</v>
      </c>
      <c r="P60" s="31"/>
      <c r="Q60" s="11" t="s">
        <v>37</v>
      </c>
      <c r="S60" s="18" t="str">
        <f t="shared" si="0"/>
        <v/>
      </c>
      <c r="T60" s="18" t="str">
        <f t="shared" si="1"/>
        <v/>
      </c>
    </row>
    <row r="61" spans="5:20">
      <c r="E61" s="21" t="s">
        <v>59</v>
      </c>
      <c r="F61" s="14">
        <v>7.52</v>
      </c>
      <c r="G61" s="11" t="s">
        <v>60</v>
      </c>
      <c r="H61" s="23">
        <v>28</v>
      </c>
      <c r="I61" s="23">
        <v>36</v>
      </c>
      <c r="J61" s="23">
        <v>28</v>
      </c>
      <c r="K61" s="23">
        <v>18</v>
      </c>
      <c r="L61" s="23">
        <v>24</v>
      </c>
      <c r="M61" s="23">
        <v>18</v>
      </c>
      <c r="N61" s="23">
        <v>20</v>
      </c>
      <c r="O61" s="30">
        <v>16</v>
      </c>
      <c r="P61" s="31"/>
      <c r="Q61" s="11">
        <v>188</v>
      </c>
      <c r="S61" s="18">
        <f t="shared" si="0"/>
        <v>0</v>
      </c>
      <c r="T61" s="18">
        <f t="shared" si="1"/>
        <v>0</v>
      </c>
    </row>
    <row r="62" spans="5:20">
      <c r="E62" s="32" t="s">
        <v>61</v>
      </c>
      <c r="F62" s="31"/>
      <c r="G62" s="11" t="s">
        <v>40</v>
      </c>
      <c r="H62" s="23">
        <v>69</v>
      </c>
      <c r="I62" s="23">
        <v>86</v>
      </c>
      <c r="J62" s="23">
        <v>67</v>
      </c>
      <c r="K62" s="23">
        <v>58</v>
      </c>
      <c r="L62" s="23">
        <v>78</v>
      </c>
      <c r="M62" s="23">
        <v>57</v>
      </c>
      <c r="N62" s="23">
        <v>50</v>
      </c>
      <c r="O62" s="30">
        <v>38</v>
      </c>
      <c r="P62" s="31"/>
      <c r="Q62" s="11">
        <v>503</v>
      </c>
      <c r="S62" s="18" t="str">
        <f t="shared" si="0"/>
        <v>Dr. B.B. Hegde First Grade College, Kundapura, Udupi.</v>
      </c>
      <c r="T62" s="18" t="str">
        <f t="shared" si="1"/>
        <v/>
      </c>
    </row>
    <row r="63" spans="5:20">
      <c r="E63" s="21" t="s">
        <v>62</v>
      </c>
      <c r="F63" s="21"/>
      <c r="G63" s="11" t="s">
        <v>63</v>
      </c>
      <c r="H63" s="23">
        <v>100</v>
      </c>
      <c r="I63" s="23">
        <v>100</v>
      </c>
      <c r="J63" s="23">
        <v>100</v>
      </c>
      <c r="K63" s="23">
        <v>100</v>
      </c>
      <c r="L63" s="23">
        <v>100</v>
      </c>
      <c r="M63" s="23">
        <v>100</v>
      </c>
      <c r="N63" s="23">
        <v>50</v>
      </c>
      <c r="O63" s="30">
        <v>50</v>
      </c>
      <c r="P63" s="31"/>
      <c r="Q63" s="11">
        <v>700</v>
      </c>
      <c r="S63" s="18" t="str">
        <f t="shared" si="0"/>
        <v>00005</v>
      </c>
      <c r="T63" s="18" t="str">
        <f t="shared" si="1"/>
        <v>Total</v>
      </c>
    </row>
    <row r="64" spans="5:20">
      <c r="E64" s="32" t="s">
        <v>64</v>
      </c>
      <c r="F64" s="31"/>
      <c r="G64" s="11" t="s">
        <v>65</v>
      </c>
      <c r="H64" s="23" t="s">
        <v>66</v>
      </c>
      <c r="I64" s="23" t="s">
        <v>67</v>
      </c>
      <c r="J64" s="23" t="s">
        <v>66</v>
      </c>
      <c r="K64" s="23" t="s">
        <v>103</v>
      </c>
      <c r="L64" s="23" t="s">
        <v>102</v>
      </c>
      <c r="M64" s="23" t="s">
        <v>103</v>
      </c>
      <c r="N64" s="23" t="s">
        <v>88</v>
      </c>
      <c r="O64" s="30" t="s">
        <v>102</v>
      </c>
      <c r="P64" s="31"/>
      <c r="Q64" s="11" t="s">
        <v>37</v>
      </c>
      <c r="S64" s="18" t="str">
        <f t="shared" si="0"/>
        <v>USN</v>
      </c>
      <c r="T64" s="18" t="str">
        <f t="shared" si="1"/>
        <v/>
      </c>
    </row>
    <row r="65" spans="5:20">
      <c r="E65" s="15" t="s">
        <v>72</v>
      </c>
      <c r="F65" s="15" t="s">
        <v>114</v>
      </c>
      <c r="G65" s="11" t="s">
        <v>74</v>
      </c>
      <c r="H65" s="23" t="s">
        <v>75</v>
      </c>
      <c r="I65" s="23" t="s">
        <v>75</v>
      </c>
      <c r="J65" s="23" t="s">
        <v>75</v>
      </c>
      <c r="K65" s="23" t="s">
        <v>75</v>
      </c>
      <c r="L65" s="23" t="s">
        <v>75</v>
      </c>
      <c r="M65" s="23" t="s">
        <v>75</v>
      </c>
      <c r="N65" s="23" t="s">
        <v>75</v>
      </c>
      <c r="O65" s="30" t="s">
        <v>75</v>
      </c>
      <c r="P65" s="31"/>
      <c r="Q65" s="11" t="s">
        <v>37</v>
      </c>
      <c r="S65" s="18" t="str">
        <f t="shared" si="0"/>
        <v>SAROJA</v>
      </c>
      <c r="T65" s="18" t="str">
        <f t="shared" si="1"/>
        <v/>
      </c>
    </row>
    <row r="66" spans="5:20">
      <c r="E66" s="16" t="s">
        <v>37</v>
      </c>
      <c r="F66" s="16" t="s">
        <v>37</v>
      </c>
      <c r="G66" s="16" t="s">
        <v>37</v>
      </c>
      <c r="H66" s="24" t="s">
        <v>37</v>
      </c>
      <c r="I66" s="24" t="s">
        <v>37</v>
      </c>
      <c r="J66" s="24" t="s">
        <v>37</v>
      </c>
      <c r="K66" s="24" t="s">
        <v>37</v>
      </c>
      <c r="L66" s="24" t="s">
        <v>37</v>
      </c>
      <c r="M66" s="24" t="s">
        <v>37</v>
      </c>
      <c r="N66" s="24" t="s">
        <v>37</v>
      </c>
      <c r="O66" s="41" t="s">
        <v>37</v>
      </c>
      <c r="P66" s="28"/>
      <c r="Q66" s="24" t="s">
        <v>37</v>
      </c>
      <c r="S66" s="18">
        <f t="shared" si="0"/>
        <v>0</v>
      </c>
      <c r="T66" s="18">
        <f t="shared" si="1"/>
        <v>3</v>
      </c>
    </row>
    <row r="67" spans="5:20" ht="0.6" customHeight="1">
      <c r="S67" s="18">
        <f t="shared" si="0"/>
        <v>0</v>
      </c>
      <c r="T67" s="18">
        <f t="shared" si="1"/>
        <v>25</v>
      </c>
    </row>
    <row r="68" spans="5:20">
      <c r="E68" s="38" t="s">
        <v>35</v>
      </c>
      <c r="F68" s="31"/>
      <c r="G68" s="19" t="s">
        <v>36</v>
      </c>
      <c r="H68" s="20" t="s">
        <v>37</v>
      </c>
      <c r="I68" s="20" t="s">
        <v>37</v>
      </c>
      <c r="J68" s="20" t="s">
        <v>37</v>
      </c>
      <c r="K68" s="20" t="s">
        <v>37</v>
      </c>
      <c r="L68" s="20" t="s">
        <v>37</v>
      </c>
      <c r="M68" s="20" t="s">
        <v>37</v>
      </c>
      <c r="N68" s="20" t="s">
        <v>37</v>
      </c>
      <c r="O68" s="39" t="s">
        <v>37</v>
      </c>
      <c r="P68" s="28"/>
      <c r="Q68" s="20" t="s">
        <v>37</v>
      </c>
      <c r="S68" s="18" t="str">
        <f t="shared" si="0"/>
        <v>SGPA</v>
      </c>
      <c r="T68" s="18" t="str">
        <f t="shared" si="1"/>
        <v/>
      </c>
    </row>
    <row r="69" spans="5:20" ht="21">
      <c r="E69" s="32" t="s">
        <v>115</v>
      </c>
      <c r="F69" s="31"/>
      <c r="G69" s="22" t="s">
        <v>39</v>
      </c>
      <c r="H69" s="22" t="s">
        <v>19</v>
      </c>
      <c r="I69" s="22" t="s">
        <v>9</v>
      </c>
      <c r="J69" s="22" t="s">
        <v>21</v>
      </c>
      <c r="K69" s="22" t="s">
        <v>11</v>
      </c>
      <c r="L69" s="22" t="s">
        <v>17</v>
      </c>
      <c r="M69" s="22" t="s">
        <v>27</v>
      </c>
      <c r="N69" s="22" t="s">
        <v>7</v>
      </c>
      <c r="O69" s="40" t="s">
        <v>33</v>
      </c>
      <c r="P69" s="31"/>
      <c r="Q69" s="22" t="s">
        <v>40</v>
      </c>
      <c r="S69" s="18" t="str">
        <f t="shared" si="0"/>
        <v>CGPA</v>
      </c>
      <c r="T69" s="18">
        <f t="shared" si="1"/>
        <v>168</v>
      </c>
    </row>
    <row r="70" spans="5:20" ht="22.5">
      <c r="E70" s="21" t="s">
        <v>41</v>
      </c>
      <c r="F70" s="21" t="s">
        <v>116</v>
      </c>
      <c r="G70" s="11" t="s">
        <v>43</v>
      </c>
      <c r="H70" s="23" t="s">
        <v>117</v>
      </c>
      <c r="I70" s="23" t="s">
        <v>118</v>
      </c>
      <c r="J70" s="23" t="s">
        <v>119</v>
      </c>
      <c r="K70" s="23" t="s">
        <v>120</v>
      </c>
      <c r="L70" s="23" t="s">
        <v>121</v>
      </c>
      <c r="M70" s="23" t="s">
        <v>122</v>
      </c>
      <c r="N70" s="23" t="s">
        <v>123</v>
      </c>
      <c r="O70" s="30" t="s">
        <v>51</v>
      </c>
      <c r="P70" s="31"/>
      <c r="Q70" s="11" t="s">
        <v>37</v>
      </c>
      <c r="S70" s="18" t="str">
        <f t="shared" si="0"/>
        <v>Result: PASS</v>
      </c>
      <c r="T70" s="18">
        <f t="shared" si="1"/>
        <v>444</v>
      </c>
    </row>
    <row r="71" spans="5:20">
      <c r="E71" s="32" t="s">
        <v>124</v>
      </c>
      <c r="F71" s="33"/>
      <c r="G71" s="11" t="s">
        <v>53</v>
      </c>
      <c r="H71" s="23" t="s">
        <v>51</v>
      </c>
      <c r="I71" s="23" t="s">
        <v>51</v>
      </c>
      <c r="J71" s="23" t="s">
        <v>51</v>
      </c>
      <c r="K71" s="23" t="s">
        <v>51</v>
      </c>
      <c r="L71" s="23" t="s">
        <v>51</v>
      </c>
      <c r="M71" s="23" t="s">
        <v>51</v>
      </c>
      <c r="N71" s="23" t="s">
        <v>51</v>
      </c>
      <c r="O71" s="30" t="s">
        <v>125</v>
      </c>
      <c r="P71" s="31"/>
      <c r="Q71" s="11" t="s">
        <v>37</v>
      </c>
      <c r="S71" s="18" t="str">
        <f t="shared" si="0"/>
        <v>Class</v>
      </c>
      <c r="T71" s="18">
        <f t="shared" si="1"/>
        <v>700</v>
      </c>
    </row>
    <row r="72" spans="5:20">
      <c r="E72" s="34"/>
      <c r="F72" s="35"/>
      <c r="G72" s="11" t="s">
        <v>55</v>
      </c>
      <c r="H72" s="23" t="s">
        <v>37</v>
      </c>
      <c r="I72" s="23" t="s">
        <v>37</v>
      </c>
      <c r="J72" s="23" t="s">
        <v>37</v>
      </c>
      <c r="K72" s="23">
        <v>3</v>
      </c>
      <c r="L72" s="23" t="s">
        <v>37</v>
      </c>
      <c r="M72" s="23" t="s">
        <v>37</v>
      </c>
      <c r="N72" s="23" t="s">
        <v>37</v>
      </c>
      <c r="O72" s="30" t="s">
        <v>37</v>
      </c>
      <c r="P72" s="31"/>
      <c r="Q72" s="11">
        <v>3</v>
      </c>
      <c r="S72" s="18" t="str">
        <f t="shared" si="0"/>
        <v>Term Grade: AB+</v>
      </c>
      <c r="T72" s="18" t="str">
        <f t="shared" si="1"/>
        <v/>
      </c>
    </row>
    <row r="73" spans="5:20">
      <c r="E73" s="36"/>
      <c r="F73" s="37"/>
      <c r="G73" s="11" t="s">
        <v>56</v>
      </c>
      <c r="H73" s="23">
        <v>4</v>
      </c>
      <c r="I73" s="23">
        <v>4</v>
      </c>
      <c r="J73" s="23">
        <v>4</v>
      </c>
      <c r="K73" s="23">
        <v>3</v>
      </c>
      <c r="L73" s="23">
        <v>3</v>
      </c>
      <c r="M73" s="23">
        <v>3</v>
      </c>
      <c r="N73" s="23">
        <v>2</v>
      </c>
      <c r="O73" s="30">
        <v>2</v>
      </c>
      <c r="P73" s="31"/>
      <c r="Q73" s="11">
        <v>25</v>
      </c>
      <c r="S73" s="18" t="str">
        <f t="shared" si="0"/>
        <v>M.C.No</v>
      </c>
      <c r="T73" s="18" t="str">
        <f t="shared" si="1"/>
        <v/>
      </c>
    </row>
    <row r="74" spans="5:20">
      <c r="E74" s="21" t="s">
        <v>57</v>
      </c>
      <c r="F74" s="21">
        <v>6.72</v>
      </c>
      <c r="G74" s="11" t="s">
        <v>58</v>
      </c>
      <c r="H74" s="23">
        <v>6</v>
      </c>
      <c r="I74" s="23">
        <v>8</v>
      </c>
      <c r="J74" s="23">
        <v>6</v>
      </c>
      <c r="K74" s="23">
        <v>5</v>
      </c>
      <c r="L74" s="23">
        <v>7</v>
      </c>
      <c r="M74" s="23">
        <v>5</v>
      </c>
      <c r="N74" s="23">
        <v>9</v>
      </c>
      <c r="O74" s="30">
        <v>9.5</v>
      </c>
      <c r="P74" s="31"/>
      <c r="Q74" s="11" t="s">
        <v>37</v>
      </c>
      <c r="S74" s="18" t="str">
        <f t="shared" si="0"/>
        <v/>
      </c>
      <c r="T74" s="18" t="str">
        <f t="shared" si="1"/>
        <v/>
      </c>
    </row>
    <row r="75" spans="5:20">
      <c r="E75" s="21" t="s">
        <v>59</v>
      </c>
      <c r="F75" s="14">
        <v>6.72</v>
      </c>
      <c r="G75" s="11" t="s">
        <v>60</v>
      </c>
      <c r="H75" s="23">
        <v>24</v>
      </c>
      <c r="I75" s="23">
        <v>32</v>
      </c>
      <c r="J75" s="23">
        <v>24</v>
      </c>
      <c r="K75" s="23">
        <v>15</v>
      </c>
      <c r="L75" s="23">
        <v>21</v>
      </c>
      <c r="M75" s="23">
        <v>15</v>
      </c>
      <c r="N75" s="23">
        <v>18</v>
      </c>
      <c r="O75" s="30">
        <v>19</v>
      </c>
      <c r="P75" s="31"/>
      <c r="Q75" s="11">
        <v>168</v>
      </c>
      <c r="S75" s="18">
        <f t="shared" si="0"/>
        <v>0</v>
      </c>
      <c r="T75" s="18">
        <f t="shared" si="1"/>
        <v>0</v>
      </c>
    </row>
    <row r="76" spans="5:20">
      <c r="E76" s="32" t="s">
        <v>61</v>
      </c>
      <c r="F76" s="31"/>
      <c r="G76" s="11" t="s">
        <v>40</v>
      </c>
      <c r="H76" s="23">
        <v>59</v>
      </c>
      <c r="I76" s="23">
        <v>79</v>
      </c>
      <c r="J76" s="23">
        <v>58</v>
      </c>
      <c r="K76" s="23">
        <v>47</v>
      </c>
      <c r="L76" s="23">
        <v>65</v>
      </c>
      <c r="M76" s="23">
        <v>46</v>
      </c>
      <c r="N76" s="23">
        <v>44</v>
      </c>
      <c r="O76" s="30">
        <v>46</v>
      </c>
      <c r="P76" s="31"/>
      <c r="Q76" s="11">
        <v>444</v>
      </c>
      <c r="S76" s="18">
        <f t="shared" ref="S76:S139" si="2">$E82</f>
        <v>0</v>
      </c>
      <c r="T76" s="18">
        <f t="shared" ref="T76:T139" si="3">$Q82</f>
        <v>0</v>
      </c>
    </row>
    <row r="77" spans="5:20">
      <c r="E77" s="21" t="s">
        <v>62</v>
      </c>
      <c r="F77" s="21"/>
      <c r="G77" s="11" t="s">
        <v>63</v>
      </c>
      <c r="H77" s="23">
        <v>100</v>
      </c>
      <c r="I77" s="23">
        <v>100</v>
      </c>
      <c r="J77" s="23">
        <v>100</v>
      </c>
      <c r="K77" s="23">
        <v>100</v>
      </c>
      <c r="L77" s="23">
        <v>100</v>
      </c>
      <c r="M77" s="23">
        <v>100</v>
      </c>
      <c r="N77" s="23">
        <v>50</v>
      </c>
      <c r="O77" s="30">
        <v>50</v>
      </c>
      <c r="P77" s="31"/>
      <c r="Q77" s="11">
        <v>700</v>
      </c>
      <c r="S77" s="18" t="str">
        <f t="shared" si="2"/>
        <v>Dr. B.B. Hegde First Grade College, Kundapura, Udupi.</v>
      </c>
      <c r="T77" s="18" t="str">
        <f t="shared" si="3"/>
        <v/>
      </c>
    </row>
    <row r="78" spans="5:20">
      <c r="E78" s="32" t="s">
        <v>126</v>
      </c>
      <c r="F78" s="31"/>
      <c r="G78" s="11" t="s">
        <v>65</v>
      </c>
      <c r="H78" s="23" t="s">
        <v>103</v>
      </c>
      <c r="I78" s="23" t="s">
        <v>102</v>
      </c>
      <c r="J78" s="23" t="s">
        <v>103</v>
      </c>
      <c r="K78" s="23" t="s">
        <v>127</v>
      </c>
      <c r="L78" s="23" t="s">
        <v>66</v>
      </c>
      <c r="M78" s="23" t="s">
        <v>127</v>
      </c>
      <c r="N78" s="23" t="s">
        <v>67</v>
      </c>
      <c r="O78" s="30" t="s">
        <v>71</v>
      </c>
      <c r="P78" s="31"/>
      <c r="Q78" s="11" t="s">
        <v>37</v>
      </c>
      <c r="S78" s="18" t="str">
        <f t="shared" si="2"/>
        <v>00006</v>
      </c>
      <c r="T78" s="18" t="str">
        <f t="shared" si="3"/>
        <v>Total</v>
      </c>
    </row>
    <row r="79" spans="5:20">
      <c r="E79" s="15" t="s">
        <v>72</v>
      </c>
      <c r="F79" s="15" t="s">
        <v>128</v>
      </c>
      <c r="G79" s="11" t="s">
        <v>74</v>
      </c>
      <c r="H79" s="23" t="s">
        <v>75</v>
      </c>
      <c r="I79" s="23" t="s">
        <v>75</v>
      </c>
      <c r="J79" s="23" t="s">
        <v>75</v>
      </c>
      <c r="K79" s="23" t="s">
        <v>75</v>
      </c>
      <c r="L79" s="23" t="s">
        <v>75</v>
      </c>
      <c r="M79" s="23" t="s">
        <v>75</v>
      </c>
      <c r="N79" s="23" t="s">
        <v>75</v>
      </c>
      <c r="O79" s="30" t="s">
        <v>75</v>
      </c>
      <c r="P79" s="31"/>
      <c r="Q79" s="11" t="s">
        <v>37</v>
      </c>
      <c r="S79" s="18" t="str">
        <f t="shared" si="2"/>
        <v>USN</v>
      </c>
      <c r="T79" s="18" t="str">
        <f t="shared" si="3"/>
        <v/>
      </c>
    </row>
    <row r="80" spans="5:20">
      <c r="E80" s="16" t="s">
        <v>37</v>
      </c>
      <c r="F80" s="16" t="s">
        <v>37</v>
      </c>
      <c r="G80" s="16" t="s">
        <v>37</v>
      </c>
      <c r="H80" s="24" t="s">
        <v>37</v>
      </c>
      <c r="I80" s="24" t="s">
        <v>37</v>
      </c>
      <c r="J80" s="24" t="s">
        <v>37</v>
      </c>
      <c r="K80" s="24" t="s">
        <v>37</v>
      </c>
      <c r="L80" s="24" t="s">
        <v>37</v>
      </c>
      <c r="M80" s="24" t="s">
        <v>37</v>
      </c>
      <c r="N80" s="24" t="s">
        <v>37</v>
      </c>
      <c r="O80" s="41" t="s">
        <v>37</v>
      </c>
      <c r="P80" s="28"/>
      <c r="Q80" s="24" t="s">
        <v>37</v>
      </c>
      <c r="S80" s="18" t="str">
        <f t="shared" si="2"/>
        <v>PRAVEENA</v>
      </c>
      <c r="T80" s="18" t="str">
        <f t="shared" si="3"/>
        <v/>
      </c>
    </row>
    <row r="81" spans="5:20" ht="0" hidden="1" customHeight="1">
      <c r="S81" s="18">
        <f t="shared" si="2"/>
        <v>0</v>
      </c>
      <c r="T81" s="18">
        <f t="shared" si="3"/>
        <v>0</v>
      </c>
    </row>
    <row r="82" spans="5:20" ht="0.6" customHeight="1">
      <c r="S82" s="18">
        <f t="shared" si="2"/>
        <v>0</v>
      </c>
      <c r="T82" s="18">
        <f t="shared" si="3"/>
        <v>25</v>
      </c>
    </row>
    <row r="83" spans="5:20">
      <c r="E83" s="38" t="s">
        <v>35</v>
      </c>
      <c r="F83" s="31"/>
      <c r="G83" s="19" t="s">
        <v>36</v>
      </c>
      <c r="H83" s="20" t="s">
        <v>37</v>
      </c>
      <c r="I83" s="20" t="s">
        <v>37</v>
      </c>
      <c r="J83" s="20" t="s">
        <v>37</v>
      </c>
      <c r="K83" s="20" t="s">
        <v>37</v>
      </c>
      <c r="L83" s="20" t="s">
        <v>37</v>
      </c>
      <c r="M83" s="20" t="s">
        <v>37</v>
      </c>
      <c r="N83" s="20" t="s">
        <v>37</v>
      </c>
      <c r="O83" s="39" t="s">
        <v>37</v>
      </c>
      <c r="P83" s="28"/>
      <c r="Q83" s="20" t="s">
        <v>37</v>
      </c>
      <c r="S83" s="18" t="str">
        <f t="shared" si="2"/>
        <v>SGPA</v>
      </c>
      <c r="T83" s="18" t="str">
        <f t="shared" si="3"/>
        <v/>
      </c>
    </row>
    <row r="84" spans="5:20" ht="21">
      <c r="E84" s="32" t="s">
        <v>129</v>
      </c>
      <c r="F84" s="31"/>
      <c r="G84" s="22" t="s">
        <v>39</v>
      </c>
      <c r="H84" s="22" t="s">
        <v>19</v>
      </c>
      <c r="I84" s="22" t="s">
        <v>9</v>
      </c>
      <c r="J84" s="22" t="s">
        <v>21</v>
      </c>
      <c r="K84" s="22" t="s">
        <v>11</v>
      </c>
      <c r="L84" s="22" t="s">
        <v>17</v>
      </c>
      <c r="M84" s="22" t="s">
        <v>27</v>
      </c>
      <c r="N84" s="22" t="s">
        <v>7</v>
      </c>
      <c r="O84" s="40" t="s">
        <v>23</v>
      </c>
      <c r="P84" s="31"/>
      <c r="Q84" s="22" t="s">
        <v>40</v>
      </c>
      <c r="S84" s="18" t="str">
        <f t="shared" si="2"/>
        <v>CGPA</v>
      </c>
      <c r="T84" s="18">
        <f t="shared" si="3"/>
        <v>163</v>
      </c>
    </row>
    <row r="85" spans="5:20" ht="22.5">
      <c r="E85" s="21" t="s">
        <v>41</v>
      </c>
      <c r="F85" s="21" t="s">
        <v>130</v>
      </c>
      <c r="G85" s="11" t="s">
        <v>43</v>
      </c>
      <c r="H85" s="23" t="s">
        <v>131</v>
      </c>
      <c r="I85" s="23" t="s">
        <v>132</v>
      </c>
      <c r="J85" s="23" t="s">
        <v>109</v>
      </c>
      <c r="K85" s="23" t="s">
        <v>133</v>
      </c>
      <c r="L85" s="23" t="s">
        <v>134</v>
      </c>
      <c r="M85" s="23" t="s">
        <v>135</v>
      </c>
      <c r="N85" s="23" t="s">
        <v>136</v>
      </c>
      <c r="O85" s="30" t="s">
        <v>51</v>
      </c>
      <c r="P85" s="31"/>
      <c r="Q85" s="11" t="s">
        <v>37</v>
      </c>
      <c r="S85" s="18" t="str">
        <f t="shared" si="2"/>
        <v>Result: PASS</v>
      </c>
      <c r="T85" s="18">
        <f t="shared" si="3"/>
        <v>433</v>
      </c>
    </row>
    <row r="86" spans="5:20">
      <c r="E86" s="32" t="s">
        <v>137</v>
      </c>
      <c r="F86" s="33"/>
      <c r="G86" s="11" t="s">
        <v>53</v>
      </c>
      <c r="H86" s="23" t="s">
        <v>51</v>
      </c>
      <c r="I86" s="23" t="s">
        <v>51</v>
      </c>
      <c r="J86" s="23" t="s">
        <v>51</v>
      </c>
      <c r="K86" s="23" t="s">
        <v>51</v>
      </c>
      <c r="L86" s="23" t="s">
        <v>51</v>
      </c>
      <c r="M86" s="23" t="s">
        <v>51</v>
      </c>
      <c r="N86" s="23" t="s">
        <v>51</v>
      </c>
      <c r="O86" s="30" t="s">
        <v>54</v>
      </c>
      <c r="P86" s="31"/>
      <c r="Q86" s="11" t="s">
        <v>37</v>
      </c>
      <c r="S86" s="18" t="str">
        <f t="shared" si="2"/>
        <v>Class</v>
      </c>
      <c r="T86" s="18">
        <f t="shared" si="3"/>
        <v>700</v>
      </c>
    </row>
    <row r="87" spans="5:20">
      <c r="E87" s="34"/>
      <c r="F87" s="35"/>
      <c r="G87" s="11" t="s">
        <v>55</v>
      </c>
      <c r="H87" s="23" t="s">
        <v>37</v>
      </c>
      <c r="I87" s="23" t="s">
        <v>37</v>
      </c>
      <c r="J87" s="23" t="s">
        <v>37</v>
      </c>
      <c r="K87" s="23" t="s">
        <v>37</v>
      </c>
      <c r="L87" s="23" t="s">
        <v>37</v>
      </c>
      <c r="M87" s="23" t="s">
        <v>37</v>
      </c>
      <c r="N87" s="23" t="s">
        <v>37</v>
      </c>
      <c r="O87" s="30" t="s">
        <v>37</v>
      </c>
      <c r="P87" s="31"/>
      <c r="Q87" s="11">
        <v>0</v>
      </c>
      <c r="S87" s="18" t="str">
        <f t="shared" si="2"/>
        <v>Term Grade: AB+</v>
      </c>
      <c r="T87" s="18" t="str">
        <f t="shared" si="3"/>
        <v/>
      </c>
    </row>
    <row r="88" spans="5:20">
      <c r="E88" s="36"/>
      <c r="F88" s="37"/>
      <c r="G88" s="11" t="s">
        <v>56</v>
      </c>
      <c r="H88" s="23">
        <v>4</v>
      </c>
      <c r="I88" s="23">
        <v>4</v>
      </c>
      <c r="J88" s="23">
        <v>4</v>
      </c>
      <c r="K88" s="23">
        <v>3</v>
      </c>
      <c r="L88" s="23">
        <v>3</v>
      </c>
      <c r="M88" s="23">
        <v>3</v>
      </c>
      <c r="N88" s="23">
        <v>2</v>
      </c>
      <c r="O88" s="30">
        <v>2</v>
      </c>
      <c r="P88" s="31"/>
      <c r="Q88" s="11">
        <v>25</v>
      </c>
      <c r="S88" s="18" t="str">
        <f t="shared" si="2"/>
        <v>M.C.No</v>
      </c>
      <c r="T88" s="18" t="str">
        <f t="shared" si="3"/>
        <v/>
      </c>
    </row>
    <row r="89" spans="5:20">
      <c r="E89" s="21" t="s">
        <v>57</v>
      </c>
      <c r="F89" s="21">
        <v>6.52</v>
      </c>
      <c r="G89" s="11" t="s">
        <v>58</v>
      </c>
      <c r="H89" s="23">
        <v>6.5</v>
      </c>
      <c r="I89" s="23">
        <v>7.5</v>
      </c>
      <c r="J89" s="23">
        <v>6</v>
      </c>
      <c r="K89" s="23">
        <v>5.5</v>
      </c>
      <c r="L89" s="23">
        <v>6.5</v>
      </c>
      <c r="M89" s="23">
        <v>6</v>
      </c>
      <c r="N89" s="23">
        <v>5</v>
      </c>
      <c r="O89" s="30">
        <v>9.5</v>
      </c>
      <c r="P89" s="31"/>
      <c r="Q89" s="11" t="s">
        <v>37</v>
      </c>
      <c r="S89" s="18" t="str">
        <f t="shared" si="2"/>
        <v/>
      </c>
      <c r="T89" s="18" t="str">
        <f t="shared" si="3"/>
        <v/>
      </c>
    </row>
    <row r="90" spans="5:20">
      <c r="E90" s="21" t="s">
        <v>59</v>
      </c>
      <c r="F90" s="14">
        <v>6.52</v>
      </c>
      <c r="G90" s="11" t="s">
        <v>60</v>
      </c>
      <c r="H90" s="23">
        <v>26</v>
      </c>
      <c r="I90" s="23">
        <v>30</v>
      </c>
      <c r="J90" s="23">
        <v>24</v>
      </c>
      <c r="K90" s="23">
        <v>16.5</v>
      </c>
      <c r="L90" s="23">
        <v>19.5</v>
      </c>
      <c r="M90" s="23">
        <v>18</v>
      </c>
      <c r="N90" s="23">
        <v>10</v>
      </c>
      <c r="O90" s="30">
        <v>19</v>
      </c>
      <c r="P90" s="31"/>
      <c r="Q90" s="11">
        <v>163</v>
      </c>
      <c r="S90" s="18">
        <f t="shared" si="2"/>
        <v>0</v>
      </c>
      <c r="T90" s="18">
        <f t="shared" si="3"/>
        <v>0</v>
      </c>
    </row>
    <row r="91" spans="5:20">
      <c r="E91" s="32" t="s">
        <v>61</v>
      </c>
      <c r="F91" s="31"/>
      <c r="G91" s="11" t="s">
        <v>40</v>
      </c>
      <c r="H91" s="23">
        <v>64</v>
      </c>
      <c r="I91" s="23">
        <v>73</v>
      </c>
      <c r="J91" s="23">
        <v>58</v>
      </c>
      <c r="K91" s="23">
        <v>52</v>
      </c>
      <c r="L91" s="23">
        <v>61</v>
      </c>
      <c r="M91" s="23">
        <v>56</v>
      </c>
      <c r="N91" s="23">
        <v>24</v>
      </c>
      <c r="O91" s="30">
        <v>45</v>
      </c>
      <c r="P91" s="31"/>
      <c r="Q91" s="11">
        <v>433</v>
      </c>
      <c r="S91" s="18">
        <f t="shared" si="2"/>
        <v>0</v>
      </c>
      <c r="T91" s="18">
        <f t="shared" si="3"/>
        <v>0</v>
      </c>
    </row>
    <row r="92" spans="5:20">
      <c r="E92" s="21" t="s">
        <v>62</v>
      </c>
      <c r="F92" s="21"/>
      <c r="G92" s="11" t="s">
        <v>63</v>
      </c>
      <c r="H92" s="23">
        <v>100</v>
      </c>
      <c r="I92" s="23">
        <v>100</v>
      </c>
      <c r="J92" s="23">
        <v>100</v>
      </c>
      <c r="K92" s="23">
        <v>100</v>
      </c>
      <c r="L92" s="23">
        <v>100</v>
      </c>
      <c r="M92" s="23">
        <v>100</v>
      </c>
      <c r="N92" s="23">
        <v>50</v>
      </c>
      <c r="O92" s="30">
        <v>50</v>
      </c>
      <c r="P92" s="31"/>
      <c r="Q92" s="11">
        <v>700</v>
      </c>
      <c r="S92" s="18" t="str">
        <f t="shared" si="2"/>
        <v>Dr. B.B. Hegde First Grade College, Kundapura, Udupi.</v>
      </c>
      <c r="T92" s="18" t="str">
        <f t="shared" si="3"/>
        <v/>
      </c>
    </row>
    <row r="93" spans="5:20">
      <c r="E93" s="32" t="s">
        <v>126</v>
      </c>
      <c r="F93" s="31"/>
      <c r="G93" s="11" t="s">
        <v>65</v>
      </c>
      <c r="H93" s="23" t="s">
        <v>69</v>
      </c>
      <c r="I93" s="23" t="s">
        <v>68</v>
      </c>
      <c r="J93" s="23" t="s">
        <v>103</v>
      </c>
      <c r="K93" s="23" t="s">
        <v>138</v>
      </c>
      <c r="L93" s="23" t="s">
        <v>69</v>
      </c>
      <c r="M93" s="23" t="s">
        <v>103</v>
      </c>
      <c r="N93" s="23" t="s">
        <v>127</v>
      </c>
      <c r="O93" s="30" t="s">
        <v>71</v>
      </c>
      <c r="P93" s="31"/>
      <c r="Q93" s="11" t="s">
        <v>37</v>
      </c>
      <c r="S93" s="18" t="str">
        <f t="shared" si="2"/>
        <v>00007</v>
      </c>
      <c r="T93" s="18" t="str">
        <f t="shared" si="3"/>
        <v>Total</v>
      </c>
    </row>
    <row r="94" spans="5:20">
      <c r="E94" s="15" t="s">
        <v>72</v>
      </c>
      <c r="F94" s="15" t="s">
        <v>139</v>
      </c>
      <c r="G94" s="11" t="s">
        <v>74</v>
      </c>
      <c r="H94" s="23" t="s">
        <v>75</v>
      </c>
      <c r="I94" s="23" t="s">
        <v>75</v>
      </c>
      <c r="J94" s="23" t="s">
        <v>75</v>
      </c>
      <c r="K94" s="23" t="s">
        <v>75</v>
      </c>
      <c r="L94" s="23" t="s">
        <v>75</v>
      </c>
      <c r="M94" s="23" t="s">
        <v>75</v>
      </c>
      <c r="N94" s="23" t="s">
        <v>75</v>
      </c>
      <c r="O94" s="30" t="s">
        <v>75</v>
      </c>
      <c r="P94" s="31"/>
      <c r="Q94" s="11" t="s">
        <v>37</v>
      </c>
      <c r="S94" s="18" t="str">
        <f t="shared" si="2"/>
        <v>USN</v>
      </c>
      <c r="T94" s="18" t="str">
        <f t="shared" si="3"/>
        <v/>
      </c>
    </row>
    <row r="95" spans="5:20">
      <c r="E95" s="16" t="s">
        <v>37</v>
      </c>
      <c r="F95" s="16" t="s">
        <v>37</v>
      </c>
      <c r="G95" s="16" t="s">
        <v>37</v>
      </c>
      <c r="H95" s="24" t="s">
        <v>37</v>
      </c>
      <c r="I95" s="24" t="s">
        <v>37</v>
      </c>
      <c r="J95" s="24" t="s">
        <v>37</v>
      </c>
      <c r="K95" s="24" t="s">
        <v>37</v>
      </c>
      <c r="L95" s="24" t="s">
        <v>37</v>
      </c>
      <c r="M95" s="24" t="s">
        <v>37</v>
      </c>
      <c r="N95" s="24" t="s">
        <v>37</v>
      </c>
      <c r="O95" s="41" t="s">
        <v>37</v>
      </c>
      <c r="P95" s="28"/>
      <c r="Q95" s="24" t="s">
        <v>37</v>
      </c>
      <c r="S95" s="18" t="str">
        <f t="shared" si="2"/>
        <v>SAHANA SUNIL MUJUMDAR</v>
      </c>
      <c r="T95" s="18" t="str">
        <f t="shared" si="3"/>
        <v/>
      </c>
    </row>
    <row r="96" spans="5:20" ht="0" hidden="1" customHeight="1">
      <c r="S96" s="18">
        <f t="shared" si="2"/>
        <v>0</v>
      </c>
      <c r="T96" s="18">
        <f t="shared" si="3"/>
        <v>0</v>
      </c>
    </row>
    <row r="97" spans="5:20" ht="0.6" customHeight="1">
      <c r="S97" s="18">
        <f t="shared" si="2"/>
        <v>0</v>
      </c>
      <c r="T97" s="18">
        <f t="shared" si="3"/>
        <v>25</v>
      </c>
    </row>
    <row r="98" spans="5:20">
      <c r="E98" s="38" t="s">
        <v>35</v>
      </c>
      <c r="F98" s="31"/>
      <c r="G98" s="19" t="s">
        <v>36</v>
      </c>
      <c r="H98" s="20" t="s">
        <v>37</v>
      </c>
      <c r="I98" s="20" t="s">
        <v>37</v>
      </c>
      <c r="J98" s="20" t="s">
        <v>37</v>
      </c>
      <c r="K98" s="20" t="s">
        <v>37</v>
      </c>
      <c r="L98" s="20" t="s">
        <v>37</v>
      </c>
      <c r="M98" s="20" t="s">
        <v>37</v>
      </c>
      <c r="N98" s="20" t="s">
        <v>37</v>
      </c>
      <c r="O98" s="39" t="s">
        <v>37</v>
      </c>
      <c r="P98" s="28"/>
      <c r="Q98" s="20" t="s">
        <v>37</v>
      </c>
      <c r="S98" s="18" t="str">
        <f t="shared" si="2"/>
        <v>SGPA</v>
      </c>
      <c r="T98" s="18" t="str">
        <f t="shared" si="3"/>
        <v/>
      </c>
    </row>
    <row r="99" spans="5:20" ht="21">
      <c r="E99" s="32" t="s">
        <v>140</v>
      </c>
      <c r="F99" s="31"/>
      <c r="G99" s="22" t="s">
        <v>39</v>
      </c>
      <c r="H99" s="22" t="s">
        <v>19</v>
      </c>
      <c r="I99" s="22" t="s">
        <v>9</v>
      </c>
      <c r="J99" s="22" t="s">
        <v>21</v>
      </c>
      <c r="K99" s="22" t="s">
        <v>11</v>
      </c>
      <c r="L99" s="22" t="s">
        <v>17</v>
      </c>
      <c r="M99" s="22" t="s">
        <v>27</v>
      </c>
      <c r="N99" s="22" t="s">
        <v>7</v>
      </c>
      <c r="O99" s="40" t="s">
        <v>23</v>
      </c>
      <c r="P99" s="31"/>
      <c r="Q99" s="22" t="s">
        <v>40</v>
      </c>
      <c r="S99" s="18" t="str">
        <f t="shared" si="2"/>
        <v>CGPA</v>
      </c>
      <c r="T99" s="18">
        <f t="shared" si="3"/>
        <v>185.5</v>
      </c>
    </row>
    <row r="100" spans="5:20" ht="22.5">
      <c r="E100" s="21" t="s">
        <v>41</v>
      </c>
      <c r="F100" s="21" t="s">
        <v>141</v>
      </c>
      <c r="G100" s="11" t="s">
        <v>43</v>
      </c>
      <c r="H100" s="23" t="s">
        <v>131</v>
      </c>
      <c r="I100" s="23" t="s">
        <v>142</v>
      </c>
      <c r="J100" s="23" t="s">
        <v>143</v>
      </c>
      <c r="K100" s="23" t="s">
        <v>144</v>
      </c>
      <c r="L100" s="23" t="s">
        <v>145</v>
      </c>
      <c r="M100" s="23" t="s">
        <v>146</v>
      </c>
      <c r="N100" s="23" t="s">
        <v>147</v>
      </c>
      <c r="O100" s="30" t="s">
        <v>51</v>
      </c>
      <c r="P100" s="31"/>
      <c r="Q100" s="11" t="s">
        <v>37</v>
      </c>
      <c r="S100" s="18" t="str">
        <f t="shared" si="2"/>
        <v>Result: PASS</v>
      </c>
      <c r="T100" s="18">
        <f t="shared" si="3"/>
        <v>497</v>
      </c>
    </row>
    <row r="101" spans="5:20">
      <c r="E101" s="32" t="s">
        <v>148</v>
      </c>
      <c r="F101" s="33"/>
      <c r="G101" s="11" t="s">
        <v>53</v>
      </c>
      <c r="H101" s="23" t="s">
        <v>51</v>
      </c>
      <c r="I101" s="23" t="s">
        <v>51</v>
      </c>
      <c r="J101" s="23" t="s">
        <v>51</v>
      </c>
      <c r="K101" s="23" t="s">
        <v>51</v>
      </c>
      <c r="L101" s="23" t="s">
        <v>51</v>
      </c>
      <c r="M101" s="23" t="s">
        <v>51</v>
      </c>
      <c r="N101" s="23" t="s">
        <v>51</v>
      </c>
      <c r="O101" s="30" t="s">
        <v>125</v>
      </c>
      <c r="P101" s="31"/>
      <c r="Q101" s="11" t="s">
        <v>37</v>
      </c>
      <c r="S101" s="18" t="str">
        <f t="shared" si="2"/>
        <v>Class</v>
      </c>
      <c r="T101" s="18">
        <f t="shared" si="3"/>
        <v>700</v>
      </c>
    </row>
    <row r="102" spans="5:20">
      <c r="E102" s="34"/>
      <c r="F102" s="35"/>
      <c r="G102" s="11" t="s">
        <v>55</v>
      </c>
      <c r="H102" s="23" t="s">
        <v>37</v>
      </c>
      <c r="I102" s="23" t="s">
        <v>37</v>
      </c>
      <c r="J102" s="23" t="s">
        <v>37</v>
      </c>
      <c r="K102" s="23" t="s">
        <v>37</v>
      </c>
      <c r="L102" s="23" t="s">
        <v>37</v>
      </c>
      <c r="M102" s="23" t="s">
        <v>37</v>
      </c>
      <c r="N102" s="23" t="s">
        <v>37</v>
      </c>
      <c r="O102" s="30" t="s">
        <v>37</v>
      </c>
      <c r="P102" s="31"/>
      <c r="Q102" s="11">
        <v>0</v>
      </c>
      <c r="S102" s="18" t="str">
        <f t="shared" si="2"/>
        <v>Term Grade: AA</v>
      </c>
      <c r="T102" s="18" t="str">
        <f t="shared" si="3"/>
        <v/>
      </c>
    </row>
    <row r="103" spans="5:20">
      <c r="E103" s="36"/>
      <c r="F103" s="37"/>
      <c r="G103" s="11" t="s">
        <v>56</v>
      </c>
      <c r="H103" s="23">
        <v>4</v>
      </c>
      <c r="I103" s="23">
        <v>4</v>
      </c>
      <c r="J103" s="23">
        <v>4</v>
      </c>
      <c r="K103" s="23">
        <v>3</v>
      </c>
      <c r="L103" s="23">
        <v>3</v>
      </c>
      <c r="M103" s="23">
        <v>3</v>
      </c>
      <c r="N103" s="23">
        <v>2</v>
      </c>
      <c r="O103" s="30">
        <v>2</v>
      </c>
      <c r="P103" s="31"/>
      <c r="Q103" s="11">
        <v>25</v>
      </c>
      <c r="S103" s="18" t="str">
        <f t="shared" si="2"/>
        <v>M.C.No</v>
      </c>
      <c r="T103" s="18" t="str">
        <f t="shared" si="3"/>
        <v/>
      </c>
    </row>
    <row r="104" spans="5:20">
      <c r="E104" s="21" t="s">
        <v>57</v>
      </c>
      <c r="F104" s="21">
        <v>7.42</v>
      </c>
      <c r="G104" s="11" t="s">
        <v>58</v>
      </c>
      <c r="H104" s="23">
        <v>6.5</v>
      </c>
      <c r="I104" s="23">
        <v>7</v>
      </c>
      <c r="J104" s="23">
        <v>7</v>
      </c>
      <c r="K104" s="23">
        <v>6</v>
      </c>
      <c r="L104" s="23">
        <v>8</v>
      </c>
      <c r="M104" s="23">
        <v>7.5</v>
      </c>
      <c r="N104" s="23">
        <v>10</v>
      </c>
      <c r="O104" s="30">
        <v>9.5</v>
      </c>
      <c r="P104" s="31"/>
      <c r="Q104" s="11" t="s">
        <v>37</v>
      </c>
      <c r="S104" s="18" t="str">
        <f t="shared" si="2"/>
        <v/>
      </c>
      <c r="T104" s="18" t="str">
        <f t="shared" si="3"/>
        <v/>
      </c>
    </row>
    <row r="105" spans="5:20">
      <c r="E105" s="21" t="s">
        <v>59</v>
      </c>
      <c r="F105" s="14">
        <v>7.42</v>
      </c>
      <c r="G105" s="11" t="s">
        <v>60</v>
      </c>
      <c r="H105" s="23">
        <v>26</v>
      </c>
      <c r="I105" s="23">
        <v>28</v>
      </c>
      <c r="J105" s="23">
        <v>28</v>
      </c>
      <c r="K105" s="23">
        <v>18</v>
      </c>
      <c r="L105" s="23">
        <v>24</v>
      </c>
      <c r="M105" s="23">
        <v>22.5</v>
      </c>
      <c r="N105" s="23">
        <v>20</v>
      </c>
      <c r="O105" s="30">
        <v>19</v>
      </c>
      <c r="P105" s="31"/>
      <c r="Q105" s="11">
        <v>185.5</v>
      </c>
      <c r="S105" s="18">
        <f t="shared" si="2"/>
        <v>0</v>
      </c>
      <c r="T105" s="18">
        <f t="shared" si="3"/>
        <v>0</v>
      </c>
    </row>
    <row r="106" spans="5:20">
      <c r="E106" s="32" t="s">
        <v>61</v>
      </c>
      <c r="F106" s="31"/>
      <c r="G106" s="11" t="s">
        <v>40</v>
      </c>
      <c r="H106" s="23">
        <v>64</v>
      </c>
      <c r="I106" s="23">
        <v>68</v>
      </c>
      <c r="J106" s="23">
        <v>65</v>
      </c>
      <c r="K106" s="23">
        <v>58</v>
      </c>
      <c r="L106" s="23">
        <v>75</v>
      </c>
      <c r="M106" s="23">
        <v>73</v>
      </c>
      <c r="N106" s="23">
        <v>48</v>
      </c>
      <c r="O106" s="30">
        <v>46</v>
      </c>
      <c r="P106" s="31"/>
      <c r="Q106" s="11">
        <v>497</v>
      </c>
      <c r="S106" s="18">
        <f t="shared" si="2"/>
        <v>0</v>
      </c>
      <c r="T106" s="18">
        <f t="shared" si="3"/>
        <v>0</v>
      </c>
    </row>
    <row r="107" spans="5:20">
      <c r="E107" s="21" t="s">
        <v>62</v>
      </c>
      <c r="F107" s="21"/>
      <c r="G107" s="11" t="s">
        <v>63</v>
      </c>
      <c r="H107" s="23">
        <v>100</v>
      </c>
      <c r="I107" s="23">
        <v>100</v>
      </c>
      <c r="J107" s="23">
        <v>100</v>
      </c>
      <c r="K107" s="23">
        <v>100</v>
      </c>
      <c r="L107" s="23">
        <v>100</v>
      </c>
      <c r="M107" s="23">
        <v>100</v>
      </c>
      <c r="N107" s="23">
        <v>50</v>
      </c>
      <c r="O107" s="30">
        <v>50</v>
      </c>
      <c r="P107" s="31"/>
      <c r="Q107" s="11">
        <v>700</v>
      </c>
      <c r="S107" s="18" t="str">
        <f t="shared" si="2"/>
        <v>Dr. B.B. Hegde First Grade College, Kundapura, Udupi.</v>
      </c>
      <c r="T107" s="18" t="str">
        <f t="shared" si="3"/>
        <v/>
      </c>
    </row>
    <row r="108" spans="5:20">
      <c r="E108" s="32" t="s">
        <v>101</v>
      </c>
      <c r="F108" s="31"/>
      <c r="G108" s="11" t="s">
        <v>65</v>
      </c>
      <c r="H108" s="23" t="s">
        <v>69</v>
      </c>
      <c r="I108" s="23" t="s">
        <v>66</v>
      </c>
      <c r="J108" s="23" t="s">
        <v>66</v>
      </c>
      <c r="K108" s="23" t="s">
        <v>103</v>
      </c>
      <c r="L108" s="23" t="s">
        <v>102</v>
      </c>
      <c r="M108" s="23" t="s">
        <v>68</v>
      </c>
      <c r="N108" s="23" t="s">
        <v>88</v>
      </c>
      <c r="O108" s="30" t="s">
        <v>71</v>
      </c>
      <c r="P108" s="31"/>
      <c r="Q108" s="11" t="s">
        <v>37</v>
      </c>
      <c r="S108" s="18" t="str">
        <f t="shared" si="2"/>
        <v>00008</v>
      </c>
      <c r="T108" s="18" t="str">
        <f t="shared" si="3"/>
        <v>Total</v>
      </c>
    </row>
    <row r="109" spans="5:20">
      <c r="E109" s="15" t="s">
        <v>72</v>
      </c>
      <c r="F109" s="15" t="s">
        <v>149</v>
      </c>
      <c r="G109" s="11" t="s">
        <v>74</v>
      </c>
      <c r="H109" s="23" t="s">
        <v>75</v>
      </c>
      <c r="I109" s="23" t="s">
        <v>75</v>
      </c>
      <c r="J109" s="23" t="s">
        <v>75</v>
      </c>
      <c r="K109" s="23" t="s">
        <v>75</v>
      </c>
      <c r="L109" s="23" t="s">
        <v>75</v>
      </c>
      <c r="M109" s="23" t="s">
        <v>75</v>
      </c>
      <c r="N109" s="23" t="s">
        <v>75</v>
      </c>
      <c r="O109" s="30" t="s">
        <v>75</v>
      </c>
      <c r="P109" s="31"/>
      <c r="Q109" s="11" t="s">
        <v>37</v>
      </c>
      <c r="S109" s="18" t="str">
        <f t="shared" si="2"/>
        <v>USN</v>
      </c>
      <c r="T109" s="18" t="str">
        <f t="shared" si="3"/>
        <v/>
      </c>
    </row>
    <row r="110" spans="5:20">
      <c r="E110" s="16" t="s">
        <v>37</v>
      </c>
      <c r="F110" s="16" t="s">
        <v>37</v>
      </c>
      <c r="G110" s="16" t="s">
        <v>37</v>
      </c>
      <c r="H110" s="24" t="s">
        <v>37</v>
      </c>
      <c r="I110" s="24" t="s">
        <v>37</v>
      </c>
      <c r="J110" s="24" t="s">
        <v>37</v>
      </c>
      <c r="K110" s="24" t="s">
        <v>37</v>
      </c>
      <c r="L110" s="24" t="s">
        <v>37</v>
      </c>
      <c r="M110" s="24" t="s">
        <v>37</v>
      </c>
      <c r="N110" s="24" t="s">
        <v>37</v>
      </c>
      <c r="O110" s="41" t="s">
        <v>37</v>
      </c>
      <c r="P110" s="28"/>
      <c r="Q110" s="24" t="s">
        <v>37</v>
      </c>
      <c r="S110" s="18" t="str">
        <f t="shared" si="2"/>
        <v>MADHURA B</v>
      </c>
      <c r="T110" s="18" t="str">
        <f t="shared" si="3"/>
        <v/>
      </c>
    </row>
    <row r="111" spans="5:20" ht="0" hidden="1" customHeight="1">
      <c r="S111" s="18">
        <f t="shared" si="2"/>
        <v>0</v>
      </c>
      <c r="T111" s="18">
        <f t="shared" si="3"/>
        <v>0</v>
      </c>
    </row>
    <row r="112" spans="5:20" ht="0.6" customHeight="1">
      <c r="S112" s="18">
        <f t="shared" si="2"/>
        <v>0</v>
      </c>
      <c r="T112" s="18">
        <f t="shared" si="3"/>
        <v>25</v>
      </c>
    </row>
    <row r="113" spans="5:20">
      <c r="E113" s="38" t="s">
        <v>35</v>
      </c>
      <c r="F113" s="31"/>
      <c r="G113" s="19" t="s">
        <v>36</v>
      </c>
      <c r="H113" s="20" t="s">
        <v>37</v>
      </c>
      <c r="I113" s="20" t="s">
        <v>37</v>
      </c>
      <c r="J113" s="20" t="s">
        <v>37</v>
      </c>
      <c r="K113" s="20" t="s">
        <v>37</v>
      </c>
      <c r="L113" s="20" t="s">
        <v>37</v>
      </c>
      <c r="M113" s="20" t="s">
        <v>37</v>
      </c>
      <c r="N113" s="20" t="s">
        <v>37</v>
      </c>
      <c r="O113" s="39" t="s">
        <v>37</v>
      </c>
      <c r="P113" s="28"/>
      <c r="Q113" s="20" t="s">
        <v>37</v>
      </c>
      <c r="S113" s="18" t="str">
        <f t="shared" si="2"/>
        <v>SGPA</v>
      </c>
      <c r="T113" s="18" t="str">
        <f t="shared" si="3"/>
        <v/>
      </c>
    </row>
    <row r="114" spans="5:20" ht="21">
      <c r="E114" s="32" t="s">
        <v>150</v>
      </c>
      <c r="F114" s="31"/>
      <c r="G114" s="22" t="s">
        <v>39</v>
      </c>
      <c r="H114" s="22" t="s">
        <v>19</v>
      </c>
      <c r="I114" s="22" t="s">
        <v>9</v>
      </c>
      <c r="J114" s="22" t="s">
        <v>21</v>
      </c>
      <c r="K114" s="22" t="s">
        <v>11</v>
      </c>
      <c r="L114" s="22" t="s">
        <v>17</v>
      </c>
      <c r="M114" s="22" t="s">
        <v>27</v>
      </c>
      <c r="N114" s="22" t="s">
        <v>7</v>
      </c>
      <c r="O114" s="40" t="s">
        <v>25</v>
      </c>
      <c r="P114" s="31"/>
      <c r="Q114" s="22" t="s">
        <v>40</v>
      </c>
      <c r="S114" s="18" t="str">
        <f t="shared" si="2"/>
        <v>CGPA</v>
      </c>
      <c r="T114" s="18">
        <f t="shared" si="3"/>
        <v>193</v>
      </c>
    </row>
    <row r="115" spans="5:20" ht="22.5">
      <c r="E115" s="21" t="s">
        <v>41</v>
      </c>
      <c r="F115" s="21" t="s">
        <v>151</v>
      </c>
      <c r="G115" s="11" t="s">
        <v>43</v>
      </c>
      <c r="H115" s="23" t="s">
        <v>152</v>
      </c>
      <c r="I115" s="23" t="s">
        <v>45</v>
      </c>
      <c r="J115" s="23" t="s">
        <v>153</v>
      </c>
      <c r="K115" s="23" t="s">
        <v>154</v>
      </c>
      <c r="L115" s="23" t="s">
        <v>155</v>
      </c>
      <c r="M115" s="23" t="s">
        <v>146</v>
      </c>
      <c r="N115" s="23" t="s">
        <v>123</v>
      </c>
      <c r="O115" s="30" t="s">
        <v>51</v>
      </c>
      <c r="P115" s="31"/>
      <c r="Q115" s="11" t="s">
        <v>37</v>
      </c>
      <c r="S115" s="18" t="str">
        <f t="shared" si="2"/>
        <v>Result: PASS</v>
      </c>
      <c r="T115" s="18">
        <f t="shared" si="3"/>
        <v>521</v>
      </c>
    </row>
    <row r="116" spans="5:20">
      <c r="E116" s="32" t="s">
        <v>156</v>
      </c>
      <c r="F116" s="33"/>
      <c r="G116" s="11" t="s">
        <v>53</v>
      </c>
      <c r="H116" s="23" t="s">
        <v>51</v>
      </c>
      <c r="I116" s="23" t="s">
        <v>51</v>
      </c>
      <c r="J116" s="23" t="s">
        <v>51</v>
      </c>
      <c r="K116" s="23" t="s">
        <v>51</v>
      </c>
      <c r="L116" s="23" t="s">
        <v>51</v>
      </c>
      <c r="M116" s="23" t="s">
        <v>51</v>
      </c>
      <c r="N116" s="23" t="s">
        <v>51</v>
      </c>
      <c r="O116" s="30" t="s">
        <v>125</v>
      </c>
      <c r="P116" s="31"/>
      <c r="Q116" s="11" t="s">
        <v>37</v>
      </c>
      <c r="S116" s="18" t="str">
        <f t="shared" si="2"/>
        <v>Class</v>
      </c>
      <c r="T116" s="18">
        <f t="shared" si="3"/>
        <v>700</v>
      </c>
    </row>
    <row r="117" spans="5:20">
      <c r="E117" s="34"/>
      <c r="F117" s="35"/>
      <c r="G117" s="11" t="s">
        <v>55</v>
      </c>
      <c r="H117" s="23" t="s">
        <v>37</v>
      </c>
      <c r="I117" s="23" t="s">
        <v>37</v>
      </c>
      <c r="J117" s="23" t="s">
        <v>37</v>
      </c>
      <c r="K117" s="23" t="s">
        <v>37</v>
      </c>
      <c r="L117" s="23" t="s">
        <v>37</v>
      </c>
      <c r="M117" s="23" t="s">
        <v>37</v>
      </c>
      <c r="N117" s="23" t="s">
        <v>37</v>
      </c>
      <c r="O117" s="30" t="s">
        <v>37</v>
      </c>
      <c r="P117" s="31"/>
      <c r="Q117" s="11">
        <v>0</v>
      </c>
      <c r="S117" s="18" t="str">
        <f t="shared" si="2"/>
        <v>Term Grade: AA+</v>
      </c>
      <c r="T117" s="18" t="str">
        <f t="shared" si="3"/>
        <v/>
      </c>
    </row>
    <row r="118" spans="5:20">
      <c r="E118" s="36"/>
      <c r="F118" s="37"/>
      <c r="G118" s="11" t="s">
        <v>56</v>
      </c>
      <c r="H118" s="23">
        <v>4</v>
      </c>
      <c r="I118" s="23">
        <v>4</v>
      </c>
      <c r="J118" s="23">
        <v>4</v>
      </c>
      <c r="K118" s="23">
        <v>3</v>
      </c>
      <c r="L118" s="23">
        <v>3</v>
      </c>
      <c r="M118" s="23">
        <v>3</v>
      </c>
      <c r="N118" s="23">
        <v>2</v>
      </c>
      <c r="O118" s="30">
        <v>2</v>
      </c>
      <c r="P118" s="31"/>
      <c r="Q118" s="11">
        <v>25</v>
      </c>
      <c r="S118" s="18" t="str">
        <f t="shared" si="2"/>
        <v>M.C.No</v>
      </c>
      <c r="T118" s="18" t="str">
        <f t="shared" si="3"/>
        <v/>
      </c>
    </row>
    <row r="119" spans="5:20">
      <c r="E119" s="21" t="s">
        <v>57</v>
      </c>
      <c r="F119" s="21">
        <v>7.72</v>
      </c>
      <c r="G119" s="11" t="s">
        <v>58</v>
      </c>
      <c r="H119" s="23">
        <v>7</v>
      </c>
      <c r="I119" s="23">
        <v>9</v>
      </c>
      <c r="J119" s="23">
        <v>6.5</v>
      </c>
      <c r="K119" s="23">
        <v>6</v>
      </c>
      <c r="L119" s="23">
        <v>8.5</v>
      </c>
      <c r="M119" s="23">
        <v>7.5</v>
      </c>
      <c r="N119" s="23">
        <v>9</v>
      </c>
      <c r="O119" s="30">
        <v>9.5</v>
      </c>
      <c r="P119" s="31"/>
      <c r="Q119" s="11" t="s">
        <v>37</v>
      </c>
      <c r="S119" s="18" t="str">
        <f t="shared" si="2"/>
        <v/>
      </c>
      <c r="T119" s="18" t="str">
        <f t="shared" si="3"/>
        <v/>
      </c>
    </row>
    <row r="120" spans="5:20">
      <c r="E120" s="21" t="s">
        <v>59</v>
      </c>
      <c r="F120" s="14">
        <v>7.72</v>
      </c>
      <c r="G120" s="11" t="s">
        <v>60</v>
      </c>
      <c r="H120" s="23">
        <v>28</v>
      </c>
      <c r="I120" s="23">
        <v>36</v>
      </c>
      <c r="J120" s="23">
        <v>26</v>
      </c>
      <c r="K120" s="23">
        <v>18</v>
      </c>
      <c r="L120" s="23">
        <v>25.5</v>
      </c>
      <c r="M120" s="23">
        <v>22.5</v>
      </c>
      <c r="N120" s="23">
        <v>18</v>
      </c>
      <c r="O120" s="30">
        <v>19</v>
      </c>
      <c r="P120" s="31"/>
      <c r="Q120" s="11">
        <v>193</v>
      </c>
      <c r="S120" s="18">
        <f t="shared" si="2"/>
        <v>0</v>
      </c>
      <c r="T120" s="18">
        <f t="shared" si="3"/>
        <v>0</v>
      </c>
    </row>
    <row r="121" spans="5:20">
      <c r="E121" s="32" t="s">
        <v>61</v>
      </c>
      <c r="F121" s="31"/>
      <c r="G121" s="11" t="s">
        <v>40</v>
      </c>
      <c r="H121" s="23">
        <v>68</v>
      </c>
      <c r="I121" s="23">
        <v>89</v>
      </c>
      <c r="J121" s="23">
        <v>64</v>
      </c>
      <c r="K121" s="23">
        <v>55</v>
      </c>
      <c r="L121" s="23">
        <v>82</v>
      </c>
      <c r="M121" s="23">
        <v>73</v>
      </c>
      <c r="N121" s="23">
        <v>44</v>
      </c>
      <c r="O121" s="30">
        <v>46</v>
      </c>
      <c r="P121" s="31"/>
      <c r="Q121" s="11">
        <v>521</v>
      </c>
      <c r="S121" s="18">
        <f t="shared" si="2"/>
        <v>0</v>
      </c>
      <c r="T121" s="18">
        <f t="shared" si="3"/>
        <v>0</v>
      </c>
    </row>
    <row r="122" spans="5:20">
      <c r="E122" s="21" t="s">
        <v>62</v>
      </c>
      <c r="F122" s="21"/>
      <c r="G122" s="11" t="s">
        <v>63</v>
      </c>
      <c r="H122" s="23">
        <v>100</v>
      </c>
      <c r="I122" s="23">
        <v>100</v>
      </c>
      <c r="J122" s="23">
        <v>100</v>
      </c>
      <c r="K122" s="23">
        <v>100</v>
      </c>
      <c r="L122" s="23">
        <v>100</v>
      </c>
      <c r="M122" s="23">
        <v>100</v>
      </c>
      <c r="N122" s="23">
        <v>50</v>
      </c>
      <c r="O122" s="30">
        <v>50</v>
      </c>
      <c r="P122" s="31"/>
      <c r="Q122" s="11">
        <v>700</v>
      </c>
      <c r="S122" s="18" t="str">
        <f t="shared" si="2"/>
        <v>Dr. B.B. Hegde First Grade College, Kundapura, Udupi.</v>
      </c>
      <c r="T122" s="18" t="str">
        <f t="shared" si="3"/>
        <v/>
      </c>
    </row>
    <row r="123" spans="5:20">
      <c r="E123" s="32" t="s">
        <v>64</v>
      </c>
      <c r="F123" s="31"/>
      <c r="G123" s="11" t="s">
        <v>65</v>
      </c>
      <c r="H123" s="23" t="s">
        <v>66</v>
      </c>
      <c r="I123" s="23" t="s">
        <v>67</v>
      </c>
      <c r="J123" s="23" t="s">
        <v>69</v>
      </c>
      <c r="K123" s="23" t="s">
        <v>103</v>
      </c>
      <c r="L123" s="23" t="s">
        <v>70</v>
      </c>
      <c r="M123" s="23" t="s">
        <v>68</v>
      </c>
      <c r="N123" s="23" t="s">
        <v>67</v>
      </c>
      <c r="O123" s="30" t="s">
        <v>71</v>
      </c>
      <c r="P123" s="31"/>
      <c r="Q123" s="11" t="s">
        <v>37</v>
      </c>
      <c r="S123" s="18" t="str">
        <f t="shared" si="2"/>
        <v>00009</v>
      </c>
      <c r="T123" s="18" t="str">
        <f t="shared" si="3"/>
        <v>Total</v>
      </c>
    </row>
    <row r="124" spans="5:20">
      <c r="E124" s="15" t="s">
        <v>72</v>
      </c>
      <c r="F124" s="15" t="s">
        <v>157</v>
      </c>
      <c r="G124" s="11" t="s">
        <v>74</v>
      </c>
      <c r="H124" s="23" t="s">
        <v>75</v>
      </c>
      <c r="I124" s="23" t="s">
        <v>75</v>
      </c>
      <c r="J124" s="23" t="s">
        <v>75</v>
      </c>
      <c r="K124" s="23" t="s">
        <v>75</v>
      </c>
      <c r="L124" s="23" t="s">
        <v>75</v>
      </c>
      <c r="M124" s="23" t="s">
        <v>75</v>
      </c>
      <c r="N124" s="23" t="s">
        <v>75</v>
      </c>
      <c r="O124" s="30" t="s">
        <v>75</v>
      </c>
      <c r="P124" s="31"/>
      <c r="Q124" s="11" t="s">
        <v>37</v>
      </c>
      <c r="S124" s="18" t="str">
        <f t="shared" si="2"/>
        <v>USN</v>
      </c>
      <c r="T124" s="18" t="str">
        <f t="shared" si="3"/>
        <v/>
      </c>
    </row>
    <row r="125" spans="5:20">
      <c r="E125" s="16" t="s">
        <v>37</v>
      </c>
      <c r="F125" s="16" t="s">
        <v>37</v>
      </c>
      <c r="G125" s="16" t="s">
        <v>37</v>
      </c>
      <c r="H125" s="24" t="s">
        <v>37</v>
      </c>
      <c r="I125" s="24" t="s">
        <v>37</v>
      </c>
      <c r="J125" s="24" t="s">
        <v>37</v>
      </c>
      <c r="K125" s="24" t="s">
        <v>37</v>
      </c>
      <c r="L125" s="24" t="s">
        <v>37</v>
      </c>
      <c r="M125" s="24" t="s">
        <v>37</v>
      </c>
      <c r="N125" s="24" t="s">
        <v>37</v>
      </c>
      <c r="O125" s="41" t="s">
        <v>37</v>
      </c>
      <c r="P125" s="28"/>
      <c r="Q125" s="24" t="s">
        <v>37</v>
      </c>
      <c r="S125" s="18" t="str">
        <f t="shared" si="2"/>
        <v>NAVYASHRI</v>
      </c>
      <c r="T125" s="18" t="str">
        <f t="shared" si="3"/>
        <v/>
      </c>
    </row>
    <row r="126" spans="5:20" ht="0" hidden="1" customHeight="1">
      <c r="S126" s="18">
        <f t="shared" si="2"/>
        <v>0</v>
      </c>
      <c r="T126" s="18">
        <f t="shared" si="3"/>
        <v>0</v>
      </c>
    </row>
    <row r="127" spans="5:20" ht="0.6" customHeight="1">
      <c r="S127" s="18">
        <f t="shared" si="2"/>
        <v>0</v>
      </c>
      <c r="T127" s="18">
        <f t="shared" si="3"/>
        <v>25</v>
      </c>
    </row>
    <row r="128" spans="5:20">
      <c r="E128" s="38" t="s">
        <v>35</v>
      </c>
      <c r="F128" s="31"/>
      <c r="G128" s="19" t="s">
        <v>36</v>
      </c>
      <c r="H128" s="20" t="s">
        <v>37</v>
      </c>
      <c r="I128" s="20" t="s">
        <v>37</v>
      </c>
      <c r="J128" s="20" t="s">
        <v>37</v>
      </c>
      <c r="K128" s="20" t="s">
        <v>37</v>
      </c>
      <c r="L128" s="20" t="s">
        <v>37</v>
      </c>
      <c r="M128" s="20" t="s">
        <v>37</v>
      </c>
      <c r="N128" s="20" t="s">
        <v>37</v>
      </c>
      <c r="O128" s="39" t="s">
        <v>37</v>
      </c>
      <c r="P128" s="28"/>
      <c r="Q128" s="20" t="s">
        <v>37</v>
      </c>
      <c r="S128" s="18" t="str">
        <f t="shared" si="2"/>
        <v>SGPA</v>
      </c>
      <c r="T128" s="18" t="str">
        <f t="shared" si="3"/>
        <v/>
      </c>
    </row>
    <row r="129" spans="5:20" ht="21">
      <c r="E129" s="32" t="s">
        <v>158</v>
      </c>
      <c r="F129" s="31"/>
      <c r="G129" s="22" t="s">
        <v>39</v>
      </c>
      <c r="H129" s="22" t="s">
        <v>19</v>
      </c>
      <c r="I129" s="22" t="s">
        <v>9</v>
      </c>
      <c r="J129" s="22" t="s">
        <v>21</v>
      </c>
      <c r="K129" s="22" t="s">
        <v>11</v>
      </c>
      <c r="L129" s="22" t="s">
        <v>17</v>
      </c>
      <c r="M129" s="22" t="s">
        <v>27</v>
      </c>
      <c r="N129" s="22" t="s">
        <v>7</v>
      </c>
      <c r="O129" s="40" t="s">
        <v>25</v>
      </c>
      <c r="P129" s="31"/>
      <c r="Q129" s="22" t="s">
        <v>40</v>
      </c>
      <c r="S129" s="18" t="str">
        <f t="shared" si="2"/>
        <v>CGPA</v>
      </c>
      <c r="T129" s="18">
        <f t="shared" si="3"/>
        <v>193.5</v>
      </c>
    </row>
    <row r="130" spans="5:20" ht="22.5">
      <c r="E130" s="21" t="s">
        <v>41</v>
      </c>
      <c r="F130" s="21" t="s">
        <v>159</v>
      </c>
      <c r="G130" s="11" t="s">
        <v>43</v>
      </c>
      <c r="H130" s="23" t="s">
        <v>160</v>
      </c>
      <c r="I130" s="23" t="s">
        <v>161</v>
      </c>
      <c r="J130" s="23" t="s">
        <v>162</v>
      </c>
      <c r="K130" s="23" t="s">
        <v>163</v>
      </c>
      <c r="L130" s="23" t="s">
        <v>164</v>
      </c>
      <c r="M130" s="23" t="s">
        <v>165</v>
      </c>
      <c r="N130" s="23" t="s">
        <v>166</v>
      </c>
      <c r="O130" s="30" t="s">
        <v>51</v>
      </c>
      <c r="P130" s="31"/>
      <c r="Q130" s="11" t="s">
        <v>37</v>
      </c>
      <c r="S130" s="18" t="str">
        <f t="shared" si="2"/>
        <v>Result: PASS</v>
      </c>
      <c r="T130" s="18">
        <f t="shared" si="3"/>
        <v>512</v>
      </c>
    </row>
    <row r="131" spans="5:20">
      <c r="E131" s="32" t="s">
        <v>167</v>
      </c>
      <c r="F131" s="33"/>
      <c r="G131" s="11" t="s">
        <v>53</v>
      </c>
      <c r="H131" s="23" t="s">
        <v>51</v>
      </c>
      <c r="I131" s="23" t="s">
        <v>51</v>
      </c>
      <c r="J131" s="23" t="s">
        <v>51</v>
      </c>
      <c r="K131" s="23" t="s">
        <v>51</v>
      </c>
      <c r="L131" s="23" t="s">
        <v>51</v>
      </c>
      <c r="M131" s="23" t="s">
        <v>51</v>
      </c>
      <c r="N131" s="23" t="s">
        <v>51</v>
      </c>
      <c r="O131" s="30" t="s">
        <v>54</v>
      </c>
      <c r="P131" s="31"/>
      <c r="Q131" s="11" t="s">
        <v>37</v>
      </c>
      <c r="S131" s="18" t="str">
        <f t="shared" si="2"/>
        <v>Class</v>
      </c>
      <c r="T131" s="18">
        <f t="shared" si="3"/>
        <v>700</v>
      </c>
    </row>
    <row r="132" spans="5:20">
      <c r="E132" s="34"/>
      <c r="F132" s="35"/>
      <c r="G132" s="11" t="s">
        <v>55</v>
      </c>
      <c r="H132" s="23" t="s">
        <v>37</v>
      </c>
      <c r="I132" s="23" t="s">
        <v>37</v>
      </c>
      <c r="J132" s="23" t="s">
        <v>37</v>
      </c>
      <c r="K132" s="23" t="s">
        <v>37</v>
      </c>
      <c r="L132" s="23" t="s">
        <v>37</v>
      </c>
      <c r="M132" s="23" t="s">
        <v>37</v>
      </c>
      <c r="N132" s="23" t="s">
        <v>37</v>
      </c>
      <c r="O132" s="30" t="s">
        <v>37</v>
      </c>
      <c r="P132" s="31"/>
      <c r="Q132" s="11">
        <v>0</v>
      </c>
      <c r="S132" s="18" t="str">
        <f t="shared" si="2"/>
        <v>Term Grade: AA+</v>
      </c>
      <c r="T132" s="18" t="str">
        <f t="shared" si="3"/>
        <v/>
      </c>
    </row>
    <row r="133" spans="5:20">
      <c r="E133" s="36"/>
      <c r="F133" s="37"/>
      <c r="G133" s="11" t="s">
        <v>56</v>
      </c>
      <c r="H133" s="23">
        <v>4</v>
      </c>
      <c r="I133" s="23">
        <v>4</v>
      </c>
      <c r="J133" s="23">
        <v>4</v>
      </c>
      <c r="K133" s="23">
        <v>3</v>
      </c>
      <c r="L133" s="23">
        <v>3</v>
      </c>
      <c r="M133" s="23">
        <v>3</v>
      </c>
      <c r="N133" s="23">
        <v>2</v>
      </c>
      <c r="O133" s="30">
        <v>2</v>
      </c>
      <c r="P133" s="31"/>
      <c r="Q133" s="11">
        <v>25</v>
      </c>
      <c r="S133" s="18" t="str">
        <f t="shared" si="2"/>
        <v>M.C.No</v>
      </c>
      <c r="T133" s="18" t="str">
        <f t="shared" si="3"/>
        <v/>
      </c>
    </row>
    <row r="134" spans="5:20">
      <c r="E134" s="21" t="s">
        <v>57</v>
      </c>
      <c r="F134" s="21">
        <v>7.74</v>
      </c>
      <c r="G134" s="11" t="s">
        <v>58</v>
      </c>
      <c r="H134" s="23">
        <v>7.5</v>
      </c>
      <c r="I134" s="23">
        <v>8.5</v>
      </c>
      <c r="J134" s="23">
        <v>6.5</v>
      </c>
      <c r="K134" s="23">
        <v>5.5</v>
      </c>
      <c r="L134" s="23">
        <v>9</v>
      </c>
      <c r="M134" s="23">
        <v>7</v>
      </c>
      <c r="N134" s="23">
        <v>10</v>
      </c>
      <c r="O134" s="30">
        <v>9.5</v>
      </c>
      <c r="P134" s="31"/>
      <c r="Q134" s="11" t="s">
        <v>37</v>
      </c>
      <c r="S134" s="18" t="str">
        <f t="shared" si="2"/>
        <v/>
      </c>
      <c r="T134" s="18" t="str">
        <f t="shared" si="3"/>
        <v/>
      </c>
    </row>
    <row r="135" spans="5:20">
      <c r="E135" s="21" t="s">
        <v>59</v>
      </c>
      <c r="F135" s="14">
        <v>7.74</v>
      </c>
      <c r="G135" s="11" t="s">
        <v>60</v>
      </c>
      <c r="H135" s="23">
        <v>30</v>
      </c>
      <c r="I135" s="23">
        <v>34</v>
      </c>
      <c r="J135" s="23">
        <v>26</v>
      </c>
      <c r="K135" s="23">
        <v>16.5</v>
      </c>
      <c r="L135" s="23">
        <v>27</v>
      </c>
      <c r="M135" s="23">
        <v>21</v>
      </c>
      <c r="N135" s="23">
        <v>20</v>
      </c>
      <c r="O135" s="30">
        <v>19</v>
      </c>
      <c r="P135" s="31"/>
      <c r="Q135" s="11">
        <v>193.5</v>
      </c>
      <c r="S135" s="18">
        <f t="shared" si="2"/>
        <v>0</v>
      </c>
      <c r="T135" s="18">
        <f t="shared" si="3"/>
        <v>0</v>
      </c>
    </row>
    <row r="136" spans="5:20">
      <c r="E136" s="32" t="s">
        <v>61</v>
      </c>
      <c r="F136" s="31"/>
      <c r="G136" s="11" t="s">
        <v>40</v>
      </c>
      <c r="H136" s="23">
        <v>70</v>
      </c>
      <c r="I136" s="23">
        <v>81</v>
      </c>
      <c r="J136" s="23">
        <v>64</v>
      </c>
      <c r="K136" s="23">
        <v>53</v>
      </c>
      <c r="L136" s="23">
        <v>85</v>
      </c>
      <c r="M136" s="23">
        <v>65</v>
      </c>
      <c r="N136" s="23">
        <v>49</v>
      </c>
      <c r="O136" s="30">
        <v>45</v>
      </c>
      <c r="P136" s="31"/>
      <c r="Q136" s="11">
        <v>512</v>
      </c>
      <c r="S136" s="18">
        <f t="shared" si="2"/>
        <v>0</v>
      </c>
      <c r="T136" s="18">
        <f t="shared" si="3"/>
        <v>0</v>
      </c>
    </row>
    <row r="137" spans="5:20">
      <c r="E137" s="21" t="s">
        <v>62</v>
      </c>
      <c r="F137" s="21"/>
      <c r="G137" s="11" t="s">
        <v>63</v>
      </c>
      <c r="H137" s="23">
        <v>100</v>
      </c>
      <c r="I137" s="23">
        <v>100</v>
      </c>
      <c r="J137" s="23">
        <v>100</v>
      </c>
      <c r="K137" s="23">
        <v>100</v>
      </c>
      <c r="L137" s="23">
        <v>100</v>
      </c>
      <c r="M137" s="23">
        <v>100</v>
      </c>
      <c r="N137" s="23">
        <v>50</v>
      </c>
      <c r="O137" s="30">
        <v>50</v>
      </c>
      <c r="P137" s="31"/>
      <c r="Q137" s="11">
        <v>700</v>
      </c>
      <c r="S137" s="18" t="str">
        <f t="shared" si="2"/>
        <v>Dr. B.B. Hegde First Grade College, Kundapura, Udupi.</v>
      </c>
      <c r="T137" s="18" t="str">
        <f t="shared" si="3"/>
        <v/>
      </c>
    </row>
    <row r="138" spans="5:20">
      <c r="E138" s="32" t="s">
        <v>64</v>
      </c>
      <c r="F138" s="31"/>
      <c r="G138" s="11" t="s">
        <v>65</v>
      </c>
      <c r="H138" s="23" t="s">
        <v>68</v>
      </c>
      <c r="I138" s="23" t="s">
        <v>70</v>
      </c>
      <c r="J138" s="23" t="s">
        <v>69</v>
      </c>
      <c r="K138" s="23" t="s">
        <v>138</v>
      </c>
      <c r="L138" s="23" t="s">
        <v>67</v>
      </c>
      <c r="M138" s="23" t="s">
        <v>66</v>
      </c>
      <c r="N138" s="23" t="s">
        <v>88</v>
      </c>
      <c r="O138" s="30" t="s">
        <v>71</v>
      </c>
      <c r="P138" s="31"/>
      <c r="Q138" s="11" t="s">
        <v>37</v>
      </c>
      <c r="S138" s="18" t="str">
        <f t="shared" si="2"/>
        <v>00010</v>
      </c>
      <c r="T138" s="18" t="str">
        <f t="shared" si="3"/>
        <v>Total</v>
      </c>
    </row>
    <row r="139" spans="5:20">
      <c r="E139" s="15" t="s">
        <v>72</v>
      </c>
      <c r="F139" s="15" t="s">
        <v>168</v>
      </c>
      <c r="G139" s="11" t="s">
        <v>74</v>
      </c>
      <c r="H139" s="23" t="s">
        <v>75</v>
      </c>
      <c r="I139" s="23" t="s">
        <v>75</v>
      </c>
      <c r="J139" s="23" t="s">
        <v>75</v>
      </c>
      <c r="K139" s="23" t="s">
        <v>75</v>
      </c>
      <c r="L139" s="23" t="s">
        <v>75</v>
      </c>
      <c r="M139" s="23" t="s">
        <v>75</v>
      </c>
      <c r="N139" s="23" t="s">
        <v>75</v>
      </c>
      <c r="O139" s="30" t="s">
        <v>75</v>
      </c>
      <c r="P139" s="31"/>
      <c r="Q139" s="11" t="s">
        <v>37</v>
      </c>
      <c r="S139" s="18" t="str">
        <f t="shared" si="2"/>
        <v>USN</v>
      </c>
      <c r="T139" s="18" t="str">
        <f t="shared" si="3"/>
        <v/>
      </c>
    </row>
    <row r="140" spans="5:20">
      <c r="E140" s="16" t="s">
        <v>37</v>
      </c>
      <c r="F140" s="16" t="s">
        <v>37</v>
      </c>
      <c r="G140" s="16" t="s">
        <v>37</v>
      </c>
      <c r="H140" s="24" t="s">
        <v>37</v>
      </c>
      <c r="I140" s="24" t="s">
        <v>37</v>
      </c>
      <c r="J140" s="24" t="s">
        <v>37</v>
      </c>
      <c r="K140" s="24" t="s">
        <v>37</v>
      </c>
      <c r="L140" s="24" t="s">
        <v>37</v>
      </c>
      <c r="M140" s="24" t="s">
        <v>37</v>
      </c>
      <c r="N140" s="24" t="s">
        <v>37</v>
      </c>
      <c r="O140" s="41" t="s">
        <v>37</v>
      </c>
      <c r="P140" s="28"/>
      <c r="Q140" s="24" t="s">
        <v>37</v>
      </c>
      <c r="S140" s="18" t="str">
        <f t="shared" ref="S140:S203" si="4">$E146</f>
        <v>SUBHASH B</v>
      </c>
      <c r="T140" s="18" t="str">
        <f t="shared" ref="T140:T203" si="5">$Q146</f>
        <v/>
      </c>
    </row>
    <row r="141" spans="5:20" ht="0" hidden="1" customHeight="1">
      <c r="S141" s="18">
        <f t="shared" si="4"/>
        <v>0</v>
      </c>
      <c r="T141" s="18">
        <f t="shared" si="5"/>
        <v>0</v>
      </c>
    </row>
    <row r="142" spans="5:20" ht="0.6" customHeight="1">
      <c r="S142" s="18">
        <f t="shared" si="4"/>
        <v>0</v>
      </c>
      <c r="T142" s="18">
        <f t="shared" si="5"/>
        <v>25</v>
      </c>
    </row>
    <row r="143" spans="5:20">
      <c r="E143" s="38" t="s">
        <v>35</v>
      </c>
      <c r="F143" s="31"/>
      <c r="G143" s="19" t="s">
        <v>36</v>
      </c>
      <c r="H143" s="20" t="s">
        <v>37</v>
      </c>
      <c r="I143" s="20" t="s">
        <v>37</v>
      </c>
      <c r="J143" s="20" t="s">
        <v>37</v>
      </c>
      <c r="K143" s="20" t="s">
        <v>37</v>
      </c>
      <c r="L143" s="20" t="s">
        <v>37</v>
      </c>
      <c r="M143" s="20" t="s">
        <v>37</v>
      </c>
      <c r="N143" s="20" t="s">
        <v>37</v>
      </c>
      <c r="O143" s="39" t="s">
        <v>37</v>
      </c>
      <c r="P143" s="28"/>
      <c r="Q143" s="20" t="s">
        <v>37</v>
      </c>
      <c r="S143" s="18" t="str">
        <f t="shared" si="4"/>
        <v>SGPA</v>
      </c>
      <c r="T143" s="18" t="str">
        <f t="shared" si="5"/>
        <v/>
      </c>
    </row>
    <row r="144" spans="5:20" ht="21">
      <c r="E144" s="32" t="s">
        <v>169</v>
      </c>
      <c r="F144" s="31"/>
      <c r="G144" s="22" t="s">
        <v>39</v>
      </c>
      <c r="H144" s="22" t="s">
        <v>19</v>
      </c>
      <c r="I144" s="22" t="s">
        <v>9</v>
      </c>
      <c r="J144" s="22" t="s">
        <v>21</v>
      </c>
      <c r="K144" s="22" t="s">
        <v>11</v>
      </c>
      <c r="L144" s="22" t="s">
        <v>17</v>
      </c>
      <c r="M144" s="22" t="s">
        <v>27</v>
      </c>
      <c r="N144" s="22" t="s">
        <v>7</v>
      </c>
      <c r="O144" s="40" t="s">
        <v>23</v>
      </c>
      <c r="P144" s="31"/>
      <c r="Q144" s="22" t="s">
        <v>40</v>
      </c>
      <c r="S144" s="18" t="str">
        <f t="shared" si="4"/>
        <v>CGPA</v>
      </c>
      <c r="T144" s="18">
        <f t="shared" si="5"/>
        <v>193.5</v>
      </c>
    </row>
    <row r="145" spans="5:20" ht="22.5">
      <c r="E145" s="21" t="s">
        <v>41</v>
      </c>
      <c r="F145" s="21" t="s">
        <v>170</v>
      </c>
      <c r="G145" s="11" t="s">
        <v>43</v>
      </c>
      <c r="H145" s="23" t="s">
        <v>171</v>
      </c>
      <c r="I145" s="23" t="s">
        <v>172</v>
      </c>
      <c r="J145" s="23" t="s">
        <v>173</v>
      </c>
      <c r="K145" s="23" t="s">
        <v>174</v>
      </c>
      <c r="L145" s="23" t="s">
        <v>131</v>
      </c>
      <c r="M145" s="23" t="s">
        <v>175</v>
      </c>
      <c r="N145" s="23" t="s">
        <v>176</v>
      </c>
      <c r="O145" s="30" t="s">
        <v>51</v>
      </c>
      <c r="P145" s="31"/>
      <c r="Q145" s="11" t="s">
        <v>37</v>
      </c>
      <c r="S145" s="18" t="str">
        <f t="shared" si="4"/>
        <v>Result: PASS</v>
      </c>
      <c r="T145" s="18">
        <f t="shared" si="5"/>
        <v>512</v>
      </c>
    </row>
    <row r="146" spans="5:20">
      <c r="E146" s="32" t="s">
        <v>177</v>
      </c>
      <c r="F146" s="33"/>
      <c r="G146" s="11" t="s">
        <v>53</v>
      </c>
      <c r="H146" s="23" t="s">
        <v>51</v>
      </c>
      <c r="I146" s="23" t="s">
        <v>51</v>
      </c>
      <c r="J146" s="23" t="s">
        <v>51</v>
      </c>
      <c r="K146" s="23" t="s">
        <v>51</v>
      </c>
      <c r="L146" s="23" t="s">
        <v>51</v>
      </c>
      <c r="M146" s="23" t="s">
        <v>51</v>
      </c>
      <c r="N146" s="23" t="s">
        <v>51</v>
      </c>
      <c r="O146" s="30" t="s">
        <v>178</v>
      </c>
      <c r="P146" s="31"/>
      <c r="Q146" s="11" t="s">
        <v>37</v>
      </c>
      <c r="S146" s="18" t="str">
        <f t="shared" si="4"/>
        <v>Class</v>
      </c>
      <c r="T146" s="18">
        <f t="shared" si="5"/>
        <v>700</v>
      </c>
    </row>
    <row r="147" spans="5:20">
      <c r="E147" s="34"/>
      <c r="F147" s="35"/>
      <c r="G147" s="11" t="s">
        <v>55</v>
      </c>
      <c r="H147" s="23" t="s">
        <v>37</v>
      </c>
      <c r="I147" s="23" t="s">
        <v>37</v>
      </c>
      <c r="J147" s="23" t="s">
        <v>37</v>
      </c>
      <c r="K147" s="23" t="s">
        <v>37</v>
      </c>
      <c r="L147" s="23" t="s">
        <v>37</v>
      </c>
      <c r="M147" s="23" t="s">
        <v>37</v>
      </c>
      <c r="N147" s="23" t="s">
        <v>37</v>
      </c>
      <c r="O147" s="30" t="s">
        <v>37</v>
      </c>
      <c r="P147" s="31"/>
      <c r="Q147" s="11">
        <v>0</v>
      </c>
      <c r="S147" s="18" t="str">
        <f t="shared" si="4"/>
        <v>Term Grade: AA+</v>
      </c>
      <c r="T147" s="18" t="str">
        <f t="shared" si="5"/>
        <v/>
      </c>
    </row>
    <row r="148" spans="5:20">
      <c r="E148" s="36"/>
      <c r="F148" s="37"/>
      <c r="G148" s="11" t="s">
        <v>56</v>
      </c>
      <c r="H148" s="23">
        <v>4</v>
      </c>
      <c r="I148" s="23">
        <v>4</v>
      </c>
      <c r="J148" s="23">
        <v>4</v>
      </c>
      <c r="K148" s="23">
        <v>3</v>
      </c>
      <c r="L148" s="23">
        <v>3</v>
      </c>
      <c r="M148" s="23">
        <v>3</v>
      </c>
      <c r="N148" s="23">
        <v>2</v>
      </c>
      <c r="O148" s="30">
        <v>2</v>
      </c>
      <c r="P148" s="31"/>
      <c r="Q148" s="11">
        <v>25</v>
      </c>
      <c r="S148" s="18" t="str">
        <f t="shared" si="4"/>
        <v>M.C.No</v>
      </c>
      <c r="T148" s="18" t="str">
        <f t="shared" si="5"/>
        <v/>
      </c>
    </row>
    <row r="149" spans="5:20">
      <c r="E149" s="21" t="s">
        <v>57</v>
      </c>
      <c r="F149" s="21">
        <v>7.74</v>
      </c>
      <c r="G149" s="11" t="s">
        <v>58</v>
      </c>
      <c r="H149" s="23">
        <v>7.5</v>
      </c>
      <c r="I149" s="23">
        <v>8.5</v>
      </c>
      <c r="J149" s="23">
        <v>8</v>
      </c>
      <c r="K149" s="23">
        <v>6</v>
      </c>
      <c r="L149" s="23">
        <v>6.5</v>
      </c>
      <c r="M149" s="23">
        <v>7</v>
      </c>
      <c r="N149" s="23">
        <v>10</v>
      </c>
      <c r="O149" s="30">
        <v>9.5</v>
      </c>
      <c r="P149" s="31"/>
      <c r="Q149" s="11" t="s">
        <v>37</v>
      </c>
      <c r="S149" s="18" t="str">
        <f t="shared" si="4"/>
        <v/>
      </c>
      <c r="T149" s="18" t="str">
        <f t="shared" si="5"/>
        <v/>
      </c>
    </row>
    <row r="150" spans="5:20">
      <c r="E150" s="21" t="s">
        <v>59</v>
      </c>
      <c r="F150" s="14">
        <v>7.74</v>
      </c>
      <c r="G150" s="11" t="s">
        <v>60</v>
      </c>
      <c r="H150" s="23">
        <v>30</v>
      </c>
      <c r="I150" s="23">
        <v>34</v>
      </c>
      <c r="J150" s="23">
        <v>32</v>
      </c>
      <c r="K150" s="23">
        <v>18</v>
      </c>
      <c r="L150" s="23">
        <v>19.5</v>
      </c>
      <c r="M150" s="23">
        <v>21</v>
      </c>
      <c r="N150" s="23">
        <v>20</v>
      </c>
      <c r="O150" s="30">
        <v>19</v>
      </c>
      <c r="P150" s="31"/>
      <c r="Q150" s="11">
        <v>193.5</v>
      </c>
      <c r="S150" s="18">
        <f t="shared" si="4"/>
        <v>0</v>
      </c>
      <c r="T150" s="18">
        <f t="shared" si="5"/>
        <v>0</v>
      </c>
    </row>
    <row r="151" spans="5:20">
      <c r="E151" s="32" t="s">
        <v>61</v>
      </c>
      <c r="F151" s="31"/>
      <c r="G151" s="11" t="s">
        <v>40</v>
      </c>
      <c r="H151" s="23">
        <v>70</v>
      </c>
      <c r="I151" s="23">
        <v>84</v>
      </c>
      <c r="J151" s="23">
        <v>78</v>
      </c>
      <c r="K151" s="23">
        <v>55</v>
      </c>
      <c r="L151" s="23">
        <v>64</v>
      </c>
      <c r="M151" s="23">
        <v>66</v>
      </c>
      <c r="N151" s="23">
        <v>48</v>
      </c>
      <c r="O151" s="30">
        <v>47</v>
      </c>
      <c r="P151" s="31"/>
      <c r="Q151" s="11">
        <v>512</v>
      </c>
      <c r="S151" s="18">
        <f t="shared" si="4"/>
        <v>0</v>
      </c>
      <c r="T151" s="18">
        <f t="shared" si="5"/>
        <v>0</v>
      </c>
    </row>
    <row r="152" spans="5:20">
      <c r="E152" s="21" t="s">
        <v>62</v>
      </c>
      <c r="F152" s="21"/>
      <c r="G152" s="11" t="s">
        <v>63</v>
      </c>
      <c r="H152" s="23">
        <v>100</v>
      </c>
      <c r="I152" s="23">
        <v>100</v>
      </c>
      <c r="J152" s="23">
        <v>100</v>
      </c>
      <c r="K152" s="23">
        <v>100</v>
      </c>
      <c r="L152" s="23">
        <v>100</v>
      </c>
      <c r="M152" s="23">
        <v>100</v>
      </c>
      <c r="N152" s="23">
        <v>50</v>
      </c>
      <c r="O152" s="30">
        <v>50</v>
      </c>
      <c r="P152" s="31"/>
      <c r="Q152" s="11">
        <v>700</v>
      </c>
      <c r="S152" s="18" t="str">
        <f t="shared" si="4"/>
        <v>Dr. B.B. Hegde First Grade College, Kundapura, Udupi.</v>
      </c>
      <c r="T152" s="18" t="str">
        <f t="shared" si="5"/>
        <v/>
      </c>
    </row>
    <row r="153" spans="5:20">
      <c r="E153" s="32" t="s">
        <v>64</v>
      </c>
      <c r="F153" s="31"/>
      <c r="G153" s="11" t="s">
        <v>65</v>
      </c>
      <c r="H153" s="23" t="s">
        <v>68</v>
      </c>
      <c r="I153" s="23" t="s">
        <v>70</v>
      </c>
      <c r="J153" s="23" t="s">
        <v>102</v>
      </c>
      <c r="K153" s="23" t="s">
        <v>103</v>
      </c>
      <c r="L153" s="23" t="s">
        <v>69</v>
      </c>
      <c r="M153" s="23" t="s">
        <v>66</v>
      </c>
      <c r="N153" s="23" t="s">
        <v>88</v>
      </c>
      <c r="O153" s="30" t="s">
        <v>71</v>
      </c>
      <c r="P153" s="31"/>
      <c r="Q153" s="11" t="s">
        <v>37</v>
      </c>
      <c r="S153" s="18" t="str">
        <f t="shared" si="4"/>
        <v>00011</v>
      </c>
      <c r="T153" s="18" t="str">
        <f t="shared" si="5"/>
        <v>Total</v>
      </c>
    </row>
    <row r="154" spans="5:20">
      <c r="E154" s="15" t="s">
        <v>72</v>
      </c>
      <c r="F154" s="15" t="s">
        <v>179</v>
      </c>
      <c r="G154" s="11" t="s">
        <v>74</v>
      </c>
      <c r="H154" s="23" t="s">
        <v>75</v>
      </c>
      <c r="I154" s="23" t="s">
        <v>75</v>
      </c>
      <c r="J154" s="23" t="s">
        <v>75</v>
      </c>
      <c r="K154" s="23" t="s">
        <v>75</v>
      </c>
      <c r="L154" s="23" t="s">
        <v>75</v>
      </c>
      <c r="M154" s="23" t="s">
        <v>75</v>
      </c>
      <c r="N154" s="23" t="s">
        <v>75</v>
      </c>
      <c r="O154" s="30" t="s">
        <v>75</v>
      </c>
      <c r="P154" s="31"/>
      <c r="Q154" s="11" t="s">
        <v>37</v>
      </c>
      <c r="S154" s="18" t="str">
        <f t="shared" si="4"/>
        <v>USN</v>
      </c>
      <c r="T154" s="18" t="str">
        <f t="shared" si="5"/>
        <v/>
      </c>
    </row>
    <row r="155" spans="5:20">
      <c r="E155" s="16" t="s">
        <v>37</v>
      </c>
      <c r="F155" s="16" t="s">
        <v>37</v>
      </c>
      <c r="G155" s="16" t="s">
        <v>37</v>
      </c>
      <c r="H155" s="24" t="s">
        <v>37</v>
      </c>
      <c r="I155" s="24" t="s">
        <v>37</v>
      </c>
      <c r="J155" s="24" t="s">
        <v>37</v>
      </c>
      <c r="K155" s="24" t="s">
        <v>37</v>
      </c>
      <c r="L155" s="24" t="s">
        <v>37</v>
      </c>
      <c r="M155" s="24" t="s">
        <v>37</v>
      </c>
      <c r="N155" s="24" t="s">
        <v>37</v>
      </c>
      <c r="O155" s="41" t="s">
        <v>37</v>
      </c>
      <c r="P155" s="28"/>
      <c r="Q155" s="24" t="s">
        <v>37</v>
      </c>
      <c r="S155" s="18" t="str">
        <f t="shared" si="4"/>
        <v>KAPIL M MALSEKAR</v>
      </c>
      <c r="T155" s="18" t="str">
        <f t="shared" si="5"/>
        <v/>
      </c>
    </row>
    <row r="156" spans="5:20" ht="0" hidden="1" customHeight="1">
      <c r="S156" s="18">
        <f t="shared" si="4"/>
        <v>0</v>
      </c>
      <c r="T156" s="18">
        <f t="shared" si="5"/>
        <v>0</v>
      </c>
    </row>
    <row r="157" spans="5:20" ht="0.6" customHeight="1">
      <c r="S157" s="18">
        <f t="shared" si="4"/>
        <v>0</v>
      </c>
      <c r="T157" s="18">
        <f t="shared" si="5"/>
        <v>25</v>
      </c>
    </row>
    <row r="158" spans="5:20">
      <c r="E158" s="38" t="s">
        <v>35</v>
      </c>
      <c r="F158" s="31"/>
      <c r="G158" s="19" t="s">
        <v>36</v>
      </c>
      <c r="H158" s="20" t="s">
        <v>37</v>
      </c>
      <c r="I158" s="20" t="s">
        <v>37</v>
      </c>
      <c r="J158" s="20" t="s">
        <v>37</v>
      </c>
      <c r="K158" s="20" t="s">
        <v>37</v>
      </c>
      <c r="L158" s="20" t="s">
        <v>37</v>
      </c>
      <c r="M158" s="20" t="s">
        <v>37</v>
      </c>
      <c r="N158" s="20" t="s">
        <v>37</v>
      </c>
      <c r="O158" s="39" t="s">
        <v>37</v>
      </c>
      <c r="P158" s="28"/>
      <c r="Q158" s="20" t="s">
        <v>37</v>
      </c>
      <c r="S158" s="18" t="str">
        <f t="shared" si="4"/>
        <v>SGPA</v>
      </c>
      <c r="T158" s="18" t="str">
        <f t="shared" si="5"/>
        <v/>
      </c>
    </row>
    <row r="159" spans="5:20" ht="21">
      <c r="E159" s="32" t="s">
        <v>180</v>
      </c>
      <c r="F159" s="31"/>
      <c r="G159" s="22" t="s">
        <v>39</v>
      </c>
      <c r="H159" s="22" t="s">
        <v>19</v>
      </c>
      <c r="I159" s="22" t="s">
        <v>9</v>
      </c>
      <c r="J159" s="22" t="s">
        <v>21</v>
      </c>
      <c r="K159" s="22" t="s">
        <v>11</v>
      </c>
      <c r="L159" s="22" t="s">
        <v>17</v>
      </c>
      <c r="M159" s="22" t="s">
        <v>27</v>
      </c>
      <c r="N159" s="22" t="s">
        <v>7</v>
      </c>
      <c r="O159" s="40" t="s">
        <v>23</v>
      </c>
      <c r="P159" s="31"/>
      <c r="Q159" s="22" t="s">
        <v>40</v>
      </c>
      <c r="S159" s="18" t="str">
        <f t="shared" si="4"/>
        <v>CGPA</v>
      </c>
      <c r="T159" s="18">
        <f t="shared" si="5"/>
        <v>216</v>
      </c>
    </row>
    <row r="160" spans="5:20" ht="22.5">
      <c r="E160" s="21" t="s">
        <v>41</v>
      </c>
      <c r="F160" s="21" t="s">
        <v>181</v>
      </c>
      <c r="G160" s="11" t="s">
        <v>43</v>
      </c>
      <c r="H160" s="23" t="s">
        <v>182</v>
      </c>
      <c r="I160" s="23" t="s">
        <v>183</v>
      </c>
      <c r="J160" s="23" t="s">
        <v>184</v>
      </c>
      <c r="K160" s="23" t="s">
        <v>121</v>
      </c>
      <c r="L160" s="23" t="s">
        <v>185</v>
      </c>
      <c r="M160" s="23" t="s">
        <v>186</v>
      </c>
      <c r="N160" s="23" t="s">
        <v>176</v>
      </c>
      <c r="O160" s="30" t="s">
        <v>51</v>
      </c>
      <c r="P160" s="31"/>
      <c r="Q160" s="11" t="s">
        <v>37</v>
      </c>
      <c r="S160" s="18" t="str">
        <f t="shared" si="4"/>
        <v>Result: PASS</v>
      </c>
      <c r="T160" s="18">
        <f t="shared" si="5"/>
        <v>582</v>
      </c>
    </row>
    <row r="161" spans="5:20">
      <c r="E161" s="32" t="s">
        <v>187</v>
      </c>
      <c r="F161" s="33"/>
      <c r="G161" s="11" t="s">
        <v>53</v>
      </c>
      <c r="H161" s="23" t="s">
        <v>51</v>
      </c>
      <c r="I161" s="23" t="s">
        <v>51</v>
      </c>
      <c r="J161" s="23" t="s">
        <v>51</v>
      </c>
      <c r="K161" s="23" t="s">
        <v>51</v>
      </c>
      <c r="L161" s="23" t="s">
        <v>51</v>
      </c>
      <c r="M161" s="23" t="s">
        <v>51</v>
      </c>
      <c r="N161" s="23" t="s">
        <v>51</v>
      </c>
      <c r="O161" s="30" t="s">
        <v>178</v>
      </c>
      <c r="P161" s="31"/>
      <c r="Q161" s="11" t="s">
        <v>37</v>
      </c>
      <c r="S161" s="18" t="str">
        <f t="shared" si="4"/>
        <v>Class</v>
      </c>
      <c r="T161" s="18">
        <f t="shared" si="5"/>
        <v>700</v>
      </c>
    </row>
    <row r="162" spans="5:20">
      <c r="E162" s="34"/>
      <c r="F162" s="35"/>
      <c r="G162" s="11" t="s">
        <v>55</v>
      </c>
      <c r="H162" s="23" t="s">
        <v>37</v>
      </c>
      <c r="I162" s="23" t="s">
        <v>37</v>
      </c>
      <c r="J162" s="23" t="s">
        <v>37</v>
      </c>
      <c r="K162" s="23" t="s">
        <v>37</v>
      </c>
      <c r="L162" s="23" t="s">
        <v>37</v>
      </c>
      <c r="M162" s="23" t="s">
        <v>37</v>
      </c>
      <c r="N162" s="23" t="s">
        <v>37</v>
      </c>
      <c r="O162" s="30" t="s">
        <v>37</v>
      </c>
      <c r="P162" s="31"/>
      <c r="Q162" s="11">
        <v>0</v>
      </c>
      <c r="S162" s="18" t="str">
        <f t="shared" si="4"/>
        <v>Term Grade: OA+</v>
      </c>
      <c r="T162" s="18" t="str">
        <f t="shared" si="5"/>
        <v/>
      </c>
    </row>
    <row r="163" spans="5:20">
      <c r="E163" s="36"/>
      <c r="F163" s="37"/>
      <c r="G163" s="11" t="s">
        <v>56</v>
      </c>
      <c r="H163" s="23">
        <v>4</v>
      </c>
      <c r="I163" s="23">
        <v>4</v>
      </c>
      <c r="J163" s="23">
        <v>4</v>
      </c>
      <c r="K163" s="23">
        <v>3</v>
      </c>
      <c r="L163" s="23">
        <v>3</v>
      </c>
      <c r="M163" s="23">
        <v>3</v>
      </c>
      <c r="N163" s="23">
        <v>2</v>
      </c>
      <c r="O163" s="30">
        <v>2</v>
      </c>
      <c r="P163" s="31"/>
      <c r="Q163" s="11">
        <v>25</v>
      </c>
      <c r="S163" s="18" t="str">
        <f t="shared" si="4"/>
        <v>M.C.No</v>
      </c>
      <c r="T163" s="18" t="str">
        <f t="shared" si="5"/>
        <v/>
      </c>
    </row>
    <row r="164" spans="5:20">
      <c r="E164" s="21" t="s">
        <v>57</v>
      </c>
      <c r="F164" s="21">
        <v>8.64</v>
      </c>
      <c r="G164" s="11" t="s">
        <v>58</v>
      </c>
      <c r="H164" s="23">
        <v>8</v>
      </c>
      <c r="I164" s="23">
        <v>9.5</v>
      </c>
      <c r="J164" s="23">
        <v>8</v>
      </c>
      <c r="K164" s="23">
        <v>7</v>
      </c>
      <c r="L164" s="23">
        <v>8.5</v>
      </c>
      <c r="M164" s="23">
        <v>9.5</v>
      </c>
      <c r="N164" s="23">
        <v>10</v>
      </c>
      <c r="O164" s="30">
        <v>9.5</v>
      </c>
      <c r="P164" s="31"/>
      <c r="Q164" s="11" t="s">
        <v>37</v>
      </c>
      <c r="S164" s="18" t="str">
        <f t="shared" si="4"/>
        <v/>
      </c>
      <c r="T164" s="18" t="str">
        <f t="shared" si="5"/>
        <v/>
      </c>
    </row>
    <row r="165" spans="5:20">
      <c r="E165" s="21" t="s">
        <v>59</v>
      </c>
      <c r="F165" s="14">
        <v>8.64</v>
      </c>
      <c r="G165" s="11" t="s">
        <v>60</v>
      </c>
      <c r="H165" s="23">
        <v>32</v>
      </c>
      <c r="I165" s="23">
        <v>38</v>
      </c>
      <c r="J165" s="23">
        <v>32</v>
      </c>
      <c r="K165" s="23">
        <v>21</v>
      </c>
      <c r="L165" s="23">
        <v>25.5</v>
      </c>
      <c r="M165" s="23">
        <v>28.5</v>
      </c>
      <c r="N165" s="23">
        <v>20</v>
      </c>
      <c r="O165" s="30">
        <v>19</v>
      </c>
      <c r="P165" s="31"/>
      <c r="Q165" s="11">
        <v>216</v>
      </c>
      <c r="S165" s="18">
        <f t="shared" si="4"/>
        <v>0</v>
      </c>
      <c r="T165" s="18">
        <f t="shared" si="5"/>
        <v>0</v>
      </c>
    </row>
    <row r="166" spans="5:20">
      <c r="E166" s="32" t="s">
        <v>61</v>
      </c>
      <c r="F166" s="31"/>
      <c r="G166" s="11" t="s">
        <v>40</v>
      </c>
      <c r="H166" s="23">
        <v>79</v>
      </c>
      <c r="I166" s="23">
        <v>94</v>
      </c>
      <c r="J166" s="23">
        <v>77</v>
      </c>
      <c r="K166" s="23">
        <v>65</v>
      </c>
      <c r="L166" s="23">
        <v>82</v>
      </c>
      <c r="M166" s="23">
        <v>90</v>
      </c>
      <c r="N166" s="23">
        <v>48</v>
      </c>
      <c r="O166" s="30">
        <v>47</v>
      </c>
      <c r="P166" s="31"/>
      <c r="Q166" s="11">
        <v>582</v>
      </c>
      <c r="S166" s="18">
        <f t="shared" si="4"/>
        <v>0</v>
      </c>
      <c r="T166" s="18">
        <f t="shared" si="5"/>
        <v>0</v>
      </c>
    </row>
    <row r="167" spans="5:20">
      <c r="E167" s="21" t="s">
        <v>62</v>
      </c>
      <c r="F167" s="21"/>
      <c r="G167" s="11" t="s">
        <v>63</v>
      </c>
      <c r="H167" s="23">
        <v>100</v>
      </c>
      <c r="I167" s="23">
        <v>100</v>
      </c>
      <c r="J167" s="23">
        <v>100</v>
      </c>
      <c r="K167" s="23">
        <v>100</v>
      </c>
      <c r="L167" s="23">
        <v>100</v>
      </c>
      <c r="M167" s="23">
        <v>100</v>
      </c>
      <c r="N167" s="23">
        <v>50</v>
      </c>
      <c r="O167" s="30">
        <v>50</v>
      </c>
      <c r="P167" s="31"/>
      <c r="Q167" s="11">
        <v>700</v>
      </c>
      <c r="S167" s="18" t="str">
        <f t="shared" si="4"/>
        <v>Dr. B.B. Hegde First Grade College, Kundapura, Udupi.</v>
      </c>
      <c r="T167" s="18" t="str">
        <f t="shared" si="5"/>
        <v/>
      </c>
    </row>
    <row r="168" spans="5:20">
      <c r="E168" s="32" t="s">
        <v>188</v>
      </c>
      <c r="F168" s="31"/>
      <c r="G168" s="11" t="s">
        <v>65</v>
      </c>
      <c r="H168" s="23" t="s">
        <v>102</v>
      </c>
      <c r="I168" s="23" t="s">
        <v>71</v>
      </c>
      <c r="J168" s="23" t="s">
        <v>102</v>
      </c>
      <c r="K168" s="23" t="s">
        <v>66</v>
      </c>
      <c r="L168" s="23" t="s">
        <v>70</v>
      </c>
      <c r="M168" s="23" t="s">
        <v>71</v>
      </c>
      <c r="N168" s="23" t="s">
        <v>88</v>
      </c>
      <c r="O168" s="30" t="s">
        <v>71</v>
      </c>
      <c r="P168" s="31"/>
      <c r="Q168" s="11" t="s">
        <v>37</v>
      </c>
      <c r="S168" s="18" t="str">
        <f t="shared" si="4"/>
        <v>00012</v>
      </c>
      <c r="T168" s="18" t="str">
        <f t="shared" si="5"/>
        <v>Total</v>
      </c>
    </row>
    <row r="169" spans="5:20">
      <c r="E169" s="15" t="s">
        <v>72</v>
      </c>
      <c r="F169" s="15" t="s">
        <v>189</v>
      </c>
      <c r="G169" s="11" t="s">
        <v>74</v>
      </c>
      <c r="H169" s="23" t="s">
        <v>75</v>
      </c>
      <c r="I169" s="23" t="s">
        <v>75</v>
      </c>
      <c r="J169" s="23" t="s">
        <v>75</v>
      </c>
      <c r="K169" s="23" t="s">
        <v>75</v>
      </c>
      <c r="L169" s="23" t="s">
        <v>75</v>
      </c>
      <c r="M169" s="23" t="s">
        <v>75</v>
      </c>
      <c r="N169" s="23" t="s">
        <v>75</v>
      </c>
      <c r="O169" s="30" t="s">
        <v>75</v>
      </c>
      <c r="P169" s="31"/>
      <c r="Q169" s="11" t="s">
        <v>37</v>
      </c>
      <c r="S169" s="18" t="str">
        <f t="shared" si="4"/>
        <v>USN</v>
      </c>
      <c r="T169" s="18" t="str">
        <f t="shared" si="5"/>
        <v/>
      </c>
    </row>
    <row r="170" spans="5:20">
      <c r="E170" s="16" t="s">
        <v>37</v>
      </c>
      <c r="F170" s="16" t="s">
        <v>37</v>
      </c>
      <c r="G170" s="16" t="s">
        <v>37</v>
      </c>
      <c r="H170" s="24" t="s">
        <v>37</v>
      </c>
      <c r="I170" s="24" t="s">
        <v>37</v>
      </c>
      <c r="J170" s="24" t="s">
        <v>37</v>
      </c>
      <c r="K170" s="24" t="s">
        <v>37</v>
      </c>
      <c r="L170" s="24" t="s">
        <v>37</v>
      </c>
      <c r="M170" s="24" t="s">
        <v>37</v>
      </c>
      <c r="N170" s="24" t="s">
        <v>37</v>
      </c>
      <c r="O170" s="41" t="s">
        <v>37</v>
      </c>
      <c r="P170" s="28"/>
      <c r="Q170" s="24" t="s">
        <v>37</v>
      </c>
      <c r="S170" s="18" t="str">
        <f t="shared" si="4"/>
        <v>SINCHANA</v>
      </c>
      <c r="T170" s="18" t="str">
        <f t="shared" si="5"/>
        <v/>
      </c>
    </row>
    <row r="171" spans="5:20" ht="0" hidden="1" customHeight="1">
      <c r="S171" s="18">
        <f t="shared" si="4"/>
        <v>0</v>
      </c>
      <c r="T171" s="18">
        <f t="shared" si="5"/>
        <v>0</v>
      </c>
    </row>
    <row r="172" spans="5:20" ht="0.6" customHeight="1">
      <c r="S172" s="18">
        <f t="shared" si="4"/>
        <v>0</v>
      </c>
      <c r="T172" s="18">
        <f t="shared" si="5"/>
        <v>25</v>
      </c>
    </row>
    <row r="173" spans="5:20">
      <c r="E173" s="38" t="s">
        <v>35</v>
      </c>
      <c r="F173" s="31"/>
      <c r="G173" s="19" t="s">
        <v>36</v>
      </c>
      <c r="H173" s="20" t="s">
        <v>37</v>
      </c>
      <c r="I173" s="20" t="s">
        <v>37</v>
      </c>
      <c r="J173" s="20" t="s">
        <v>37</v>
      </c>
      <c r="K173" s="20" t="s">
        <v>37</v>
      </c>
      <c r="L173" s="20" t="s">
        <v>37</v>
      </c>
      <c r="M173" s="20" t="s">
        <v>37</v>
      </c>
      <c r="N173" s="20" t="s">
        <v>37</v>
      </c>
      <c r="O173" s="39" t="s">
        <v>37</v>
      </c>
      <c r="P173" s="28"/>
      <c r="Q173" s="20" t="s">
        <v>37</v>
      </c>
      <c r="S173" s="18" t="str">
        <f t="shared" si="4"/>
        <v>SGPA</v>
      </c>
      <c r="T173" s="18" t="str">
        <f t="shared" si="5"/>
        <v/>
      </c>
    </row>
    <row r="174" spans="5:20" ht="21">
      <c r="E174" s="32" t="s">
        <v>190</v>
      </c>
      <c r="F174" s="31"/>
      <c r="G174" s="22" t="s">
        <v>39</v>
      </c>
      <c r="H174" s="22" t="s">
        <v>19</v>
      </c>
      <c r="I174" s="22" t="s">
        <v>9</v>
      </c>
      <c r="J174" s="22" t="s">
        <v>21</v>
      </c>
      <c r="K174" s="22" t="s">
        <v>11</v>
      </c>
      <c r="L174" s="22" t="s">
        <v>17</v>
      </c>
      <c r="M174" s="22" t="s">
        <v>27</v>
      </c>
      <c r="N174" s="22" t="s">
        <v>7</v>
      </c>
      <c r="O174" s="40" t="s">
        <v>23</v>
      </c>
      <c r="P174" s="31"/>
      <c r="Q174" s="22" t="s">
        <v>40</v>
      </c>
      <c r="S174" s="18" t="str">
        <f t="shared" si="4"/>
        <v>CGPA</v>
      </c>
      <c r="T174" s="18">
        <f t="shared" si="5"/>
        <v>203.5</v>
      </c>
    </row>
    <row r="175" spans="5:20" ht="22.5">
      <c r="E175" s="21" t="s">
        <v>41</v>
      </c>
      <c r="F175" s="21" t="s">
        <v>191</v>
      </c>
      <c r="G175" s="11" t="s">
        <v>43</v>
      </c>
      <c r="H175" s="23" t="s">
        <v>192</v>
      </c>
      <c r="I175" s="23" t="s">
        <v>172</v>
      </c>
      <c r="J175" s="23" t="s">
        <v>193</v>
      </c>
      <c r="K175" s="23" t="s">
        <v>194</v>
      </c>
      <c r="L175" s="23" t="s">
        <v>195</v>
      </c>
      <c r="M175" s="23" t="s">
        <v>196</v>
      </c>
      <c r="N175" s="23" t="s">
        <v>197</v>
      </c>
      <c r="O175" s="30" t="s">
        <v>51</v>
      </c>
      <c r="P175" s="31"/>
      <c r="Q175" s="11" t="s">
        <v>37</v>
      </c>
      <c r="S175" s="18" t="str">
        <f t="shared" si="4"/>
        <v>Result: PASS</v>
      </c>
      <c r="T175" s="18">
        <f t="shared" si="5"/>
        <v>547</v>
      </c>
    </row>
    <row r="176" spans="5:20">
      <c r="E176" s="32" t="s">
        <v>198</v>
      </c>
      <c r="F176" s="33"/>
      <c r="G176" s="11" t="s">
        <v>53</v>
      </c>
      <c r="H176" s="23" t="s">
        <v>51</v>
      </c>
      <c r="I176" s="23" t="s">
        <v>51</v>
      </c>
      <c r="J176" s="23" t="s">
        <v>51</v>
      </c>
      <c r="K176" s="23" t="s">
        <v>51</v>
      </c>
      <c r="L176" s="23" t="s">
        <v>51</v>
      </c>
      <c r="M176" s="23" t="s">
        <v>51</v>
      </c>
      <c r="N176" s="23" t="s">
        <v>51</v>
      </c>
      <c r="O176" s="30" t="s">
        <v>199</v>
      </c>
      <c r="P176" s="31"/>
      <c r="Q176" s="11" t="s">
        <v>37</v>
      </c>
      <c r="S176" s="18" t="str">
        <f t="shared" si="4"/>
        <v>Class</v>
      </c>
      <c r="T176" s="18">
        <f t="shared" si="5"/>
        <v>700</v>
      </c>
    </row>
    <row r="177" spans="5:20">
      <c r="E177" s="34"/>
      <c r="F177" s="35"/>
      <c r="G177" s="11" t="s">
        <v>55</v>
      </c>
      <c r="H177" s="23" t="s">
        <v>37</v>
      </c>
      <c r="I177" s="23" t="s">
        <v>37</v>
      </c>
      <c r="J177" s="23" t="s">
        <v>37</v>
      </c>
      <c r="K177" s="23" t="s">
        <v>37</v>
      </c>
      <c r="L177" s="23" t="s">
        <v>37</v>
      </c>
      <c r="M177" s="23" t="s">
        <v>37</v>
      </c>
      <c r="N177" s="23" t="s">
        <v>37</v>
      </c>
      <c r="O177" s="30" t="s">
        <v>37</v>
      </c>
      <c r="P177" s="31"/>
      <c r="Q177" s="11">
        <v>0</v>
      </c>
      <c r="S177" s="18" t="str">
        <f t="shared" si="4"/>
        <v>Term Grade: OA</v>
      </c>
      <c r="T177" s="18" t="str">
        <f t="shared" si="5"/>
        <v/>
      </c>
    </row>
    <row r="178" spans="5:20">
      <c r="E178" s="36"/>
      <c r="F178" s="37"/>
      <c r="G178" s="11" t="s">
        <v>56</v>
      </c>
      <c r="H178" s="23">
        <v>4</v>
      </c>
      <c r="I178" s="23">
        <v>4</v>
      </c>
      <c r="J178" s="23">
        <v>4</v>
      </c>
      <c r="K178" s="23">
        <v>3</v>
      </c>
      <c r="L178" s="23">
        <v>3</v>
      </c>
      <c r="M178" s="23">
        <v>3</v>
      </c>
      <c r="N178" s="23">
        <v>2</v>
      </c>
      <c r="O178" s="30">
        <v>2</v>
      </c>
      <c r="P178" s="31"/>
      <c r="Q178" s="11">
        <v>25</v>
      </c>
      <c r="S178" s="18" t="str">
        <f t="shared" si="4"/>
        <v>M.C.No</v>
      </c>
      <c r="T178" s="18" t="str">
        <f t="shared" si="5"/>
        <v/>
      </c>
    </row>
    <row r="179" spans="5:20">
      <c r="E179" s="21" t="s">
        <v>57</v>
      </c>
      <c r="F179" s="21">
        <v>8.14</v>
      </c>
      <c r="G179" s="11" t="s">
        <v>58</v>
      </c>
      <c r="H179" s="23">
        <v>8.5</v>
      </c>
      <c r="I179" s="23">
        <v>8.5</v>
      </c>
      <c r="J179" s="23">
        <v>7</v>
      </c>
      <c r="K179" s="23">
        <v>7.5</v>
      </c>
      <c r="L179" s="23">
        <v>9.5</v>
      </c>
      <c r="M179" s="23">
        <v>6.5</v>
      </c>
      <c r="N179" s="23">
        <v>8.5</v>
      </c>
      <c r="O179" s="30">
        <v>10</v>
      </c>
      <c r="P179" s="31"/>
      <c r="Q179" s="11" t="s">
        <v>37</v>
      </c>
      <c r="S179" s="18" t="str">
        <f t="shared" si="4"/>
        <v/>
      </c>
      <c r="T179" s="18" t="str">
        <f t="shared" si="5"/>
        <v/>
      </c>
    </row>
    <row r="180" spans="5:20">
      <c r="E180" s="21" t="s">
        <v>59</v>
      </c>
      <c r="F180" s="14">
        <v>8.14</v>
      </c>
      <c r="G180" s="11" t="s">
        <v>60</v>
      </c>
      <c r="H180" s="23">
        <v>34</v>
      </c>
      <c r="I180" s="23">
        <v>34</v>
      </c>
      <c r="J180" s="23">
        <v>28</v>
      </c>
      <c r="K180" s="23">
        <v>22.5</v>
      </c>
      <c r="L180" s="23">
        <v>28.5</v>
      </c>
      <c r="M180" s="23">
        <v>19.5</v>
      </c>
      <c r="N180" s="23">
        <v>17</v>
      </c>
      <c r="O180" s="30">
        <v>20</v>
      </c>
      <c r="P180" s="31"/>
      <c r="Q180" s="11">
        <v>203.5</v>
      </c>
      <c r="S180" s="18">
        <f t="shared" si="4"/>
        <v>0</v>
      </c>
      <c r="T180" s="18">
        <f t="shared" si="5"/>
        <v>0</v>
      </c>
    </row>
    <row r="181" spans="5:20">
      <c r="E181" s="32" t="s">
        <v>61</v>
      </c>
      <c r="F181" s="31"/>
      <c r="G181" s="11" t="s">
        <v>40</v>
      </c>
      <c r="H181" s="23">
        <v>80</v>
      </c>
      <c r="I181" s="23">
        <v>84</v>
      </c>
      <c r="J181" s="23">
        <v>68</v>
      </c>
      <c r="K181" s="23">
        <v>72</v>
      </c>
      <c r="L181" s="23">
        <v>91</v>
      </c>
      <c r="M181" s="23">
        <v>61</v>
      </c>
      <c r="N181" s="23">
        <v>42</v>
      </c>
      <c r="O181" s="30">
        <v>49</v>
      </c>
      <c r="P181" s="31"/>
      <c r="Q181" s="11">
        <v>547</v>
      </c>
      <c r="S181" s="18">
        <f t="shared" si="4"/>
        <v>0</v>
      </c>
      <c r="T181" s="18">
        <f t="shared" si="5"/>
        <v>0</v>
      </c>
    </row>
    <row r="182" spans="5:20">
      <c r="E182" s="21" t="s">
        <v>62</v>
      </c>
      <c r="F182" s="21"/>
      <c r="G182" s="11" t="s">
        <v>63</v>
      </c>
      <c r="H182" s="23">
        <v>100</v>
      </c>
      <c r="I182" s="23">
        <v>100</v>
      </c>
      <c r="J182" s="23">
        <v>100</v>
      </c>
      <c r="K182" s="23">
        <v>100</v>
      </c>
      <c r="L182" s="23">
        <v>100</v>
      </c>
      <c r="M182" s="23">
        <v>100</v>
      </c>
      <c r="N182" s="23">
        <v>50</v>
      </c>
      <c r="O182" s="30">
        <v>50</v>
      </c>
      <c r="P182" s="31"/>
      <c r="Q182" s="11">
        <v>700</v>
      </c>
      <c r="S182" s="18" t="str">
        <f t="shared" si="4"/>
        <v>Dr. B.B. Hegde First Grade College, Kundapura, Udupi.</v>
      </c>
      <c r="T182" s="18" t="str">
        <f t="shared" si="5"/>
        <v/>
      </c>
    </row>
    <row r="183" spans="5:20">
      <c r="E183" s="32" t="s">
        <v>200</v>
      </c>
      <c r="F183" s="31"/>
      <c r="G183" s="11" t="s">
        <v>65</v>
      </c>
      <c r="H183" s="23" t="s">
        <v>70</v>
      </c>
      <c r="I183" s="23" t="s">
        <v>70</v>
      </c>
      <c r="J183" s="23" t="s">
        <v>66</v>
      </c>
      <c r="K183" s="23" t="s">
        <v>68</v>
      </c>
      <c r="L183" s="23" t="s">
        <v>71</v>
      </c>
      <c r="M183" s="23" t="s">
        <v>69</v>
      </c>
      <c r="N183" s="23" t="s">
        <v>70</v>
      </c>
      <c r="O183" s="30" t="s">
        <v>88</v>
      </c>
      <c r="P183" s="31"/>
      <c r="Q183" s="11" t="s">
        <v>37</v>
      </c>
      <c r="S183" s="18" t="str">
        <f t="shared" si="4"/>
        <v>00013</v>
      </c>
      <c r="T183" s="18" t="str">
        <f t="shared" si="5"/>
        <v>Total</v>
      </c>
    </row>
    <row r="184" spans="5:20">
      <c r="E184" s="15" t="s">
        <v>72</v>
      </c>
      <c r="F184" s="15" t="s">
        <v>201</v>
      </c>
      <c r="G184" s="11" t="s">
        <v>74</v>
      </c>
      <c r="H184" s="23" t="s">
        <v>75</v>
      </c>
      <c r="I184" s="23" t="s">
        <v>75</v>
      </c>
      <c r="J184" s="23" t="s">
        <v>75</v>
      </c>
      <c r="K184" s="23" t="s">
        <v>75</v>
      </c>
      <c r="L184" s="23" t="s">
        <v>75</v>
      </c>
      <c r="M184" s="23" t="s">
        <v>75</v>
      </c>
      <c r="N184" s="23" t="s">
        <v>75</v>
      </c>
      <c r="O184" s="30" t="s">
        <v>75</v>
      </c>
      <c r="P184" s="31"/>
      <c r="Q184" s="11" t="s">
        <v>37</v>
      </c>
      <c r="S184" s="18" t="str">
        <f t="shared" si="4"/>
        <v>USN</v>
      </c>
      <c r="T184" s="18" t="str">
        <f t="shared" si="5"/>
        <v/>
      </c>
    </row>
    <row r="185" spans="5:20">
      <c r="E185" s="16" t="s">
        <v>37</v>
      </c>
      <c r="F185" s="16" t="s">
        <v>37</v>
      </c>
      <c r="G185" s="16" t="s">
        <v>37</v>
      </c>
      <c r="H185" s="24" t="s">
        <v>37</v>
      </c>
      <c r="I185" s="24" t="s">
        <v>37</v>
      </c>
      <c r="J185" s="24" t="s">
        <v>37</v>
      </c>
      <c r="K185" s="24" t="s">
        <v>37</v>
      </c>
      <c r="L185" s="24" t="s">
        <v>37</v>
      </c>
      <c r="M185" s="24" t="s">
        <v>37</v>
      </c>
      <c r="N185" s="24" t="s">
        <v>37</v>
      </c>
      <c r="O185" s="41" t="s">
        <v>37</v>
      </c>
      <c r="P185" s="28"/>
      <c r="Q185" s="24" t="s">
        <v>37</v>
      </c>
      <c r="S185" s="18" t="str">
        <f t="shared" si="4"/>
        <v>RACHANA</v>
      </c>
      <c r="T185" s="18" t="str">
        <f t="shared" si="5"/>
        <v/>
      </c>
    </row>
    <row r="186" spans="5:20" ht="0" hidden="1" customHeight="1">
      <c r="S186" s="18">
        <f t="shared" si="4"/>
        <v>0</v>
      </c>
      <c r="T186" s="18">
        <f t="shared" si="5"/>
        <v>0</v>
      </c>
    </row>
    <row r="187" spans="5:20" ht="0.6" customHeight="1">
      <c r="S187" s="18">
        <f t="shared" si="4"/>
        <v>0</v>
      </c>
      <c r="T187" s="18">
        <f t="shared" si="5"/>
        <v>25</v>
      </c>
    </row>
    <row r="188" spans="5:20">
      <c r="E188" s="38" t="s">
        <v>35</v>
      </c>
      <c r="F188" s="31"/>
      <c r="G188" s="19" t="s">
        <v>36</v>
      </c>
      <c r="H188" s="20" t="s">
        <v>37</v>
      </c>
      <c r="I188" s="20" t="s">
        <v>37</v>
      </c>
      <c r="J188" s="20" t="s">
        <v>37</v>
      </c>
      <c r="K188" s="20" t="s">
        <v>37</v>
      </c>
      <c r="L188" s="20" t="s">
        <v>37</v>
      </c>
      <c r="M188" s="20" t="s">
        <v>37</v>
      </c>
      <c r="N188" s="20" t="s">
        <v>37</v>
      </c>
      <c r="O188" s="39" t="s">
        <v>37</v>
      </c>
      <c r="P188" s="28"/>
      <c r="Q188" s="20" t="s">
        <v>37</v>
      </c>
      <c r="S188" s="18" t="str">
        <f t="shared" si="4"/>
        <v>SGPA</v>
      </c>
      <c r="T188" s="18" t="str">
        <f t="shared" si="5"/>
        <v/>
      </c>
    </row>
    <row r="189" spans="5:20" ht="21">
      <c r="E189" s="32" t="s">
        <v>202</v>
      </c>
      <c r="F189" s="31"/>
      <c r="G189" s="22" t="s">
        <v>39</v>
      </c>
      <c r="H189" s="22" t="s">
        <v>19</v>
      </c>
      <c r="I189" s="22" t="s">
        <v>9</v>
      </c>
      <c r="J189" s="22" t="s">
        <v>21</v>
      </c>
      <c r="K189" s="22" t="s">
        <v>11</v>
      </c>
      <c r="L189" s="22" t="s">
        <v>15</v>
      </c>
      <c r="M189" s="22" t="s">
        <v>27</v>
      </c>
      <c r="N189" s="22" t="s">
        <v>7</v>
      </c>
      <c r="O189" s="40" t="s">
        <v>33</v>
      </c>
      <c r="P189" s="31"/>
      <c r="Q189" s="22" t="s">
        <v>40</v>
      </c>
      <c r="S189" s="18" t="str">
        <f t="shared" si="4"/>
        <v>CGPA</v>
      </c>
      <c r="T189" s="18">
        <f t="shared" si="5"/>
        <v>219</v>
      </c>
    </row>
    <row r="190" spans="5:20" ht="22.5">
      <c r="E190" s="21" t="s">
        <v>41</v>
      </c>
      <c r="F190" s="21" t="s">
        <v>203</v>
      </c>
      <c r="G190" s="11" t="s">
        <v>43</v>
      </c>
      <c r="H190" s="23" t="s">
        <v>204</v>
      </c>
      <c r="I190" s="23" t="s">
        <v>205</v>
      </c>
      <c r="J190" s="23" t="s">
        <v>206</v>
      </c>
      <c r="K190" s="23" t="s">
        <v>207</v>
      </c>
      <c r="L190" s="23" t="s">
        <v>78</v>
      </c>
      <c r="M190" s="23" t="s">
        <v>208</v>
      </c>
      <c r="N190" s="23" t="s">
        <v>209</v>
      </c>
      <c r="O190" s="30" t="s">
        <v>51</v>
      </c>
      <c r="P190" s="31"/>
      <c r="Q190" s="11" t="s">
        <v>37</v>
      </c>
      <c r="S190" s="18" t="str">
        <f t="shared" si="4"/>
        <v>Result: PASS</v>
      </c>
      <c r="T190" s="18">
        <f t="shared" si="5"/>
        <v>591</v>
      </c>
    </row>
    <row r="191" spans="5:20">
      <c r="E191" s="32" t="s">
        <v>210</v>
      </c>
      <c r="F191" s="33"/>
      <c r="G191" s="11" t="s">
        <v>53</v>
      </c>
      <c r="H191" s="23" t="s">
        <v>51</v>
      </c>
      <c r="I191" s="23" t="s">
        <v>51</v>
      </c>
      <c r="J191" s="23" t="s">
        <v>51</v>
      </c>
      <c r="K191" s="23" t="s">
        <v>51</v>
      </c>
      <c r="L191" s="23" t="s">
        <v>51</v>
      </c>
      <c r="M191" s="23" t="s">
        <v>51</v>
      </c>
      <c r="N191" s="23" t="s">
        <v>51</v>
      </c>
      <c r="O191" s="30" t="s">
        <v>100</v>
      </c>
      <c r="P191" s="31"/>
      <c r="Q191" s="11" t="s">
        <v>37</v>
      </c>
      <c r="S191" s="18" t="str">
        <f t="shared" si="4"/>
        <v>Class</v>
      </c>
      <c r="T191" s="18">
        <f t="shared" si="5"/>
        <v>700</v>
      </c>
    </row>
    <row r="192" spans="5:20">
      <c r="E192" s="34"/>
      <c r="F192" s="35"/>
      <c r="G192" s="11" t="s">
        <v>55</v>
      </c>
      <c r="H192" s="23" t="s">
        <v>37</v>
      </c>
      <c r="I192" s="23" t="s">
        <v>37</v>
      </c>
      <c r="J192" s="23" t="s">
        <v>37</v>
      </c>
      <c r="K192" s="23" t="s">
        <v>37</v>
      </c>
      <c r="L192" s="23" t="s">
        <v>37</v>
      </c>
      <c r="M192" s="23" t="s">
        <v>37</v>
      </c>
      <c r="N192" s="23" t="s">
        <v>37</v>
      </c>
      <c r="O192" s="30" t="s">
        <v>37</v>
      </c>
      <c r="P192" s="31"/>
      <c r="Q192" s="11">
        <v>0</v>
      </c>
      <c r="S192" s="18" t="str">
        <f t="shared" si="4"/>
        <v>Term Grade: OA+</v>
      </c>
      <c r="T192" s="18" t="str">
        <f t="shared" si="5"/>
        <v/>
      </c>
    </row>
    <row r="193" spans="5:20">
      <c r="E193" s="36"/>
      <c r="F193" s="37"/>
      <c r="G193" s="11" t="s">
        <v>56</v>
      </c>
      <c r="H193" s="23">
        <v>4</v>
      </c>
      <c r="I193" s="23">
        <v>4</v>
      </c>
      <c r="J193" s="23">
        <v>4</v>
      </c>
      <c r="K193" s="23">
        <v>3</v>
      </c>
      <c r="L193" s="23">
        <v>3</v>
      </c>
      <c r="M193" s="23">
        <v>3</v>
      </c>
      <c r="N193" s="23">
        <v>2</v>
      </c>
      <c r="O193" s="30">
        <v>2</v>
      </c>
      <c r="P193" s="31"/>
      <c r="Q193" s="11">
        <v>25</v>
      </c>
      <c r="S193" s="18" t="str">
        <f t="shared" si="4"/>
        <v>M.C.No</v>
      </c>
      <c r="T193" s="18" t="str">
        <f t="shared" si="5"/>
        <v/>
      </c>
    </row>
    <row r="194" spans="5:20">
      <c r="E194" s="21" t="s">
        <v>57</v>
      </c>
      <c r="F194" s="21">
        <v>8.76</v>
      </c>
      <c r="G194" s="11" t="s">
        <v>58</v>
      </c>
      <c r="H194" s="23">
        <v>8.5</v>
      </c>
      <c r="I194" s="23">
        <v>9.5</v>
      </c>
      <c r="J194" s="23">
        <v>8</v>
      </c>
      <c r="K194" s="23">
        <v>7.5</v>
      </c>
      <c r="L194" s="23">
        <v>9</v>
      </c>
      <c r="M194" s="23">
        <v>8.5</v>
      </c>
      <c r="N194" s="23">
        <v>10</v>
      </c>
      <c r="O194" s="30">
        <v>10</v>
      </c>
      <c r="P194" s="31"/>
      <c r="Q194" s="11" t="s">
        <v>37</v>
      </c>
      <c r="S194" s="18" t="str">
        <f t="shared" si="4"/>
        <v/>
      </c>
      <c r="T194" s="18" t="str">
        <f t="shared" si="5"/>
        <v/>
      </c>
    </row>
    <row r="195" spans="5:20">
      <c r="E195" s="21" t="s">
        <v>59</v>
      </c>
      <c r="F195" s="14">
        <v>8.76</v>
      </c>
      <c r="G195" s="11" t="s">
        <v>60</v>
      </c>
      <c r="H195" s="23">
        <v>34</v>
      </c>
      <c r="I195" s="23">
        <v>38</v>
      </c>
      <c r="J195" s="23">
        <v>32</v>
      </c>
      <c r="K195" s="23">
        <v>22.5</v>
      </c>
      <c r="L195" s="23">
        <v>27</v>
      </c>
      <c r="M195" s="23">
        <v>25.5</v>
      </c>
      <c r="N195" s="23">
        <v>20</v>
      </c>
      <c r="O195" s="30">
        <v>20</v>
      </c>
      <c r="P195" s="31"/>
      <c r="Q195" s="11">
        <v>219</v>
      </c>
      <c r="S195" s="18">
        <f t="shared" si="4"/>
        <v>0</v>
      </c>
      <c r="T195" s="18">
        <f t="shared" si="5"/>
        <v>0</v>
      </c>
    </row>
    <row r="196" spans="5:20">
      <c r="E196" s="32" t="s">
        <v>61</v>
      </c>
      <c r="F196" s="31"/>
      <c r="G196" s="11" t="s">
        <v>40</v>
      </c>
      <c r="H196" s="23">
        <v>82</v>
      </c>
      <c r="I196" s="23">
        <v>90</v>
      </c>
      <c r="J196" s="23">
        <v>76</v>
      </c>
      <c r="K196" s="23">
        <v>73</v>
      </c>
      <c r="L196" s="23">
        <v>86</v>
      </c>
      <c r="M196" s="23">
        <v>84</v>
      </c>
      <c r="N196" s="23">
        <v>50</v>
      </c>
      <c r="O196" s="30">
        <v>50</v>
      </c>
      <c r="P196" s="31"/>
      <c r="Q196" s="11">
        <v>591</v>
      </c>
      <c r="S196" s="18" t="str">
        <f t="shared" si="4"/>
        <v>Dr. B.B. Hegde First Grade College, Kundapura, Udupi.</v>
      </c>
      <c r="T196" s="18" t="str">
        <f t="shared" si="5"/>
        <v/>
      </c>
    </row>
    <row r="197" spans="5:20">
      <c r="E197" s="21" t="s">
        <v>62</v>
      </c>
      <c r="F197" s="21"/>
      <c r="G197" s="11" t="s">
        <v>63</v>
      </c>
      <c r="H197" s="23">
        <v>100</v>
      </c>
      <c r="I197" s="23">
        <v>100</v>
      </c>
      <c r="J197" s="23">
        <v>100</v>
      </c>
      <c r="K197" s="23">
        <v>100</v>
      </c>
      <c r="L197" s="23">
        <v>100</v>
      </c>
      <c r="M197" s="23">
        <v>100</v>
      </c>
      <c r="N197" s="23">
        <v>50</v>
      </c>
      <c r="O197" s="30">
        <v>50</v>
      </c>
      <c r="P197" s="31"/>
      <c r="Q197" s="11">
        <v>700</v>
      </c>
      <c r="S197" s="18" t="str">
        <f t="shared" si="4"/>
        <v>00014</v>
      </c>
      <c r="T197" s="18" t="str">
        <f t="shared" si="5"/>
        <v>Total</v>
      </c>
    </row>
    <row r="198" spans="5:20">
      <c r="E198" s="32" t="s">
        <v>188</v>
      </c>
      <c r="F198" s="31"/>
      <c r="G198" s="11" t="s">
        <v>65</v>
      </c>
      <c r="H198" s="23" t="s">
        <v>70</v>
      </c>
      <c r="I198" s="23" t="s">
        <v>71</v>
      </c>
      <c r="J198" s="23" t="s">
        <v>102</v>
      </c>
      <c r="K198" s="23" t="s">
        <v>68</v>
      </c>
      <c r="L198" s="23" t="s">
        <v>67</v>
      </c>
      <c r="M198" s="23" t="s">
        <v>70</v>
      </c>
      <c r="N198" s="23" t="s">
        <v>88</v>
      </c>
      <c r="O198" s="30" t="s">
        <v>88</v>
      </c>
      <c r="P198" s="31"/>
      <c r="Q198" s="11" t="s">
        <v>37</v>
      </c>
      <c r="S198" s="18" t="str">
        <f t="shared" si="4"/>
        <v>USN</v>
      </c>
      <c r="T198" s="18" t="str">
        <f t="shared" si="5"/>
        <v/>
      </c>
    </row>
    <row r="199" spans="5:20">
      <c r="E199" s="15" t="s">
        <v>72</v>
      </c>
      <c r="F199" s="15" t="s">
        <v>211</v>
      </c>
      <c r="G199" s="11" t="s">
        <v>74</v>
      </c>
      <c r="H199" s="23" t="s">
        <v>75</v>
      </c>
      <c r="I199" s="23" t="s">
        <v>75</v>
      </c>
      <c r="J199" s="23" t="s">
        <v>75</v>
      </c>
      <c r="K199" s="23" t="s">
        <v>75</v>
      </c>
      <c r="L199" s="23" t="s">
        <v>75</v>
      </c>
      <c r="M199" s="23" t="s">
        <v>75</v>
      </c>
      <c r="N199" s="23" t="s">
        <v>75</v>
      </c>
      <c r="O199" s="30" t="s">
        <v>75</v>
      </c>
      <c r="P199" s="31"/>
      <c r="Q199" s="11" t="s">
        <v>37</v>
      </c>
      <c r="S199" s="18" t="str">
        <f t="shared" si="4"/>
        <v>SINCHANA</v>
      </c>
      <c r="T199" s="18" t="str">
        <f t="shared" si="5"/>
        <v/>
      </c>
    </row>
    <row r="200" spans="5:20">
      <c r="E200" s="16" t="s">
        <v>37</v>
      </c>
      <c r="F200" s="16" t="s">
        <v>37</v>
      </c>
      <c r="G200" s="16" t="s">
        <v>37</v>
      </c>
      <c r="H200" s="24" t="s">
        <v>37</v>
      </c>
      <c r="I200" s="24" t="s">
        <v>37</v>
      </c>
      <c r="J200" s="24" t="s">
        <v>37</v>
      </c>
      <c r="K200" s="24" t="s">
        <v>37</v>
      </c>
      <c r="L200" s="24" t="s">
        <v>37</v>
      </c>
      <c r="M200" s="24" t="s">
        <v>37</v>
      </c>
      <c r="N200" s="24" t="s">
        <v>37</v>
      </c>
      <c r="O200" s="41" t="s">
        <v>37</v>
      </c>
      <c r="P200" s="28"/>
      <c r="Q200" s="24" t="s">
        <v>37</v>
      </c>
      <c r="S200" s="18">
        <f t="shared" si="4"/>
        <v>0</v>
      </c>
      <c r="T200" s="18">
        <f t="shared" si="5"/>
        <v>0</v>
      </c>
    </row>
    <row r="201" spans="5:20" ht="0.6" customHeight="1">
      <c r="S201" s="18">
        <f t="shared" si="4"/>
        <v>0</v>
      </c>
      <c r="T201" s="18">
        <f t="shared" si="5"/>
        <v>25</v>
      </c>
    </row>
    <row r="202" spans="5:20">
      <c r="E202" s="38" t="s">
        <v>35</v>
      </c>
      <c r="F202" s="31"/>
      <c r="G202" s="19" t="s">
        <v>36</v>
      </c>
      <c r="H202" s="20" t="s">
        <v>37</v>
      </c>
      <c r="I202" s="20" t="s">
        <v>37</v>
      </c>
      <c r="J202" s="20" t="s">
        <v>37</v>
      </c>
      <c r="K202" s="20" t="s">
        <v>37</v>
      </c>
      <c r="L202" s="20" t="s">
        <v>37</v>
      </c>
      <c r="M202" s="20" t="s">
        <v>37</v>
      </c>
      <c r="N202" s="20" t="s">
        <v>37</v>
      </c>
      <c r="O202" s="39" t="s">
        <v>37</v>
      </c>
      <c r="P202" s="28"/>
      <c r="Q202" s="20" t="s">
        <v>37</v>
      </c>
      <c r="S202" s="18" t="str">
        <f t="shared" si="4"/>
        <v>SGPA</v>
      </c>
      <c r="T202" s="18" t="str">
        <f t="shared" si="5"/>
        <v/>
      </c>
    </row>
    <row r="203" spans="5:20" ht="21">
      <c r="E203" s="32" t="s">
        <v>212</v>
      </c>
      <c r="F203" s="31"/>
      <c r="G203" s="22" t="s">
        <v>39</v>
      </c>
      <c r="H203" s="22" t="s">
        <v>19</v>
      </c>
      <c r="I203" s="22" t="s">
        <v>9</v>
      </c>
      <c r="J203" s="22" t="s">
        <v>21</v>
      </c>
      <c r="K203" s="22" t="s">
        <v>11</v>
      </c>
      <c r="L203" s="22" t="s">
        <v>17</v>
      </c>
      <c r="M203" s="22" t="s">
        <v>27</v>
      </c>
      <c r="N203" s="22" t="s">
        <v>7</v>
      </c>
      <c r="O203" s="40" t="s">
        <v>25</v>
      </c>
      <c r="P203" s="31"/>
      <c r="Q203" s="22" t="s">
        <v>40</v>
      </c>
      <c r="S203" s="18" t="str">
        <f t="shared" si="4"/>
        <v>CGPA</v>
      </c>
      <c r="T203" s="18">
        <f t="shared" si="5"/>
        <v>197.5</v>
      </c>
    </row>
    <row r="204" spans="5:20" ht="22.5">
      <c r="E204" s="21" t="s">
        <v>41</v>
      </c>
      <c r="F204" s="21" t="s">
        <v>213</v>
      </c>
      <c r="G204" s="11" t="s">
        <v>43</v>
      </c>
      <c r="H204" s="23" t="s">
        <v>214</v>
      </c>
      <c r="I204" s="23" t="s">
        <v>172</v>
      </c>
      <c r="J204" s="23" t="s">
        <v>215</v>
      </c>
      <c r="K204" s="23" t="s">
        <v>121</v>
      </c>
      <c r="L204" s="23" t="s">
        <v>216</v>
      </c>
      <c r="M204" s="23" t="s">
        <v>217</v>
      </c>
      <c r="N204" s="23" t="s">
        <v>218</v>
      </c>
      <c r="O204" s="30" t="s">
        <v>51</v>
      </c>
      <c r="P204" s="31"/>
      <c r="Q204" s="11" t="s">
        <v>37</v>
      </c>
      <c r="S204" s="18" t="str">
        <f t="shared" ref="S204:S267" si="6">$E210</f>
        <v>Result: PASS</v>
      </c>
      <c r="T204" s="18">
        <f t="shared" ref="T204:T267" si="7">$Q210</f>
        <v>533</v>
      </c>
    </row>
    <row r="205" spans="5:20">
      <c r="E205" s="32" t="s">
        <v>198</v>
      </c>
      <c r="F205" s="33"/>
      <c r="G205" s="11" t="s">
        <v>53</v>
      </c>
      <c r="H205" s="23" t="s">
        <v>51</v>
      </c>
      <c r="I205" s="23" t="s">
        <v>51</v>
      </c>
      <c r="J205" s="23" t="s">
        <v>51</v>
      </c>
      <c r="K205" s="23" t="s">
        <v>51</v>
      </c>
      <c r="L205" s="23" t="s">
        <v>51</v>
      </c>
      <c r="M205" s="23" t="s">
        <v>51</v>
      </c>
      <c r="N205" s="23" t="s">
        <v>51</v>
      </c>
      <c r="O205" s="30" t="s">
        <v>54</v>
      </c>
      <c r="P205" s="31"/>
      <c r="Q205" s="11" t="s">
        <v>37</v>
      </c>
      <c r="S205" s="18" t="str">
        <f t="shared" si="6"/>
        <v>Class</v>
      </c>
      <c r="T205" s="18">
        <f t="shared" si="7"/>
        <v>700</v>
      </c>
    </row>
    <row r="206" spans="5:20">
      <c r="E206" s="34"/>
      <c r="F206" s="35"/>
      <c r="G206" s="11" t="s">
        <v>55</v>
      </c>
      <c r="H206" s="23" t="s">
        <v>37</v>
      </c>
      <c r="I206" s="23" t="s">
        <v>37</v>
      </c>
      <c r="J206" s="23" t="s">
        <v>37</v>
      </c>
      <c r="K206" s="23" t="s">
        <v>37</v>
      </c>
      <c r="L206" s="23" t="s">
        <v>37</v>
      </c>
      <c r="M206" s="23" t="s">
        <v>37</v>
      </c>
      <c r="N206" s="23" t="s">
        <v>37</v>
      </c>
      <c r="O206" s="30" t="s">
        <v>37</v>
      </c>
      <c r="P206" s="31"/>
      <c r="Q206" s="11">
        <v>0</v>
      </c>
      <c r="S206" s="18" t="str">
        <f t="shared" si="6"/>
        <v>Term Grade: AA+</v>
      </c>
      <c r="T206" s="18" t="str">
        <f t="shared" si="7"/>
        <v/>
      </c>
    </row>
    <row r="207" spans="5:20">
      <c r="E207" s="36"/>
      <c r="F207" s="37"/>
      <c r="G207" s="11" t="s">
        <v>56</v>
      </c>
      <c r="H207" s="23">
        <v>4</v>
      </c>
      <c r="I207" s="23">
        <v>4</v>
      </c>
      <c r="J207" s="23">
        <v>4</v>
      </c>
      <c r="K207" s="23">
        <v>3</v>
      </c>
      <c r="L207" s="23">
        <v>3</v>
      </c>
      <c r="M207" s="23">
        <v>3</v>
      </c>
      <c r="N207" s="23">
        <v>2</v>
      </c>
      <c r="O207" s="30">
        <v>2</v>
      </c>
      <c r="P207" s="31"/>
      <c r="Q207" s="11">
        <v>25</v>
      </c>
      <c r="S207" s="18" t="str">
        <f t="shared" si="6"/>
        <v>M.C.No</v>
      </c>
      <c r="T207" s="18" t="str">
        <f t="shared" si="7"/>
        <v/>
      </c>
    </row>
    <row r="208" spans="5:20">
      <c r="E208" s="21" t="s">
        <v>57</v>
      </c>
      <c r="F208" s="21">
        <v>7.9</v>
      </c>
      <c r="G208" s="11" t="s">
        <v>58</v>
      </c>
      <c r="H208" s="23">
        <v>7.5</v>
      </c>
      <c r="I208" s="23">
        <v>8.5</v>
      </c>
      <c r="J208" s="23">
        <v>7</v>
      </c>
      <c r="K208" s="23">
        <v>7</v>
      </c>
      <c r="L208" s="23">
        <v>8</v>
      </c>
      <c r="M208" s="23">
        <v>7.5</v>
      </c>
      <c r="N208" s="23">
        <v>9.5</v>
      </c>
      <c r="O208" s="30">
        <v>9.5</v>
      </c>
      <c r="P208" s="31"/>
      <c r="Q208" s="11" t="s">
        <v>37</v>
      </c>
      <c r="S208" s="18" t="str">
        <f t="shared" si="6"/>
        <v/>
      </c>
      <c r="T208" s="18" t="str">
        <f t="shared" si="7"/>
        <v/>
      </c>
    </row>
    <row r="209" spans="5:20">
      <c r="E209" s="21" t="s">
        <v>59</v>
      </c>
      <c r="F209" s="14">
        <v>7.9</v>
      </c>
      <c r="G209" s="11" t="s">
        <v>60</v>
      </c>
      <c r="H209" s="23">
        <v>30</v>
      </c>
      <c r="I209" s="23">
        <v>34</v>
      </c>
      <c r="J209" s="23">
        <v>28</v>
      </c>
      <c r="K209" s="23">
        <v>21</v>
      </c>
      <c r="L209" s="23">
        <v>24</v>
      </c>
      <c r="M209" s="23">
        <v>22.5</v>
      </c>
      <c r="N209" s="23">
        <v>19</v>
      </c>
      <c r="O209" s="30">
        <v>19</v>
      </c>
      <c r="P209" s="31"/>
      <c r="Q209" s="11">
        <v>197.5</v>
      </c>
      <c r="S209" s="18">
        <f t="shared" si="6"/>
        <v>0</v>
      </c>
      <c r="T209" s="18">
        <f t="shared" si="7"/>
        <v>0</v>
      </c>
    </row>
    <row r="210" spans="5:20">
      <c r="E210" s="32" t="s">
        <v>61</v>
      </c>
      <c r="F210" s="31"/>
      <c r="G210" s="11" t="s">
        <v>40</v>
      </c>
      <c r="H210" s="23">
        <v>74</v>
      </c>
      <c r="I210" s="23">
        <v>84</v>
      </c>
      <c r="J210" s="23">
        <v>68</v>
      </c>
      <c r="K210" s="23">
        <v>65</v>
      </c>
      <c r="L210" s="23">
        <v>78</v>
      </c>
      <c r="M210" s="23">
        <v>72</v>
      </c>
      <c r="N210" s="23">
        <v>47</v>
      </c>
      <c r="O210" s="30">
        <v>45</v>
      </c>
      <c r="P210" s="31"/>
      <c r="Q210" s="11">
        <v>533</v>
      </c>
      <c r="S210" s="18">
        <f t="shared" si="6"/>
        <v>0</v>
      </c>
      <c r="T210" s="18">
        <f t="shared" si="7"/>
        <v>0</v>
      </c>
    </row>
    <row r="211" spans="5:20">
      <c r="E211" s="21" t="s">
        <v>62</v>
      </c>
      <c r="F211" s="21"/>
      <c r="G211" s="11" t="s">
        <v>63</v>
      </c>
      <c r="H211" s="23">
        <v>100</v>
      </c>
      <c r="I211" s="23">
        <v>100</v>
      </c>
      <c r="J211" s="23">
        <v>100</v>
      </c>
      <c r="K211" s="23">
        <v>100</v>
      </c>
      <c r="L211" s="23">
        <v>100</v>
      </c>
      <c r="M211" s="23">
        <v>100</v>
      </c>
      <c r="N211" s="23">
        <v>50</v>
      </c>
      <c r="O211" s="30">
        <v>50</v>
      </c>
      <c r="P211" s="31"/>
      <c r="Q211" s="11">
        <v>700</v>
      </c>
      <c r="S211" s="18" t="str">
        <f t="shared" si="6"/>
        <v>Dr. B.B. Hegde First Grade College, Kundapura, Udupi.</v>
      </c>
      <c r="T211" s="18" t="str">
        <f t="shared" si="7"/>
        <v/>
      </c>
    </row>
    <row r="212" spans="5:20">
      <c r="E212" s="32" t="s">
        <v>64</v>
      </c>
      <c r="F212" s="31"/>
      <c r="G212" s="11" t="s">
        <v>65</v>
      </c>
      <c r="H212" s="23" t="s">
        <v>68</v>
      </c>
      <c r="I212" s="23" t="s">
        <v>70</v>
      </c>
      <c r="J212" s="23" t="s">
        <v>66</v>
      </c>
      <c r="K212" s="23" t="s">
        <v>66</v>
      </c>
      <c r="L212" s="23" t="s">
        <v>102</v>
      </c>
      <c r="M212" s="23" t="s">
        <v>68</v>
      </c>
      <c r="N212" s="23" t="s">
        <v>71</v>
      </c>
      <c r="O212" s="30" t="s">
        <v>71</v>
      </c>
      <c r="P212" s="31"/>
      <c r="Q212" s="11" t="s">
        <v>37</v>
      </c>
      <c r="S212" s="18" t="str">
        <f t="shared" si="6"/>
        <v>00015</v>
      </c>
      <c r="T212" s="18" t="str">
        <f t="shared" si="7"/>
        <v>Total</v>
      </c>
    </row>
    <row r="213" spans="5:20">
      <c r="E213" s="15" t="s">
        <v>72</v>
      </c>
      <c r="F213" s="15" t="s">
        <v>219</v>
      </c>
      <c r="G213" s="11" t="s">
        <v>74</v>
      </c>
      <c r="H213" s="23" t="s">
        <v>75</v>
      </c>
      <c r="I213" s="23" t="s">
        <v>75</v>
      </c>
      <c r="J213" s="23" t="s">
        <v>75</v>
      </c>
      <c r="K213" s="23" t="s">
        <v>75</v>
      </c>
      <c r="L213" s="23" t="s">
        <v>75</v>
      </c>
      <c r="M213" s="23" t="s">
        <v>75</v>
      </c>
      <c r="N213" s="23" t="s">
        <v>75</v>
      </c>
      <c r="O213" s="30" t="s">
        <v>75</v>
      </c>
      <c r="P213" s="31"/>
      <c r="Q213" s="11" t="s">
        <v>37</v>
      </c>
      <c r="S213" s="18" t="str">
        <f t="shared" si="6"/>
        <v>USN</v>
      </c>
      <c r="T213" s="18" t="str">
        <f t="shared" si="7"/>
        <v/>
      </c>
    </row>
    <row r="214" spans="5:20">
      <c r="E214" s="16" t="s">
        <v>37</v>
      </c>
      <c r="F214" s="16" t="s">
        <v>37</v>
      </c>
      <c r="G214" s="16" t="s">
        <v>37</v>
      </c>
      <c r="H214" s="24" t="s">
        <v>37</v>
      </c>
      <c r="I214" s="24" t="s">
        <v>37</v>
      </c>
      <c r="J214" s="24" t="s">
        <v>37</v>
      </c>
      <c r="K214" s="24" t="s">
        <v>37</v>
      </c>
      <c r="L214" s="24" t="s">
        <v>37</v>
      </c>
      <c r="M214" s="24" t="s">
        <v>37</v>
      </c>
      <c r="N214" s="24" t="s">
        <v>37</v>
      </c>
      <c r="O214" s="41" t="s">
        <v>37</v>
      </c>
      <c r="P214" s="28"/>
      <c r="Q214" s="24" t="s">
        <v>37</v>
      </c>
      <c r="S214" s="18" t="str">
        <f t="shared" si="6"/>
        <v>SHARVARI D</v>
      </c>
      <c r="T214" s="18" t="str">
        <f t="shared" si="7"/>
        <v/>
      </c>
    </row>
    <row r="215" spans="5:20" ht="0" hidden="1" customHeight="1">
      <c r="S215" s="18">
        <f t="shared" si="6"/>
        <v>0</v>
      </c>
      <c r="T215" s="18">
        <f t="shared" si="7"/>
        <v>0</v>
      </c>
    </row>
    <row r="216" spans="5:20" ht="0.6" customHeight="1">
      <c r="S216" s="18">
        <f t="shared" si="6"/>
        <v>0</v>
      </c>
      <c r="T216" s="18">
        <f t="shared" si="7"/>
        <v>25</v>
      </c>
    </row>
    <row r="217" spans="5:20">
      <c r="E217" s="38" t="s">
        <v>35</v>
      </c>
      <c r="F217" s="31"/>
      <c r="G217" s="19" t="s">
        <v>36</v>
      </c>
      <c r="H217" s="20" t="s">
        <v>37</v>
      </c>
      <c r="I217" s="20" t="s">
        <v>37</v>
      </c>
      <c r="J217" s="20" t="s">
        <v>37</v>
      </c>
      <c r="K217" s="20" t="s">
        <v>37</v>
      </c>
      <c r="L217" s="20" t="s">
        <v>37</v>
      </c>
      <c r="M217" s="20" t="s">
        <v>37</v>
      </c>
      <c r="N217" s="20" t="s">
        <v>37</v>
      </c>
      <c r="O217" s="39" t="s">
        <v>37</v>
      </c>
      <c r="P217" s="28"/>
      <c r="Q217" s="20" t="s">
        <v>37</v>
      </c>
      <c r="S217" s="18" t="str">
        <f t="shared" si="6"/>
        <v>SGPA</v>
      </c>
      <c r="T217" s="18" t="str">
        <f t="shared" si="7"/>
        <v/>
      </c>
    </row>
    <row r="218" spans="5:20" ht="21">
      <c r="E218" s="32" t="s">
        <v>220</v>
      </c>
      <c r="F218" s="31"/>
      <c r="G218" s="22" t="s">
        <v>39</v>
      </c>
      <c r="H218" s="22" t="s">
        <v>19</v>
      </c>
      <c r="I218" s="22" t="s">
        <v>9</v>
      </c>
      <c r="J218" s="22" t="s">
        <v>21</v>
      </c>
      <c r="K218" s="22" t="s">
        <v>11</v>
      </c>
      <c r="L218" s="22" t="s">
        <v>17</v>
      </c>
      <c r="M218" s="22" t="s">
        <v>27</v>
      </c>
      <c r="N218" s="22" t="s">
        <v>7</v>
      </c>
      <c r="O218" s="40" t="s">
        <v>25</v>
      </c>
      <c r="P218" s="31"/>
      <c r="Q218" s="22" t="s">
        <v>40</v>
      </c>
      <c r="S218" s="18" t="str">
        <f t="shared" si="6"/>
        <v>CGPA</v>
      </c>
      <c r="T218" s="18">
        <f t="shared" si="7"/>
        <v>209</v>
      </c>
    </row>
    <row r="219" spans="5:20" ht="22.5">
      <c r="E219" s="21" t="s">
        <v>41</v>
      </c>
      <c r="F219" s="21" t="s">
        <v>221</v>
      </c>
      <c r="G219" s="11" t="s">
        <v>43</v>
      </c>
      <c r="H219" s="23" t="s">
        <v>222</v>
      </c>
      <c r="I219" s="23" t="s">
        <v>223</v>
      </c>
      <c r="J219" s="23" t="s">
        <v>224</v>
      </c>
      <c r="K219" s="23" t="s">
        <v>225</v>
      </c>
      <c r="L219" s="23" t="s">
        <v>226</v>
      </c>
      <c r="M219" s="23" t="s">
        <v>227</v>
      </c>
      <c r="N219" s="23" t="s">
        <v>166</v>
      </c>
      <c r="O219" s="30" t="s">
        <v>51</v>
      </c>
      <c r="P219" s="31"/>
      <c r="Q219" s="11" t="s">
        <v>37</v>
      </c>
      <c r="S219" s="18" t="str">
        <f t="shared" si="6"/>
        <v>Result: PASS</v>
      </c>
      <c r="T219" s="18">
        <f t="shared" si="7"/>
        <v>564</v>
      </c>
    </row>
    <row r="220" spans="5:20">
      <c r="E220" s="32" t="s">
        <v>228</v>
      </c>
      <c r="F220" s="33"/>
      <c r="G220" s="11" t="s">
        <v>53</v>
      </c>
      <c r="H220" s="23" t="s">
        <v>51</v>
      </c>
      <c r="I220" s="23" t="s">
        <v>51</v>
      </c>
      <c r="J220" s="23" t="s">
        <v>51</v>
      </c>
      <c r="K220" s="23" t="s">
        <v>51</v>
      </c>
      <c r="L220" s="23" t="s">
        <v>51</v>
      </c>
      <c r="M220" s="23" t="s">
        <v>51</v>
      </c>
      <c r="N220" s="23" t="s">
        <v>51</v>
      </c>
      <c r="O220" s="30" t="s">
        <v>54</v>
      </c>
      <c r="P220" s="31"/>
      <c r="Q220" s="11" t="s">
        <v>37</v>
      </c>
      <c r="S220" s="18" t="str">
        <f t="shared" si="6"/>
        <v>Class</v>
      </c>
      <c r="T220" s="18">
        <f t="shared" si="7"/>
        <v>700</v>
      </c>
    </row>
    <row r="221" spans="5:20">
      <c r="E221" s="34"/>
      <c r="F221" s="35"/>
      <c r="G221" s="11" t="s">
        <v>55</v>
      </c>
      <c r="H221" s="23" t="s">
        <v>37</v>
      </c>
      <c r="I221" s="23" t="s">
        <v>37</v>
      </c>
      <c r="J221" s="23" t="s">
        <v>37</v>
      </c>
      <c r="K221" s="23" t="s">
        <v>37</v>
      </c>
      <c r="L221" s="23" t="s">
        <v>37</v>
      </c>
      <c r="M221" s="23" t="s">
        <v>37</v>
      </c>
      <c r="N221" s="23" t="s">
        <v>37</v>
      </c>
      <c r="O221" s="30" t="s">
        <v>37</v>
      </c>
      <c r="P221" s="31"/>
      <c r="Q221" s="11">
        <v>0</v>
      </c>
      <c r="S221" s="18" t="str">
        <f t="shared" si="6"/>
        <v>Term Grade: OA</v>
      </c>
      <c r="T221" s="18" t="str">
        <f t="shared" si="7"/>
        <v/>
      </c>
    </row>
    <row r="222" spans="5:20">
      <c r="E222" s="36"/>
      <c r="F222" s="37"/>
      <c r="G222" s="11" t="s">
        <v>56</v>
      </c>
      <c r="H222" s="23">
        <v>4</v>
      </c>
      <c r="I222" s="23">
        <v>4</v>
      </c>
      <c r="J222" s="23">
        <v>4</v>
      </c>
      <c r="K222" s="23">
        <v>3</v>
      </c>
      <c r="L222" s="23">
        <v>3</v>
      </c>
      <c r="M222" s="23">
        <v>3</v>
      </c>
      <c r="N222" s="23">
        <v>2</v>
      </c>
      <c r="O222" s="30">
        <v>2</v>
      </c>
      <c r="P222" s="31"/>
      <c r="Q222" s="11">
        <v>25</v>
      </c>
      <c r="S222" s="18" t="str">
        <f t="shared" si="6"/>
        <v>M.C.No</v>
      </c>
      <c r="T222" s="18" t="str">
        <f t="shared" si="7"/>
        <v/>
      </c>
    </row>
    <row r="223" spans="5:20">
      <c r="E223" s="21" t="s">
        <v>57</v>
      </c>
      <c r="F223" s="21">
        <v>8.36</v>
      </c>
      <c r="G223" s="11" t="s">
        <v>58</v>
      </c>
      <c r="H223" s="23">
        <v>8.5</v>
      </c>
      <c r="I223" s="23">
        <v>9.5</v>
      </c>
      <c r="J223" s="23">
        <v>8</v>
      </c>
      <c r="K223" s="23">
        <v>7</v>
      </c>
      <c r="L223" s="23">
        <v>7</v>
      </c>
      <c r="M223" s="23">
        <v>8</v>
      </c>
      <c r="N223" s="23">
        <v>10</v>
      </c>
      <c r="O223" s="30">
        <v>9.5</v>
      </c>
      <c r="P223" s="31"/>
      <c r="Q223" s="11" t="s">
        <v>37</v>
      </c>
      <c r="S223" s="18" t="str">
        <f t="shared" si="6"/>
        <v/>
      </c>
      <c r="T223" s="18" t="str">
        <f t="shared" si="7"/>
        <v/>
      </c>
    </row>
    <row r="224" spans="5:20">
      <c r="E224" s="21" t="s">
        <v>59</v>
      </c>
      <c r="F224" s="14">
        <v>8.36</v>
      </c>
      <c r="G224" s="11" t="s">
        <v>60</v>
      </c>
      <c r="H224" s="23">
        <v>34</v>
      </c>
      <c r="I224" s="23">
        <v>38</v>
      </c>
      <c r="J224" s="23">
        <v>32</v>
      </c>
      <c r="K224" s="23">
        <v>21</v>
      </c>
      <c r="L224" s="23">
        <v>21</v>
      </c>
      <c r="M224" s="23">
        <v>24</v>
      </c>
      <c r="N224" s="23">
        <v>20</v>
      </c>
      <c r="O224" s="30">
        <v>19</v>
      </c>
      <c r="P224" s="31"/>
      <c r="Q224" s="11">
        <v>209</v>
      </c>
      <c r="S224" s="18">
        <f t="shared" si="6"/>
        <v>0</v>
      </c>
      <c r="T224" s="18">
        <f t="shared" si="7"/>
        <v>0</v>
      </c>
    </row>
    <row r="225" spans="5:20">
      <c r="E225" s="32" t="s">
        <v>61</v>
      </c>
      <c r="F225" s="31"/>
      <c r="G225" s="11" t="s">
        <v>40</v>
      </c>
      <c r="H225" s="23">
        <v>82</v>
      </c>
      <c r="I225" s="23">
        <v>93</v>
      </c>
      <c r="J225" s="23">
        <v>78</v>
      </c>
      <c r="K225" s="23">
        <v>69</v>
      </c>
      <c r="L225" s="23">
        <v>69</v>
      </c>
      <c r="M225" s="23">
        <v>79</v>
      </c>
      <c r="N225" s="23">
        <v>49</v>
      </c>
      <c r="O225" s="30">
        <v>45</v>
      </c>
      <c r="P225" s="31"/>
      <c r="Q225" s="11">
        <v>564</v>
      </c>
      <c r="S225" s="18">
        <f t="shared" si="6"/>
        <v>0</v>
      </c>
      <c r="T225" s="18">
        <f t="shared" si="7"/>
        <v>0</v>
      </c>
    </row>
    <row r="226" spans="5:20">
      <c r="E226" s="21" t="s">
        <v>62</v>
      </c>
      <c r="F226" s="21"/>
      <c r="G226" s="11" t="s">
        <v>63</v>
      </c>
      <c r="H226" s="23">
        <v>100</v>
      </c>
      <c r="I226" s="23">
        <v>100</v>
      </c>
      <c r="J226" s="23">
        <v>100</v>
      </c>
      <c r="K226" s="23">
        <v>100</v>
      </c>
      <c r="L226" s="23">
        <v>100</v>
      </c>
      <c r="M226" s="23">
        <v>100</v>
      </c>
      <c r="N226" s="23">
        <v>50</v>
      </c>
      <c r="O226" s="30">
        <v>50</v>
      </c>
      <c r="P226" s="31"/>
      <c r="Q226" s="11">
        <v>700</v>
      </c>
      <c r="S226" s="18" t="str">
        <f t="shared" si="6"/>
        <v>Dr. B.B. Hegde First Grade College, Kundapura, Udupi.</v>
      </c>
      <c r="T226" s="18" t="str">
        <f t="shared" si="7"/>
        <v/>
      </c>
    </row>
    <row r="227" spans="5:20">
      <c r="E227" s="32" t="s">
        <v>200</v>
      </c>
      <c r="F227" s="31"/>
      <c r="G227" s="11" t="s">
        <v>65</v>
      </c>
      <c r="H227" s="23" t="s">
        <v>70</v>
      </c>
      <c r="I227" s="23" t="s">
        <v>71</v>
      </c>
      <c r="J227" s="23" t="s">
        <v>102</v>
      </c>
      <c r="K227" s="23" t="s">
        <v>66</v>
      </c>
      <c r="L227" s="23" t="s">
        <v>66</v>
      </c>
      <c r="M227" s="23" t="s">
        <v>102</v>
      </c>
      <c r="N227" s="23" t="s">
        <v>88</v>
      </c>
      <c r="O227" s="30" t="s">
        <v>71</v>
      </c>
      <c r="P227" s="31"/>
      <c r="Q227" s="11" t="s">
        <v>37</v>
      </c>
      <c r="S227" s="18" t="str">
        <f t="shared" si="6"/>
        <v>00016</v>
      </c>
      <c r="T227" s="18" t="str">
        <f t="shared" si="7"/>
        <v>Total</v>
      </c>
    </row>
    <row r="228" spans="5:20">
      <c r="E228" s="15" t="s">
        <v>72</v>
      </c>
      <c r="F228" s="15" t="s">
        <v>229</v>
      </c>
      <c r="G228" s="11" t="s">
        <v>74</v>
      </c>
      <c r="H228" s="23" t="s">
        <v>75</v>
      </c>
      <c r="I228" s="23" t="s">
        <v>75</v>
      </c>
      <c r="J228" s="23" t="s">
        <v>75</v>
      </c>
      <c r="K228" s="23" t="s">
        <v>75</v>
      </c>
      <c r="L228" s="23" t="s">
        <v>75</v>
      </c>
      <c r="M228" s="23" t="s">
        <v>75</v>
      </c>
      <c r="N228" s="23" t="s">
        <v>75</v>
      </c>
      <c r="O228" s="30" t="s">
        <v>75</v>
      </c>
      <c r="P228" s="31"/>
      <c r="Q228" s="11" t="s">
        <v>37</v>
      </c>
      <c r="S228" s="18" t="str">
        <f t="shared" si="6"/>
        <v>USN</v>
      </c>
      <c r="T228" s="18" t="str">
        <f t="shared" si="7"/>
        <v/>
      </c>
    </row>
    <row r="229" spans="5:20">
      <c r="E229" s="16" t="s">
        <v>37</v>
      </c>
      <c r="F229" s="16" t="s">
        <v>37</v>
      </c>
      <c r="G229" s="16" t="s">
        <v>37</v>
      </c>
      <c r="H229" s="24" t="s">
        <v>37</v>
      </c>
      <c r="I229" s="24" t="s">
        <v>37</v>
      </c>
      <c r="J229" s="24" t="s">
        <v>37</v>
      </c>
      <c r="K229" s="24" t="s">
        <v>37</v>
      </c>
      <c r="L229" s="24" t="s">
        <v>37</v>
      </c>
      <c r="M229" s="24" t="s">
        <v>37</v>
      </c>
      <c r="N229" s="24" t="s">
        <v>37</v>
      </c>
      <c r="O229" s="41" t="s">
        <v>37</v>
      </c>
      <c r="P229" s="28"/>
      <c r="Q229" s="24" t="s">
        <v>37</v>
      </c>
      <c r="S229" s="18" t="str">
        <f t="shared" si="6"/>
        <v>PRARTHANA H R</v>
      </c>
      <c r="T229" s="18" t="str">
        <f t="shared" si="7"/>
        <v/>
      </c>
    </row>
    <row r="230" spans="5:20" ht="0" hidden="1" customHeight="1">
      <c r="S230" s="18">
        <f t="shared" si="6"/>
        <v>0</v>
      </c>
      <c r="T230" s="18">
        <f t="shared" si="7"/>
        <v>0</v>
      </c>
    </row>
    <row r="231" spans="5:20" ht="0.6" customHeight="1">
      <c r="S231" s="18">
        <f t="shared" si="6"/>
        <v>0</v>
      </c>
      <c r="T231" s="18">
        <f t="shared" si="7"/>
        <v>25</v>
      </c>
    </row>
    <row r="232" spans="5:20">
      <c r="E232" s="38" t="s">
        <v>35</v>
      </c>
      <c r="F232" s="31"/>
      <c r="G232" s="19" t="s">
        <v>36</v>
      </c>
      <c r="H232" s="20" t="s">
        <v>37</v>
      </c>
      <c r="I232" s="20" t="s">
        <v>37</v>
      </c>
      <c r="J232" s="20" t="s">
        <v>37</v>
      </c>
      <c r="K232" s="20" t="s">
        <v>37</v>
      </c>
      <c r="L232" s="20" t="s">
        <v>37</v>
      </c>
      <c r="M232" s="20" t="s">
        <v>37</v>
      </c>
      <c r="N232" s="20" t="s">
        <v>37</v>
      </c>
      <c r="O232" s="39" t="s">
        <v>37</v>
      </c>
      <c r="P232" s="28"/>
      <c r="Q232" s="20" t="s">
        <v>37</v>
      </c>
      <c r="S232" s="18" t="str">
        <f t="shared" si="6"/>
        <v>SGPA</v>
      </c>
      <c r="T232" s="18" t="str">
        <f t="shared" si="7"/>
        <v/>
      </c>
    </row>
    <row r="233" spans="5:20" ht="21">
      <c r="E233" s="32" t="s">
        <v>230</v>
      </c>
      <c r="F233" s="31"/>
      <c r="G233" s="22" t="s">
        <v>39</v>
      </c>
      <c r="H233" s="22" t="s">
        <v>19</v>
      </c>
      <c r="I233" s="22" t="s">
        <v>9</v>
      </c>
      <c r="J233" s="22" t="s">
        <v>21</v>
      </c>
      <c r="K233" s="22" t="s">
        <v>11</v>
      </c>
      <c r="L233" s="22" t="s">
        <v>17</v>
      </c>
      <c r="M233" s="22" t="s">
        <v>27</v>
      </c>
      <c r="N233" s="22" t="s">
        <v>5</v>
      </c>
      <c r="O233" s="40" t="s">
        <v>7</v>
      </c>
      <c r="P233" s="31"/>
      <c r="Q233" s="22" t="s">
        <v>40</v>
      </c>
      <c r="S233" s="18" t="str">
        <f t="shared" si="6"/>
        <v>CGPA</v>
      </c>
      <c r="T233" s="18">
        <f t="shared" si="7"/>
        <v>177</v>
      </c>
    </row>
    <row r="234" spans="5:20" ht="22.5">
      <c r="E234" s="21" t="s">
        <v>41</v>
      </c>
      <c r="F234" s="21" t="s">
        <v>231</v>
      </c>
      <c r="G234" s="11" t="s">
        <v>43</v>
      </c>
      <c r="H234" s="23" t="s">
        <v>232</v>
      </c>
      <c r="I234" s="23" t="s">
        <v>233</v>
      </c>
      <c r="J234" s="23" t="s">
        <v>234</v>
      </c>
      <c r="K234" s="23" t="s">
        <v>235</v>
      </c>
      <c r="L234" s="23" t="s">
        <v>107</v>
      </c>
      <c r="M234" s="23" t="s">
        <v>236</v>
      </c>
      <c r="N234" s="23" t="s">
        <v>51</v>
      </c>
      <c r="O234" s="30" t="s">
        <v>112</v>
      </c>
      <c r="P234" s="31"/>
      <c r="Q234" s="11" t="s">
        <v>37</v>
      </c>
      <c r="S234" s="18" t="str">
        <f t="shared" si="6"/>
        <v>Result: PASS</v>
      </c>
      <c r="T234" s="18">
        <f t="shared" si="7"/>
        <v>469</v>
      </c>
    </row>
    <row r="235" spans="5:20">
      <c r="E235" s="32" t="s">
        <v>237</v>
      </c>
      <c r="F235" s="33"/>
      <c r="G235" s="11" t="s">
        <v>53</v>
      </c>
      <c r="H235" s="23" t="s">
        <v>51</v>
      </c>
      <c r="I235" s="23" t="s">
        <v>51</v>
      </c>
      <c r="J235" s="23" t="s">
        <v>51</v>
      </c>
      <c r="K235" s="23" t="s">
        <v>51</v>
      </c>
      <c r="L235" s="23" t="s">
        <v>51</v>
      </c>
      <c r="M235" s="23" t="s">
        <v>51</v>
      </c>
      <c r="N235" s="23" t="s">
        <v>100</v>
      </c>
      <c r="O235" s="30" t="s">
        <v>51</v>
      </c>
      <c r="P235" s="31"/>
      <c r="Q235" s="11" t="s">
        <v>37</v>
      </c>
      <c r="S235" s="18" t="str">
        <f t="shared" si="6"/>
        <v>Class</v>
      </c>
      <c r="T235" s="18">
        <f t="shared" si="7"/>
        <v>700</v>
      </c>
    </row>
    <row r="236" spans="5:20">
      <c r="E236" s="34"/>
      <c r="F236" s="35"/>
      <c r="G236" s="11" t="s">
        <v>55</v>
      </c>
      <c r="H236" s="23" t="s">
        <v>37</v>
      </c>
      <c r="I236" s="23" t="s">
        <v>37</v>
      </c>
      <c r="J236" s="23" t="s">
        <v>37</v>
      </c>
      <c r="K236" s="23" t="s">
        <v>37</v>
      </c>
      <c r="L236" s="23" t="s">
        <v>37</v>
      </c>
      <c r="M236" s="23" t="s">
        <v>37</v>
      </c>
      <c r="N236" s="23" t="s">
        <v>37</v>
      </c>
      <c r="O236" s="30" t="s">
        <v>37</v>
      </c>
      <c r="P236" s="31"/>
      <c r="Q236" s="11">
        <v>0</v>
      </c>
      <c r="S236" s="18" t="str">
        <f t="shared" si="6"/>
        <v>Term Grade: AA</v>
      </c>
      <c r="T236" s="18" t="str">
        <f t="shared" si="7"/>
        <v/>
      </c>
    </row>
    <row r="237" spans="5:20">
      <c r="E237" s="36"/>
      <c r="F237" s="37"/>
      <c r="G237" s="11" t="s">
        <v>56</v>
      </c>
      <c r="H237" s="23">
        <v>4</v>
      </c>
      <c r="I237" s="23">
        <v>4</v>
      </c>
      <c r="J237" s="23">
        <v>4</v>
      </c>
      <c r="K237" s="23">
        <v>3</v>
      </c>
      <c r="L237" s="23">
        <v>3</v>
      </c>
      <c r="M237" s="23">
        <v>3</v>
      </c>
      <c r="N237" s="23">
        <v>2</v>
      </c>
      <c r="O237" s="30">
        <v>2</v>
      </c>
      <c r="P237" s="31"/>
      <c r="Q237" s="11">
        <v>25</v>
      </c>
      <c r="S237" s="18" t="str">
        <f t="shared" si="6"/>
        <v>M.C.No</v>
      </c>
      <c r="T237" s="18" t="str">
        <f t="shared" si="7"/>
        <v/>
      </c>
    </row>
    <row r="238" spans="5:20">
      <c r="E238" s="21" t="s">
        <v>57</v>
      </c>
      <c r="F238" s="21">
        <v>7.08</v>
      </c>
      <c r="G238" s="11" t="s">
        <v>58</v>
      </c>
      <c r="H238" s="23">
        <v>7</v>
      </c>
      <c r="I238" s="23">
        <v>6.5</v>
      </c>
      <c r="J238" s="23">
        <v>7.5</v>
      </c>
      <c r="K238" s="23">
        <v>6</v>
      </c>
      <c r="L238" s="23">
        <v>7</v>
      </c>
      <c r="M238" s="23">
        <v>6</v>
      </c>
      <c r="N238" s="23">
        <v>10</v>
      </c>
      <c r="O238" s="30">
        <v>8</v>
      </c>
      <c r="P238" s="31"/>
      <c r="Q238" s="11" t="s">
        <v>37</v>
      </c>
      <c r="S238" s="18" t="str">
        <f t="shared" si="6"/>
        <v/>
      </c>
      <c r="T238" s="18" t="str">
        <f t="shared" si="7"/>
        <v/>
      </c>
    </row>
    <row r="239" spans="5:20">
      <c r="E239" s="21" t="s">
        <v>59</v>
      </c>
      <c r="F239" s="14">
        <v>7.08</v>
      </c>
      <c r="G239" s="11" t="s">
        <v>60</v>
      </c>
      <c r="H239" s="23">
        <v>28</v>
      </c>
      <c r="I239" s="23">
        <v>26</v>
      </c>
      <c r="J239" s="23">
        <v>30</v>
      </c>
      <c r="K239" s="23">
        <v>18</v>
      </c>
      <c r="L239" s="23">
        <v>21</v>
      </c>
      <c r="M239" s="23">
        <v>18</v>
      </c>
      <c r="N239" s="23">
        <v>20</v>
      </c>
      <c r="O239" s="30">
        <v>16</v>
      </c>
      <c r="P239" s="31"/>
      <c r="Q239" s="11">
        <v>177</v>
      </c>
      <c r="S239" s="18">
        <f t="shared" si="6"/>
        <v>0</v>
      </c>
      <c r="T239" s="18">
        <f t="shared" si="7"/>
        <v>0</v>
      </c>
    </row>
    <row r="240" spans="5:20">
      <c r="E240" s="32" t="s">
        <v>61</v>
      </c>
      <c r="F240" s="31"/>
      <c r="G240" s="11" t="s">
        <v>40</v>
      </c>
      <c r="H240" s="23">
        <v>66</v>
      </c>
      <c r="I240" s="23">
        <v>60</v>
      </c>
      <c r="J240" s="23">
        <v>72</v>
      </c>
      <c r="K240" s="23">
        <v>58</v>
      </c>
      <c r="L240" s="23">
        <v>69</v>
      </c>
      <c r="M240" s="23">
        <v>56</v>
      </c>
      <c r="N240" s="23">
        <v>50</v>
      </c>
      <c r="O240" s="30">
        <v>38</v>
      </c>
      <c r="P240" s="31"/>
      <c r="Q240" s="11">
        <v>469</v>
      </c>
      <c r="S240" s="18">
        <f t="shared" si="6"/>
        <v>0</v>
      </c>
      <c r="T240" s="18">
        <f t="shared" si="7"/>
        <v>0</v>
      </c>
    </row>
    <row r="241" spans="5:20">
      <c r="E241" s="21" t="s">
        <v>62</v>
      </c>
      <c r="F241" s="21"/>
      <c r="G241" s="11" t="s">
        <v>63</v>
      </c>
      <c r="H241" s="23">
        <v>100</v>
      </c>
      <c r="I241" s="23">
        <v>100</v>
      </c>
      <c r="J241" s="23">
        <v>100</v>
      </c>
      <c r="K241" s="23">
        <v>100</v>
      </c>
      <c r="L241" s="23">
        <v>100</v>
      </c>
      <c r="M241" s="23">
        <v>100</v>
      </c>
      <c r="N241" s="23">
        <v>50</v>
      </c>
      <c r="O241" s="30">
        <v>50</v>
      </c>
      <c r="P241" s="31"/>
      <c r="Q241" s="11">
        <v>700</v>
      </c>
      <c r="S241" s="18" t="str">
        <f t="shared" si="6"/>
        <v>Dr. B.B. Hegde First Grade College, Kundapura, Udupi.</v>
      </c>
      <c r="T241" s="18" t="str">
        <f t="shared" si="7"/>
        <v/>
      </c>
    </row>
    <row r="242" spans="5:20">
      <c r="E242" s="32" t="s">
        <v>101</v>
      </c>
      <c r="F242" s="31"/>
      <c r="G242" s="11" t="s">
        <v>65</v>
      </c>
      <c r="H242" s="23" t="s">
        <v>66</v>
      </c>
      <c r="I242" s="23" t="s">
        <v>69</v>
      </c>
      <c r="J242" s="23" t="s">
        <v>68</v>
      </c>
      <c r="K242" s="23" t="s">
        <v>103</v>
      </c>
      <c r="L242" s="23" t="s">
        <v>66</v>
      </c>
      <c r="M242" s="23" t="s">
        <v>103</v>
      </c>
      <c r="N242" s="23" t="s">
        <v>88</v>
      </c>
      <c r="O242" s="30" t="s">
        <v>102</v>
      </c>
      <c r="P242" s="31"/>
      <c r="Q242" s="11" t="s">
        <v>37</v>
      </c>
      <c r="S242" s="18" t="str">
        <f t="shared" si="6"/>
        <v>00017</v>
      </c>
      <c r="T242" s="18" t="str">
        <f t="shared" si="7"/>
        <v>Total</v>
      </c>
    </row>
    <row r="243" spans="5:20">
      <c r="E243" s="15" t="s">
        <v>72</v>
      </c>
      <c r="F243" s="15" t="s">
        <v>238</v>
      </c>
      <c r="G243" s="11" t="s">
        <v>74</v>
      </c>
      <c r="H243" s="23" t="s">
        <v>75</v>
      </c>
      <c r="I243" s="23" t="s">
        <v>75</v>
      </c>
      <c r="J243" s="23" t="s">
        <v>75</v>
      </c>
      <c r="K243" s="23" t="s">
        <v>75</v>
      </c>
      <c r="L243" s="23" t="s">
        <v>75</v>
      </c>
      <c r="M243" s="23" t="s">
        <v>75</v>
      </c>
      <c r="N243" s="23" t="s">
        <v>75</v>
      </c>
      <c r="O243" s="30" t="s">
        <v>75</v>
      </c>
      <c r="P243" s="31"/>
      <c r="Q243" s="11" t="s">
        <v>37</v>
      </c>
      <c r="S243" s="18" t="str">
        <f t="shared" si="6"/>
        <v>USN</v>
      </c>
      <c r="T243" s="18" t="str">
        <f t="shared" si="7"/>
        <v/>
      </c>
    </row>
    <row r="244" spans="5:20">
      <c r="E244" s="16" t="s">
        <v>37</v>
      </c>
      <c r="F244" s="16" t="s">
        <v>37</v>
      </c>
      <c r="G244" s="16" t="s">
        <v>37</v>
      </c>
      <c r="H244" s="24" t="s">
        <v>37</v>
      </c>
      <c r="I244" s="24" t="s">
        <v>37</v>
      </c>
      <c r="J244" s="24" t="s">
        <v>37</v>
      </c>
      <c r="K244" s="24" t="s">
        <v>37</v>
      </c>
      <c r="L244" s="24" t="s">
        <v>37</v>
      </c>
      <c r="M244" s="24" t="s">
        <v>37</v>
      </c>
      <c r="N244" s="24" t="s">
        <v>37</v>
      </c>
      <c r="O244" s="41" t="s">
        <v>37</v>
      </c>
      <c r="P244" s="28"/>
      <c r="Q244" s="24" t="s">
        <v>37</v>
      </c>
      <c r="S244" s="18" t="str">
        <f t="shared" si="6"/>
        <v>RAKSHITHA</v>
      </c>
      <c r="T244" s="18" t="str">
        <f t="shared" si="7"/>
        <v/>
      </c>
    </row>
    <row r="245" spans="5:20" ht="0" hidden="1" customHeight="1">
      <c r="S245" s="18">
        <f t="shared" si="6"/>
        <v>0</v>
      </c>
      <c r="T245" s="18">
        <f t="shared" si="7"/>
        <v>0</v>
      </c>
    </row>
    <row r="246" spans="5:20" ht="0.6" customHeight="1">
      <c r="S246" s="18">
        <f t="shared" si="6"/>
        <v>0</v>
      </c>
      <c r="T246" s="18">
        <f t="shared" si="7"/>
        <v>25</v>
      </c>
    </row>
    <row r="247" spans="5:20">
      <c r="E247" s="38" t="s">
        <v>35</v>
      </c>
      <c r="F247" s="31"/>
      <c r="G247" s="19" t="s">
        <v>36</v>
      </c>
      <c r="H247" s="20" t="s">
        <v>37</v>
      </c>
      <c r="I247" s="20" t="s">
        <v>37</v>
      </c>
      <c r="J247" s="20" t="s">
        <v>37</v>
      </c>
      <c r="K247" s="20" t="s">
        <v>37</v>
      </c>
      <c r="L247" s="20" t="s">
        <v>37</v>
      </c>
      <c r="M247" s="20" t="s">
        <v>37</v>
      </c>
      <c r="N247" s="20" t="s">
        <v>37</v>
      </c>
      <c r="O247" s="39" t="s">
        <v>37</v>
      </c>
      <c r="P247" s="28"/>
      <c r="Q247" s="20" t="s">
        <v>37</v>
      </c>
      <c r="S247" s="18" t="str">
        <f t="shared" si="6"/>
        <v>SGPA</v>
      </c>
      <c r="T247" s="18" t="str">
        <f t="shared" si="7"/>
        <v/>
      </c>
    </row>
    <row r="248" spans="5:20" ht="21">
      <c r="E248" s="32" t="s">
        <v>239</v>
      </c>
      <c r="F248" s="31"/>
      <c r="G248" s="22" t="s">
        <v>39</v>
      </c>
      <c r="H248" s="22" t="s">
        <v>19</v>
      </c>
      <c r="I248" s="22" t="s">
        <v>9</v>
      </c>
      <c r="J248" s="22" t="s">
        <v>21</v>
      </c>
      <c r="K248" s="22" t="s">
        <v>11</v>
      </c>
      <c r="L248" s="22" t="s">
        <v>17</v>
      </c>
      <c r="M248" s="22" t="s">
        <v>27</v>
      </c>
      <c r="N248" s="22" t="s">
        <v>5</v>
      </c>
      <c r="O248" s="40" t="s">
        <v>7</v>
      </c>
      <c r="P248" s="31"/>
      <c r="Q248" s="22" t="s">
        <v>40</v>
      </c>
      <c r="S248" s="18" t="str">
        <f t="shared" si="6"/>
        <v>CGPA</v>
      </c>
      <c r="T248" s="18">
        <f t="shared" si="7"/>
        <v>200.5</v>
      </c>
    </row>
    <row r="249" spans="5:20" ht="22.5">
      <c r="E249" s="21" t="s">
        <v>41</v>
      </c>
      <c r="F249" s="21" t="s">
        <v>240</v>
      </c>
      <c r="G249" s="11" t="s">
        <v>43</v>
      </c>
      <c r="H249" s="23" t="s">
        <v>241</v>
      </c>
      <c r="I249" s="23" t="s">
        <v>242</v>
      </c>
      <c r="J249" s="23" t="s">
        <v>243</v>
      </c>
      <c r="K249" s="23" t="s">
        <v>244</v>
      </c>
      <c r="L249" s="23" t="s">
        <v>245</v>
      </c>
      <c r="M249" s="23" t="s">
        <v>246</v>
      </c>
      <c r="N249" s="23" t="s">
        <v>51</v>
      </c>
      <c r="O249" s="30" t="s">
        <v>247</v>
      </c>
      <c r="P249" s="31"/>
      <c r="Q249" s="11" t="s">
        <v>37</v>
      </c>
      <c r="S249" s="18" t="str">
        <f t="shared" si="6"/>
        <v>Result: PASS</v>
      </c>
      <c r="T249" s="18">
        <f t="shared" si="7"/>
        <v>548</v>
      </c>
    </row>
    <row r="250" spans="5:20">
      <c r="E250" s="32" t="s">
        <v>248</v>
      </c>
      <c r="F250" s="33"/>
      <c r="G250" s="11" t="s">
        <v>53</v>
      </c>
      <c r="H250" s="23" t="s">
        <v>51</v>
      </c>
      <c r="I250" s="23" t="s">
        <v>51</v>
      </c>
      <c r="J250" s="23" t="s">
        <v>51</v>
      </c>
      <c r="K250" s="23" t="s">
        <v>51</v>
      </c>
      <c r="L250" s="23" t="s">
        <v>51</v>
      </c>
      <c r="M250" s="23" t="s">
        <v>51</v>
      </c>
      <c r="N250" s="23" t="s">
        <v>100</v>
      </c>
      <c r="O250" s="30" t="s">
        <v>51</v>
      </c>
      <c r="P250" s="31"/>
      <c r="Q250" s="11" t="s">
        <v>37</v>
      </c>
      <c r="S250" s="18" t="str">
        <f t="shared" si="6"/>
        <v>Class</v>
      </c>
      <c r="T250" s="18">
        <f t="shared" si="7"/>
        <v>700</v>
      </c>
    </row>
    <row r="251" spans="5:20">
      <c r="E251" s="34"/>
      <c r="F251" s="35"/>
      <c r="G251" s="11" t="s">
        <v>55</v>
      </c>
      <c r="H251" s="23" t="s">
        <v>37</v>
      </c>
      <c r="I251" s="23" t="s">
        <v>37</v>
      </c>
      <c r="J251" s="23" t="s">
        <v>37</v>
      </c>
      <c r="K251" s="23" t="s">
        <v>37</v>
      </c>
      <c r="L251" s="23" t="s">
        <v>37</v>
      </c>
      <c r="M251" s="23" t="s">
        <v>37</v>
      </c>
      <c r="N251" s="23" t="s">
        <v>37</v>
      </c>
      <c r="O251" s="30" t="s">
        <v>37</v>
      </c>
      <c r="P251" s="31"/>
      <c r="Q251" s="11">
        <v>0</v>
      </c>
      <c r="S251" s="18" t="str">
        <f t="shared" si="6"/>
        <v>Term Grade: OA</v>
      </c>
      <c r="T251" s="18" t="str">
        <f t="shared" si="7"/>
        <v/>
      </c>
    </row>
    <row r="252" spans="5:20">
      <c r="E252" s="36"/>
      <c r="F252" s="37"/>
      <c r="G252" s="11" t="s">
        <v>56</v>
      </c>
      <c r="H252" s="23">
        <v>4</v>
      </c>
      <c r="I252" s="23">
        <v>4</v>
      </c>
      <c r="J252" s="23">
        <v>4</v>
      </c>
      <c r="K252" s="23">
        <v>3</v>
      </c>
      <c r="L252" s="23">
        <v>3</v>
      </c>
      <c r="M252" s="23">
        <v>3</v>
      </c>
      <c r="N252" s="23">
        <v>2</v>
      </c>
      <c r="O252" s="30">
        <v>2</v>
      </c>
      <c r="P252" s="31"/>
      <c r="Q252" s="11">
        <v>25</v>
      </c>
      <c r="S252" s="18" t="str">
        <f t="shared" si="6"/>
        <v>M.C.No</v>
      </c>
      <c r="T252" s="18" t="str">
        <f t="shared" si="7"/>
        <v/>
      </c>
    </row>
    <row r="253" spans="5:20">
      <c r="E253" s="21" t="s">
        <v>57</v>
      </c>
      <c r="F253" s="21">
        <v>8.02</v>
      </c>
      <c r="G253" s="11" t="s">
        <v>58</v>
      </c>
      <c r="H253" s="23">
        <v>7.5</v>
      </c>
      <c r="I253" s="23">
        <v>7</v>
      </c>
      <c r="J253" s="23">
        <v>8</v>
      </c>
      <c r="K253" s="23">
        <v>7.5</v>
      </c>
      <c r="L253" s="23">
        <v>8.5</v>
      </c>
      <c r="M253" s="23">
        <v>8.5</v>
      </c>
      <c r="N253" s="23">
        <v>10</v>
      </c>
      <c r="O253" s="30">
        <v>8.5</v>
      </c>
      <c r="P253" s="31"/>
      <c r="Q253" s="11" t="s">
        <v>37</v>
      </c>
      <c r="S253" s="18" t="str">
        <f t="shared" si="6"/>
        <v/>
      </c>
      <c r="T253" s="18" t="str">
        <f t="shared" si="7"/>
        <v/>
      </c>
    </row>
    <row r="254" spans="5:20">
      <c r="E254" s="21" t="s">
        <v>59</v>
      </c>
      <c r="F254" s="14">
        <v>8.02</v>
      </c>
      <c r="G254" s="11" t="s">
        <v>60</v>
      </c>
      <c r="H254" s="23">
        <v>30</v>
      </c>
      <c r="I254" s="23">
        <v>28</v>
      </c>
      <c r="J254" s="23">
        <v>32</v>
      </c>
      <c r="K254" s="23">
        <v>22.5</v>
      </c>
      <c r="L254" s="23">
        <v>25.5</v>
      </c>
      <c r="M254" s="23">
        <v>25.5</v>
      </c>
      <c r="N254" s="23">
        <v>20</v>
      </c>
      <c r="O254" s="30">
        <v>17</v>
      </c>
      <c r="P254" s="31"/>
      <c r="Q254" s="11">
        <v>200.5</v>
      </c>
      <c r="S254" s="18">
        <f t="shared" si="6"/>
        <v>0</v>
      </c>
      <c r="T254" s="18">
        <f t="shared" si="7"/>
        <v>0</v>
      </c>
    </row>
    <row r="255" spans="5:20">
      <c r="E255" s="32" t="s">
        <v>61</v>
      </c>
      <c r="F255" s="31"/>
      <c r="G255" s="11" t="s">
        <v>40</v>
      </c>
      <c r="H255" s="23">
        <v>74</v>
      </c>
      <c r="I255" s="23">
        <v>67</v>
      </c>
      <c r="J255" s="23">
        <v>79</v>
      </c>
      <c r="K255" s="23">
        <v>74</v>
      </c>
      <c r="L255" s="23">
        <v>80</v>
      </c>
      <c r="M255" s="23">
        <v>84</v>
      </c>
      <c r="N255" s="23">
        <v>50</v>
      </c>
      <c r="O255" s="30">
        <v>40</v>
      </c>
      <c r="P255" s="31"/>
      <c r="Q255" s="11">
        <v>548</v>
      </c>
      <c r="S255" s="18">
        <f t="shared" si="6"/>
        <v>0</v>
      </c>
      <c r="T255" s="18">
        <f t="shared" si="7"/>
        <v>0</v>
      </c>
    </row>
    <row r="256" spans="5:20">
      <c r="E256" s="21" t="s">
        <v>62</v>
      </c>
      <c r="F256" s="21"/>
      <c r="G256" s="11" t="s">
        <v>63</v>
      </c>
      <c r="H256" s="23">
        <v>100</v>
      </c>
      <c r="I256" s="23">
        <v>100</v>
      </c>
      <c r="J256" s="23">
        <v>100</v>
      </c>
      <c r="K256" s="23">
        <v>100</v>
      </c>
      <c r="L256" s="23">
        <v>100</v>
      </c>
      <c r="M256" s="23">
        <v>100</v>
      </c>
      <c r="N256" s="23">
        <v>50</v>
      </c>
      <c r="O256" s="30">
        <v>50</v>
      </c>
      <c r="P256" s="31"/>
      <c r="Q256" s="11">
        <v>700</v>
      </c>
      <c r="S256" s="18" t="str">
        <f t="shared" si="6"/>
        <v>Dr. B.B. Hegde First Grade College, Kundapura, Udupi.</v>
      </c>
      <c r="T256" s="18" t="str">
        <f t="shared" si="7"/>
        <v/>
      </c>
    </row>
    <row r="257" spans="5:20">
      <c r="E257" s="32" t="s">
        <v>200</v>
      </c>
      <c r="F257" s="31"/>
      <c r="G257" s="11" t="s">
        <v>65</v>
      </c>
      <c r="H257" s="23" t="s">
        <v>68</v>
      </c>
      <c r="I257" s="23" t="s">
        <v>66</v>
      </c>
      <c r="J257" s="23" t="s">
        <v>102</v>
      </c>
      <c r="K257" s="23" t="s">
        <v>68</v>
      </c>
      <c r="L257" s="23" t="s">
        <v>70</v>
      </c>
      <c r="M257" s="23" t="s">
        <v>70</v>
      </c>
      <c r="N257" s="23" t="s">
        <v>88</v>
      </c>
      <c r="O257" s="30" t="s">
        <v>70</v>
      </c>
      <c r="P257" s="31"/>
      <c r="Q257" s="11" t="s">
        <v>37</v>
      </c>
      <c r="S257" s="18" t="str">
        <f t="shared" si="6"/>
        <v>00018</v>
      </c>
      <c r="T257" s="18" t="str">
        <f t="shared" si="7"/>
        <v>Total</v>
      </c>
    </row>
    <row r="258" spans="5:20">
      <c r="E258" s="15" t="s">
        <v>72</v>
      </c>
      <c r="F258" s="15" t="s">
        <v>249</v>
      </c>
      <c r="G258" s="11" t="s">
        <v>74</v>
      </c>
      <c r="H258" s="23" t="s">
        <v>75</v>
      </c>
      <c r="I258" s="23" t="s">
        <v>75</v>
      </c>
      <c r="J258" s="23" t="s">
        <v>75</v>
      </c>
      <c r="K258" s="23" t="s">
        <v>75</v>
      </c>
      <c r="L258" s="23" t="s">
        <v>75</v>
      </c>
      <c r="M258" s="23" t="s">
        <v>75</v>
      </c>
      <c r="N258" s="23" t="s">
        <v>75</v>
      </c>
      <c r="O258" s="30" t="s">
        <v>75</v>
      </c>
      <c r="P258" s="31"/>
      <c r="Q258" s="11" t="s">
        <v>37</v>
      </c>
      <c r="S258" s="18" t="str">
        <f t="shared" si="6"/>
        <v>USN</v>
      </c>
      <c r="T258" s="18" t="str">
        <f t="shared" si="7"/>
        <v/>
      </c>
    </row>
    <row r="259" spans="5:20">
      <c r="E259" s="16" t="s">
        <v>37</v>
      </c>
      <c r="F259" s="16" t="s">
        <v>37</v>
      </c>
      <c r="G259" s="16" t="s">
        <v>37</v>
      </c>
      <c r="H259" s="24" t="s">
        <v>37</v>
      </c>
      <c r="I259" s="24" t="s">
        <v>37</v>
      </c>
      <c r="J259" s="24" t="s">
        <v>37</v>
      </c>
      <c r="K259" s="24" t="s">
        <v>37</v>
      </c>
      <c r="L259" s="24" t="s">
        <v>37</v>
      </c>
      <c r="M259" s="24" t="s">
        <v>37</v>
      </c>
      <c r="N259" s="24" t="s">
        <v>37</v>
      </c>
      <c r="O259" s="41" t="s">
        <v>37</v>
      </c>
      <c r="P259" s="28"/>
      <c r="Q259" s="24" t="s">
        <v>37</v>
      </c>
      <c r="S259" s="18" t="str">
        <f t="shared" si="6"/>
        <v>PRAJWAL</v>
      </c>
      <c r="T259" s="18" t="str">
        <f t="shared" si="7"/>
        <v/>
      </c>
    </row>
    <row r="260" spans="5:20" ht="0" hidden="1" customHeight="1">
      <c r="S260" s="18">
        <f t="shared" si="6"/>
        <v>0</v>
      </c>
      <c r="T260" s="18">
        <f t="shared" si="7"/>
        <v>0</v>
      </c>
    </row>
    <row r="261" spans="5:20" ht="0.6" customHeight="1">
      <c r="S261" s="18">
        <f t="shared" si="6"/>
        <v>0</v>
      </c>
      <c r="T261" s="18">
        <f t="shared" si="7"/>
        <v>15</v>
      </c>
    </row>
    <row r="262" spans="5:20">
      <c r="E262" s="38" t="s">
        <v>35</v>
      </c>
      <c r="F262" s="31"/>
      <c r="G262" s="19" t="s">
        <v>36</v>
      </c>
      <c r="H262" s="20" t="s">
        <v>37</v>
      </c>
      <c r="I262" s="20" t="s">
        <v>37</v>
      </c>
      <c r="J262" s="20" t="s">
        <v>37</v>
      </c>
      <c r="K262" s="20" t="s">
        <v>37</v>
      </c>
      <c r="L262" s="20" t="s">
        <v>37</v>
      </c>
      <c r="M262" s="20" t="s">
        <v>37</v>
      </c>
      <c r="N262" s="20" t="s">
        <v>37</v>
      </c>
      <c r="O262" s="39" t="s">
        <v>37</v>
      </c>
      <c r="P262" s="28"/>
      <c r="Q262" s="20" t="s">
        <v>37</v>
      </c>
      <c r="S262" s="18" t="str">
        <f t="shared" si="6"/>
        <v>SGPA</v>
      </c>
      <c r="T262" s="18" t="str">
        <f t="shared" si="7"/>
        <v/>
      </c>
    </row>
    <row r="263" spans="5:20" ht="21">
      <c r="E263" s="32" t="s">
        <v>250</v>
      </c>
      <c r="F263" s="31"/>
      <c r="G263" s="22" t="s">
        <v>39</v>
      </c>
      <c r="H263" s="22" t="s">
        <v>19</v>
      </c>
      <c r="I263" s="22" t="s">
        <v>9</v>
      </c>
      <c r="J263" s="22" t="s">
        <v>21</v>
      </c>
      <c r="K263" s="22" t="s">
        <v>11</v>
      </c>
      <c r="L263" s="22" t="s">
        <v>17</v>
      </c>
      <c r="M263" s="22" t="s">
        <v>27</v>
      </c>
      <c r="N263" s="22" t="s">
        <v>7</v>
      </c>
      <c r="O263" s="40" t="s">
        <v>29</v>
      </c>
      <c r="P263" s="31"/>
      <c r="Q263" s="22" t="s">
        <v>40</v>
      </c>
      <c r="S263" s="18" t="str">
        <f t="shared" si="6"/>
        <v>CGPA</v>
      </c>
      <c r="T263" s="18">
        <f t="shared" si="7"/>
        <v>86.5</v>
      </c>
    </row>
    <row r="264" spans="5:20" ht="22.5">
      <c r="E264" s="21" t="s">
        <v>41</v>
      </c>
      <c r="F264" s="21" t="s">
        <v>251</v>
      </c>
      <c r="G264" s="11" t="s">
        <v>43</v>
      </c>
      <c r="H264" s="23" t="s">
        <v>252</v>
      </c>
      <c r="I264" s="23" t="s">
        <v>253</v>
      </c>
      <c r="J264" s="23" t="s">
        <v>252</v>
      </c>
      <c r="K264" s="23" t="s">
        <v>254</v>
      </c>
      <c r="L264" s="23" t="s">
        <v>255</v>
      </c>
      <c r="M264" s="23" t="s">
        <v>256</v>
      </c>
      <c r="N264" s="23" t="s">
        <v>257</v>
      </c>
      <c r="O264" s="30" t="s">
        <v>51</v>
      </c>
      <c r="P264" s="31"/>
      <c r="Q264" s="11" t="s">
        <v>37</v>
      </c>
      <c r="S264" s="18" t="str">
        <f t="shared" si="6"/>
        <v>Result: FAIL</v>
      </c>
      <c r="T264" s="18">
        <f t="shared" si="7"/>
        <v>322</v>
      </c>
    </row>
    <row r="265" spans="5:20">
      <c r="E265" s="32" t="s">
        <v>258</v>
      </c>
      <c r="F265" s="33"/>
      <c r="G265" s="11" t="s">
        <v>53</v>
      </c>
      <c r="H265" s="23" t="s">
        <v>51</v>
      </c>
      <c r="I265" s="23" t="s">
        <v>51</v>
      </c>
      <c r="J265" s="23" t="s">
        <v>51</v>
      </c>
      <c r="K265" s="23" t="s">
        <v>51</v>
      </c>
      <c r="L265" s="23" t="s">
        <v>51</v>
      </c>
      <c r="M265" s="23" t="s">
        <v>51</v>
      </c>
      <c r="N265" s="23" t="s">
        <v>51</v>
      </c>
      <c r="O265" s="30" t="s">
        <v>259</v>
      </c>
      <c r="P265" s="31"/>
      <c r="Q265" s="11" t="s">
        <v>37</v>
      </c>
      <c r="S265" s="18" t="str">
        <f t="shared" si="6"/>
        <v>Class</v>
      </c>
      <c r="T265" s="18">
        <f t="shared" si="7"/>
        <v>700</v>
      </c>
    </row>
    <row r="266" spans="5:20">
      <c r="E266" s="34"/>
      <c r="F266" s="35"/>
      <c r="G266" s="11" t="s">
        <v>55</v>
      </c>
      <c r="H266" s="23" t="s">
        <v>37</v>
      </c>
      <c r="I266" s="23" t="s">
        <v>37</v>
      </c>
      <c r="J266" s="23" t="s">
        <v>37</v>
      </c>
      <c r="K266" s="23" t="s">
        <v>37</v>
      </c>
      <c r="L266" s="23" t="s">
        <v>37</v>
      </c>
      <c r="M266" s="23" t="s">
        <v>37</v>
      </c>
      <c r="N266" s="23" t="s">
        <v>37</v>
      </c>
      <c r="O266" s="30" t="s">
        <v>37</v>
      </c>
      <c r="P266" s="31"/>
      <c r="Q266" s="11">
        <v>0</v>
      </c>
      <c r="S266" s="18" t="str">
        <f t="shared" si="6"/>
        <v>Term Grade: FF</v>
      </c>
      <c r="T266" s="18" t="str">
        <f t="shared" si="7"/>
        <v/>
      </c>
    </row>
    <row r="267" spans="5:20">
      <c r="E267" s="36"/>
      <c r="F267" s="37"/>
      <c r="G267" s="11" t="s">
        <v>56</v>
      </c>
      <c r="H267" s="23">
        <v>4</v>
      </c>
      <c r="I267" s="23">
        <v>4</v>
      </c>
      <c r="J267" s="23">
        <v>4</v>
      </c>
      <c r="K267" s="23">
        <v>3</v>
      </c>
      <c r="L267" s="23">
        <v>3</v>
      </c>
      <c r="M267" s="23">
        <v>3</v>
      </c>
      <c r="N267" s="23">
        <v>2</v>
      </c>
      <c r="O267" s="30">
        <v>2</v>
      </c>
      <c r="P267" s="31"/>
      <c r="Q267" s="11">
        <v>15</v>
      </c>
      <c r="S267" s="18" t="str">
        <f t="shared" si="6"/>
        <v>M.C.No</v>
      </c>
      <c r="T267" s="18" t="str">
        <f t="shared" si="7"/>
        <v/>
      </c>
    </row>
    <row r="268" spans="5:20">
      <c r="E268" s="21" t="s">
        <v>57</v>
      </c>
      <c r="F268" s="21">
        <v>3.46</v>
      </c>
      <c r="G268" s="11" t="s">
        <v>58</v>
      </c>
      <c r="H268" s="23">
        <v>5</v>
      </c>
      <c r="I268" s="23"/>
      <c r="J268" s="23">
        <v>5</v>
      </c>
      <c r="K268" s="23">
        <v>5.5</v>
      </c>
      <c r="L268" s="23"/>
      <c r="M268" s="23"/>
      <c r="N268" s="23">
        <v>6.5</v>
      </c>
      <c r="O268" s="30">
        <v>8.5</v>
      </c>
      <c r="P268" s="31"/>
      <c r="Q268" s="11" t="s">
        <v>37</v>
      </c>
      <c r="S268" s="18" t="str">
        <f t="shared" ref="S268:S331" si="8">$E274</f>
        <v/>
      </c>
      <c r="T268" s="18" t="str">
        <f t="shared" ref="T268:T331" si="9">$Q274</f>
        <v/>
      </c>
    </row>
    <row r="269" spans="5:20">
      <c r="E269" s="21" t="s">
        <v>59</v>
      </c>
      <c r="F269" s="21"/>
      <c r="G269" s="11" t="s">
        <v>60</v>
      </c>
      <c r="H269" s="23">
        <v>20</v>
      </c>
      <c r="I269" s="23"/>
      <c r="J269" s="23">
        <v>20</v>
      </c>
      <c r="K269" s="23">
        <v>16.5</v>
      </c>
      <c r="L269" s="23"/>
      <c r="M269" s="23"/>
      <c r="N269" s="23">
        <v>13</v>
      </c>
      <c r="O269" s="30">
        <v>17</v>
      </c>
      <c r="P269" s="31"/>
      <c r="Q269" s="11">
        <v>86.5</v>
      </c>
      <c r="S269" s="18">
        <f t="shared" si="8"/>
        <v>0</v>
      </c>
      <c r="T269" s="18">
        <f t="shared" si="9"/>
        <v>0</v>
      </c>
    </row>
    <row r="270" spans="5:20">
      <c r="E270" s="32" t="s">
        <v>260</v>
      </c>
      <c r="F270" s="31"/>
      <c r="G270" s="11" t="s">
        <v>40</v>
      </c>
      <c r="H270" s="23">
        <v>47</v>
      </c>
      <c r="I270" s="23">
        <v>38</v>
      </c>
      <c r="J270" s="23">
        <v>47</v>
      </c>
      <c r="K270" s="23">
        <v>51</v>
      </c>
      <c r="L270" s="23">
        <v>39</v>
      </c>
      <c r="M270" s="23">
        <v>28</v>
      </c>
      <c r="N270" s="23">
        <v>30</v>
      </c>
      <c r="O270" s="30">
        <v>42</v>
      </c>
      <c r="P270" s="31"/>
      <c r="Q270" s="11">
        <v>322</v>
      </c>
      <c r="S270" s="18">
        <f t="shared" si="8"/>
        <v>0</v>
      </c>
      <c r="T270" s="18">
        <f t="shared" si="9"/>
        <v>0</v>
      </c>
    </row>
    <row r="271" spans="5:20">
      <c r="E271" s="21" t="s">
        <v>62</v>
      </c>
      <c r="F271" s="21"/>
      <c r="G271" s="11" t="s">
        <v>63</v>
      </c>
      <c r="H271" s="23">
        <v>100</v>
      </c>
      <c r="I271" s="23">
        <v>100</v>
      </c>
      <c r="J271" s="23">
        <v>100</v>
      </c>
      <c r="K271" s="23">
        <v>100</v>
      </c>
      <c r="L271" s="23">
        <v>100</v>
      </c>
      <c r="M271" s="23">
        <v>100</v>
      </c>
      <c r="N271" s="23">
        <v>50</v>
      </c>
      <c r="O271" s="30">
        <v>50</v>
      </c>
      <c r="P271" s="31"/>
      <c r="Q271" s="11">
        <v>700</v>
      </c>
      <c r="S271" s="18" t="str">
        <f t="shared" si="8"/>
        <v>Dr. B.B. Hegde First Grade College, Kundapura, Udupi.</v>
      </c>
      <c r="T271" s="18" t="str">
        <f t="shared" si="9"/>
        <v/>
      </c>
    </row>
    <row r="272" spans="5:20">
      <c r="E272" s="32" t="s">
        <v>261</v>
      </c>
      <c r="F272" s="31"/>
      <c r="G272" s="11" t="s">
        <v>65</v>
      </c>
      <c r="H272" s="23" t="s">
        <v>127</v>
      </c>
      <c r="I272" s="23"/>
      <c r="J272" s="23" t="s">
        <v>127</v>
      </c>
      <c r="K272" s="23" t="s">
        <v>138</v>
      </c>
      <c r="L272" s="23"/>
      <c r="M272" s="23"/>
      <c r="N272" s="23" t="s">
        <v>69</v>
      </c>
      <c r="O272" s="30" t="s">
        <v>70</v>
      </c>
      <c r="P272" s="31"/>
      <c r="Q272" s="11" t="s">
        <v>37</v>
      </c>
      <c r="S272" s="18" t="str">
        <f t="shared" si="8"/>
        <v>00019</v>
      </c>
      <c r="T272" s="18" t="str">
        <f t="shared" si="9"/>
        <v>Total</v>
      </c>
    </row>
    <row r="273" spans="5:20">
      <c r="E273" s="15" t="s">
        <v>72</v>
      </c>
      <c r="F273" s="15" t="s">
        <v>262</v>
      </c>
      <c r="G273" s="11" t="s">
        <v>74</v>
      </c>
      <c r="H273" s="23" t="s">
        <v>75</v>
      </c>
      <c r="I273" s="23" t="s">
        <v>263</v>
      </c>
      <c r="J273" s="23" t="s">
        <v>75</v>
      </c>
      <c r="K273" s="23" t="s">
        <v>75</v>
      </c>
      <c r="L273" s="23" t="s">
        <v>263</v>
      </c>
      <c r="M273" s="23" t="s">
        <v>263</v>
      </c>
      <c r="N273" s="23" t="s">
        <v>75</v>
      </c>
      <c r="O273" s="30" t="s">
        <v>75</v>
      </c>
      <c r="P273" s="31"/>
      <c r="Q273" s="11" t="s">
        <v>37</v>
      </c>
      <c r="S273" s="18" t="str">
        <f t="shared" si="8"/>
        <v>USN</v>
      </c>
      <c r="T273" s="18" t="str">
        <f t="shared" si="9"/>
        <v/>
      </c>
    </row>
    <row r="274" spans="5:20">
      <c r="E274" s="16" t="s">
        <v>37</v>
      </c>
      <c r="F274" s="16" t="s">
        <v>37</v>
      </c>
      <c r="G274" s="16" t="s">
        <v>37</v>
      </c>
      <c r="H274" s="24" t="s">
        <v>37</v>
      </c>
      <c r="I274" s="24" t="s">
        <v>37</v>
      </c>
      <c r="J274" s="24" t="s">
        <v>37</v>
      </c>
      <c r="K274" s="24" t="s">
        <v>37</v>
      </c>
      <c r="L274" s="24" t="s">
        <v>37</v>
      </c>
      <c r="M274" s="24" t="s">
        <v>37</v>
      </c>
      <c r="N274" s="24" t="s">
        <v>37</v>
      </c>
      <c r="O274" s="41" t="s">
        <v>37</v>
      </c>
      <c r="P274" s="28"/>
      <c r="Q274" s="24" t="s">
        <v>37</v>
      </c>
      <c r="S274" s="18" t="str">
        <f t="shared" si="8"/>
        <v>SNEHA KHARVI</v>
      </c>
      <c r="T274" s="18" t="str">
        <f t="shared" si="9"/>
        <v/>
      </c>
    </row>
    <row r="275" spans="5:20" ht="0" hidden="1" customHeight="1">
      <c r="S275" s="18">
        <f t="shared" si="8"/>
        <v>0</v>
      </c>
      <c r="T275" s="18">
        <f t="shared" si="9"/>
        <v>0</v>
      </c>
    </row>
    <row r="276" spans="5:20" ht="0.6" customHeight="1">
      <c r="S276" s="18">
        <f t="shared" si="8"/>
        <v>0</v>
      </c>
      <c r="T276" s="18">
        <f t="shared" si="9"/>
        <v>25</v>
      </c>
    </row>
    <row r="277" spans="5:20">
      <c r="E277" s="38" t="s">
        <v>35</v>
      </c>
      <c r="F277" s="31"/>
      <c r="G277" s="19" t="s">
        <v>36</v>
      </c>
      <c r="H277" s="20" t="s">
        <v>37</v>
      </c>
      <c r="I277" s="20" t="s">
        <v>37</v>
      </c>
      <c r="J277" s="20" t="s">
        <v>37</v>
      </c>
      <c r="K277" s="20" t="s">
        <v>37</v>
      </c>
      <c r="L277" s="20" t="s">
        <v>37</v>
      </c>
      <c r="M277" s="20" t="s">
        <v>37</v>
      </c>
      <c r="N277" s="20" t="s">
        <v>37</v>
      </c>
      <c r="O277" s="39" t="s">
        <v>37</v>
      </c>
      <c r="P277" s="28"/>
      <c r="Q277" s="20" t="s">
        <v>37</v>
      </c>
      <c r="S277" s="18" t="str">
        <f t="shared" si="8"/>
        <v>SGPA</v>
      </c>
      <c r="T277" s="18" t="str">
        <f t="shared" si="9"/>
        <v/>
      </c>
    </row>
    <row r="278" spans="5:20" ht="21">
      <c r="E278" s="32" t="s">
        <v>264</v>
      </c>
      <c r="F278" s="31"/>
      <c r="G278" s="22" t="s">
        <v>39</v>
      </c>
      <c r="H278" s="22" t="s">
        <v>19</v>
      </c>
      <c r="I278" s="22" t="s">
        <v>9</v>
      </c>
      <c r="J278" s="22" t="s">
        <v>21</v>
      </c>
      <c r="K278" s="22" t="s">
        <v>11</v>
      </c>
      <c r="L278" s="22" t="s">
        <v>15</v>
      </c>
      <c r="M278" s="22" t="s">
        <v>27</v>
      </c>
      <c r="N278" s="22" t="s">
        <v>7</v>
      </c>
      <c r="O278" s="40" t="s">
        <v>13</v>
      </c>
      <c r="P278" s="31"/>
      <c r="Q278" s="22" t="s">
        <v>40</v>
      </c>
      <c r="S278" s="18" t="str">
        <f t="shared" si="8"/>
        <v>CGPA</v>
      </c>
      <c r="T278" s="18">
        <f t="shared" si="9"/>
        <v>157</v>
      </c>
    </row>
    <row r="279" spans="5:20" ht="22.5">
      <c r="E279" s="21" t="s">
        <v>41</v>
      </c>
      <c r="F279" s="21" t="s">
        <v>265</v>
      </c>
      <c r="G279" s="11" t="s">
        <v>43</v>
      </c>
      <c r="H279" s="23" t="s">
        <v>266</v>
      </c>
      <c r="I279" s="23" t="s">
        <v>267</v>
      </c>
      <c r="J279" s="23" t="s">
        <v>268</v>
      </c>
      <c r="K279" s="23" t="s">
        <v>269</v>
      </c>
      <c r="L279" s="23" t="s">
        <v>270</v>
      </c>
      <c r="M279" s="23" t="s">
        <v>122</v>
      </c>
      <c r="N279" s="23" t="s">
        <v>271</v>
      </c>
      <c r="O279" s="30" t="s">
        <v>51</v>
      </c>
      <c r="P279" s="31"/>
      <c r="Q279" s="11" t="s">
        <v>37</v>
      </c>
      <c r="S279" s="18" t="str">
        <f t="shared" si="8"/>
        <v>Result: PASS</v>
      </c>
      <c r="T279" s="18">
        <f t="shared" si="9"/>
        <v>414</v>
      </c>
    </row>
    <row r="280" spans="5:20">
      <c r="E280" s="32" t="s">
        <v>272</v>
      </c>
      <c r="F280" s="33"/>
      <c r="G280" s="11" t="s">
        <v>53</v>
      </c>
      <c r="H280" s="23" t="s">
        <v>51</v>
      </c>
      <c r="I280" s="23" t="s">
        <v>51</v>
      </c>
      <c r="J280" s="23" t="s">
        <v>51</v>
      </c>
      <c r="K280" s="23" t="s">
        <v>51</v>
      </c>
      <c r="L280" s="23" t="s">
        <v>51</v>
      </c>
      <c r="M280" s="23" t="s">
        <v>51</v>
      </c>
      <c r="N280" s="23" t="s">
        <v>51</v>
      </c>
      <c r="O280" s="30" t="s">
        <v>100</v>
      </c>
      <c r="P280" s="31"/>
      <c r="Q280" s="11" t="s">
        <v>37</v>
      </c>
      <c r="S280" s="18" t="str">
        <f t="shared" si="8"/>
        <v>Class</v>
      </c>
      <c r="T280" s="18">
        <f t="shared" si="9"/>
        <v>700</v>
      </c>
    </row>
    <row r="281" spans="5:20">
      <c r="E281" s="34"/>
      <c r="F281" s="35"/>
      <c r="G281" s="11" t="s">
        <v>55</v>
      </c>
      <c r="H281" s="23" t="s">
        <v>37</v>
      </c>
      <c r="I281" s="23" t="s">
        <v>37</v>
      </c>
      <c r="J281" s="23" t="s">
        <v>37</v>
      </c>
      <c r="K281" s="23" t="s">
        <v>37</v>
      </c>
      <c r="L281" s="23" t="s">
        <v>37</v>
      </c>
      <c r="M281" s="23" t="s">
        <v>37</v>
      </c>
      <c r="N281" s="23" t="s">
        <v>37</v>
      </c>
      <c r="O281" s="30" t="s">
        <v>37</v>
      </c>
      <c r="P281" s="31"/>
      <c r="Q281" s="11">
        <v>0</v>
      </c>
      <c r="S281" s="18" t="str">
        <f t="shared" si="8"/>
        <v>Term Grade: AB</v>
      </c>
      <c r="T281" s="18" t="str">
        <f t="shared" si="9"/>
        <v/>
      </c>
    </row>
    <row r="282" spans="5:20">
      <c r="E282" s="36"/>
      <c r="F282" s="37"/>
      <c r="G282" s="11" t="s">
        <v>56</v>
      </c>
      <c r="H282" s="23">
        <v>4</v>
      </c>
      <c r="I282" s="23">
        <v>4</v>
      </c>
      <c r="J282" s="23">
        <v>4</v>
      </c>
      <c r="K282" s="23">
        <v>3</v>
      </c>
      <c r="L282" s="23">
        <v>3</v>
      </c>
      <c r="M282" s="23">
        <v>3</v>
      </c>
      <c r="N282" s="23">
        <v>2</v>
      </c>
      <c r="O282" s="30">
        <v>2</v>
      </c>
      <c r="P282" s="31"/>
      <c r="Q282" s="11">
        <v>25</v>
      </c>
      <c r="S282" s="18" t="str">
        <f t="shared" si="8"/>
        <v>M.C.No</v>
      </c>
      <c r="T282" s="18" t="str">
        <f t="shared" si="9"/>
        <v/>
      </c>
    </row>
    <row r="283" spans="5:20">
      <c r="E283" s="21" t="s">
        <v>57</v>
      </c>
      <c r="F283" s="21">
        <v>6.28</v>
      </c>
      <c r="G283" s="11" t="s">
        <v>58</v>
      </c>
      <c r="H283" s="23">
        <v>5.5</v>
      </c>
      <c r="I283" s="23">
        <v>5</v>
      </c>
      <c r="J283" s="23">
        <v>6.5</v>
      </c>
      <c r="K283" s="23">
        <v>5.5</v>
      </c>
      <c r="L283" s="23">
        <v>6.5</v>
      </c>
      <c r="M283" s="23">
        <v>5</v>
      </c>
      <c r="N283" s="23">
        <v>9</v>
      </c>
      <c r="O283" s="30">
        <v>10</v>
      </c>
      <c r="P283" s="31"/>
      <c r="Q283" s="11" t="s">
        <v>37</v>
      </c>
      <c r="S283" s="18" t="str">
        <f t="shared" si="8"/>
        <v/>
      </c>
      <c r="T283" s="18" t="str">
        <f t="shared" si="9"/>
        <v/>
      </c>
    </row>
    <row r="284" spans="5:20">
      <c r="E284" s="21" t="s">
        <v>59</v>
      </c>
      <c r="F284" s="14">
        <v>6.28</v>
      </c>
      <c r="G284" s="11" t="s">
        <v>60</v>
      </c>
      <c r="H284" s="23">
        <v>22</v>
      </c>
      <c r="I284" s="23">
        <v>20</v>
      </c>
      <c r="J284" s="23">
        <v>26</v>
      </c>
      <c r="K284" s="23">
        <v>16.5</v>
      </c>
      <c r="L284" s="23">
        <v>19.5</v>
      </c>
      <c r="M284" s="23">
        <v>15</v>
      </c>
      <c r="N284" s="23">
        <v>18</v>
      </c>
      <c r="O284" s="30">
        <v>20</v>
      </c>
      <c r="P284" s="31"/>
      <c r="Q284" s="11">
        <v>157</v>
      </c>
      <c r="S284" s="18">
        <f t="shared" si="8"/>
        <v>0</v>
      </c>
      <c r="T284" s="18">
        <f t="shared" si="9"/>
        <v>0</v>
      </c>
    </row>
    <row r="285" spans="5:20">
      <c r="E285" s="32" t="s">
        <v>61</v>
      </c>
      <c r="F285" s="31"/>
      <c r="G285" s="11" t="s">
        <v>40</v>
      </c>
      <c r="H285" s="23">
        <v>53</v>
      </c>
      <c r="I285" s="23">
        <v>48</v>
      </c>
      <c r="J285" s="23">
        <v>60</v>
      </c>
      <c r="K285" s="23">
        <v>51</v>
      </c>
      <c r="L285" s="23">
        <v>62</v>
      </c>
      <c r="M285" s="23">
        <v>46</v>
      </c>
      <c r="N285" s="23">
        <v>44</v>
      </c>
      <c r="O285" s="30">
        <v>50</v>
      </c>
      <c r="P285" s="31"/>
      <c r="Q285" s="11">
        <v>414</v>
      </c>
      <c r="S285" s="18">
        <f t="shared" si="8"/>
        <v>0</v>
      </c>
      <c r="T285" s="18">
        <f t="shared" si="9"/>
        <v>0</v>
      </c>
    </row>
    <row r="286" spans="5:20">
      <c r="E286" s="21" t="s">
        <v>62</v>
      </c>
      <c r="F286" s="21"/>
      <c r="G286" s="11" t="s">
        <v>63</v>
      </c>
      <c r="H286" s="23">
        <v>100</v>
      </c>
      <c r="I286" s="23">
        <v>100</v>
      </c>
      <c r="J286" s="23">
        <v>100</v>
      </c>
      <c r="K286" s="23">
        <v>100</v>
      </c>
      <c r="L286" s="23">
        <v>100</v>
      </c>
      <c r="M286" s="23">
        <v>100</v>
      </c>
      <c r="N286" s="23">
        <v>50</v>
      </c>
      <c r="O286" s="30">
        <v>50</v>
      </c>
      <c r="P286" s="31"/>
      <c r="Q286" s="11">
        <v>700</v>
      </c>
      <c r="S286" s="18" t="str">
        <f t="shared" si="8"/>
        <v>Dr. B.B. Hegde First Grade College, Kundapura, Udupi.</v>
      </c>
      <c r="T286" s="18" t="str">
        <f t="shared" si="9"/>
        <v/>
      </c>
    </row>
    <row r="287" spans="5:20">
      <c r="E287" s="32" t="s">
        <v>273</v>
      </c>
      <c r="F287" s="31"/>
      <c r="G287" s="11" t="s">
        <v>65</v>
      </c>
      <c r="H287" s="23" t="s">
        <v>138</v>
      </c>
      <c r="I287" s="23" t="s">
        <v>127</v>
      </c>
      <c r="J287" s="23" t="s">
        <v>69</v>
      </c>
      <c r="K287" s="23" t="s">
        <v>138</v>
      </c>
      <c r="L287" s="23" t="s">
        <v>69</v>
      </c>
      <c r="M287" s="23" t="s">
        <v>127</v>
      </c>
      <c r="N287" s="23" t="s">
        <v>67</v>
      </c>
      <c r="O287" s="30" t="s">
        <v>88</v>
      </c>
      <c r="P287" s="31"/>
      <c r="Q287" s="11" t="s">
        <v>37</v>
      </c>
      <c r="S287" s="18" t="str">
        <f t="shared" si="8"/>
        <v>00020</v>
      </c>
      <c r="T287" s="18" t="str">
        <f t="shared" si="9"/>
        <v>Total</v>
      </c>
    </row>
    <row r="288" spans="5:20">
      <c r="E288" s="15" t="s">
        <v>72</v>
      </c>
      <c r="F288" s="15" t="s">
        <v>274</v>
      </c>
      <c r="G288" s="11" t="s">
        <v>74</v>
      </c>
      <c r="H288" s="23" t="s">
        <v>75</v>
      </c>
      <c r="I288" s="23" t="s">
        <v>75</v>
      </c>
      <c r="J288" s="23" t="s">
        <v>75</v>
      </c>
      <c r="K288" s="23" t="s">
        <v>75</v>
      </c>
      <c r="L288" s="23" t="s">
        <v>75</v>
      </c>
      <c r="M288" s="23" t="s">
        <v>75</v>
      </c>
      <c r="N288" s="23" t="s">
        <v>75</v>
      </c>
      <c r="O288" s="30" t="s">
        <v>75</v>
      </c>
      <c r="P288" s="31"/>
      <c r="Q288" s="11" t="s">
        <v>37</v>
      </c>
      <c r="S288" s="18" t="str">
        <f t="shared" si="8"/>
        <v>USN</v>
      </c>
      <c r="T288" s="18" t="str">
        <f t="shared" si="9"/>
        <v/>
      </c>
    </row>
    <row r="289" spans="5:20">
      <c r="E289" s="16" t="s">
        <v>37</v>
      </c>
      <c r="F289" s="16" t="s">
        <v>37</v>
      </c>
      <c r="G289" s="16" t="s">
        <v>37</v>
      </c>
      <c r="H289" s="24" t="s">
        <v>37</v>
      </c>
      <c r="I289" s="24" t="s">
        <v>37</v>
      </c>
      <c r="J289" s="24" t="s">
        <v>37</v>
      </c>
      <c r="K289" s="24" t="s">
        <v>37</v>
      </c>
      <c r="L289" s="24" t="s">
        <v>37</v>
      </c>
      <c r="M289" s="24" t="s">
        <v>37</v>
      </c>
      <c r="N289" s="24" t="s">
        <v>37</v>
      </c>
      <c r="O289" s="41" t="s">
        <v>37</v>
      </c>
      <c r="P289" s="28"/>
      <c r="Q289" s="24" t="s">
        <v>37</v>
      </c>
      <c r="S289" s="18" t="str">
        <f t="shared" si="8"/>
        <v>PRATHAM P BHANDARY</v>
      </c>
      <c r="T289" s="18" t="str">
        <f t="shared" si="9"/>
        <v/>
      </c>
    </row>
    <row r="290" spans="5:20" ht="0" hidden="1" customHeight="1">
      <c r="S290" s="18">
        <f t="shared" si="8"/>
        <v>0</v>
      </c>
      <c r="T290" s="18">
        <f t="shared" si="9"/>
        <v>0</v>
      </c>
    </row>
    <row r="291" spans="5:20" ht="0.6" customHeight="1">
      <c r="S291" s="18">
        <f t="shared" si="8"/>
        <v>0</v>
      </c>
      <c r="T291" s="18">
        <f t="shared" si="9"/>
        <v>25</v>
      </c>
    </row>
    <row r="292" spans="5:20">
      <c r="E292" s="38" t="s">
        <v>35</v>
      </c>
      <c r="F292" s="31"/>
      <c r="G292" s="19" t="s">
        <v>36</v>
      </c>
      <c r="H292" s="20" t="s">
        <v>37</v>
      </c>
      <c r="I292" s="20" t="s">
        <v>37</v>
      </c>
      <c r="J292" s="20" t="s">
        <v>37</v>
      </c>
      <c r="K292" s="20" t="s">
        <v>37</v>
      </c>
      <c r="L292" s="20" t="s">
        <v>37</v>
      </c>
      <c r="M292" s="20" t="s">
        <v>37</v>
      </c>
      <c r="N292" s="20" t="s">
        <v>37</v>
      </c>
      <c r="O292" s="39" t="s">
        <v>37</v>
      </c>
      <c r="P292" s="28"/>
      <c r="Q292" s="20" t="s">
        <v>37</v>
      </c>
      <c r="S292" s="18" t="str">
        <f t="shared" si="8"/>
        <v>SGPA</v>
      </c>
      <c r="T292" s="18" t="str">
        <f t="shared" si="9"/>
        <v/>
      </c>
    </row>
    <row r="293" spans="5:20" ht="21">
      <c r="E293" s="32" t="s">
        <v>275</v>
      </c>
      <c r="F293" s="31"/>
      <c r="G293" s="22" t="s">
        <v>39</v>
      </c>
      <c r="H293" s="22" t="s">
        <v>19</v>
      </c>
      <c r="I293" s="22" t="s">
        <v>9</v>
      </c>
      <c r="J293" s="22" t="s">
        <v>21</v>
      </c>
      <c r="K293" s="22" t="s">
        <v>11</v>
      </c>
      <c r="L293" s="22" t="s">
        <v>17</v>
      </c>
      <c r="M293" s="22" t="s">
        <v>27</v>
      </c>
      <c r="N293" s="22" t="s">
        <v>7</v>
      </c>
      <c r="O293" s="40" t="s">
        <v>13</v>
      </c>
      <c r="P293" s="31"/>
      <c r="Q293" s="22" t="s">
        <v>40</v>
      </c>
      <c r="S293" s="18" t="str">
        <f t="shared" si="8"/>
        <v>CGPA</v>
      </c>
      <c r="T293" s="18">
        <f t="shared" si="9"/>
        <v>221.5</v>
      </c>
    </row>
    <row r="294" spans="5:20" ht="22.5">
      <c r="E294" s="21" t="s">
        <v>41</v>
      </c>
      <c r="F294" s="21" t="s">
        <v>276</v>
      </c>
      <c r="G294" s="11" t="s">
        <v>43</v>
      </c>
      <c r="H294" s="23" t="s">
        <v>45</v>
      </c>
      <c r="I294" s="23" t="s">
        <v>83</v>
      </c>
      <c r="J294" s="23" t="s">
        <v>277</v>
      </c>
      <c r="K294" s="23" t="s">
        <v>278</v>
      </c>
      <c r="L294" s="23" t="s">
        <v>279</v>
      </c>
      <c r="M294" s="23" t="s">
        <v>280</v>
      </c>
      <c r="N294" s="23" t="s">
        <v>281</v>
      </c>
      <c r="O294" s="30" t="s">
        <v>51</v>
      </c>
      <c r="P294" s="31"/>
      <c r="Q294" s="11" t="s">
        <v>37</v>
      </c>
      <c r="S294" s="18" t="str">
        <f t="shared" si="8"/>
        <v>Result: PASS</v>
      </c>
      <c r="T294" s="18">
        <f t="shared" si="9"/>
        <v>602</v>
      </c>
    </row>
    <row r="295" spans="5:20">
      <c r="E295" s="32" t="s">
        <v>282</v>
      </c>
      <c r="F295" s="33"/>
      <c r="G295" s="11" t="s">
        <v>53</v>
      </c>
      <c r="H295" s="23" t="s">
        <v>51</v>
      </c>
      <c r="I295" s="23" t="s">
        <v>51</v>
      </c>
      <c r="J295" s="23" t="s">
        <v>51</v>
      </c>
      <c r="K295" s="23" t="s">
        <v>51</v>
      </c>
      <c r="L295" s="23" t="s">
        <v>51</v>
      </c>
      <c r="M295" s="23" t="s">
        <v>51</v>
      </c>
      <c r="N295" s="23" t="s">
        <v>51</v>
      </c>
      <c r="O295" s="30" t="s">
        <v>283</v>
      </c>
      <c r="P295" s="31"/>
      <c r="Q295" s="11" t="s">
        <v>37</v>
      </c>
      <c r="S295" s="18" t="str">
        <f t="shared" si="8"/>
        <v>Class</v>
      </c>
      <c r="T295" s="18">
        <f t="shared" si="9"/>
        <v>700</v>
      </c>
    </row>
    <row r="296" spans="5:20">
      <c r="E296" s="34"/>
      <c r="F296" s="35"/>
      <c r="G296" s="11" t="s">
        <v>55</v>
      </c>
      <c r="H296" s="23" t="s">
        <v>37</v>
      </c>
      <c r="I296" s="23" t="s">
        <v>37</v>
      </c>
      <c r="J296" s="23" t="s">
        <v>37</v>
      </c>
      <c r="K296" s="23" t="s">
        <v>37</v>
      </c>
      <c r="L296" s="23" t="s">
        <v>37</v>
      </c>
      <c r="M296" s="23" t="s">
        <v>37</v>
      </c>
      <c r="N296" s="23" t="s">
        <v>37</v>
      </c>
      <c r="O296" s="30" t="s">
        <v>37</v>
      </c>
      <c r="P296" s="31"/>
      <c r="Q296" s="11">
        <v>0</v>
      </c>
      <c r="S296" s="18" t="str">
        <f t="shared" si="8"/>
        <v>Term Grade: OA+</v>
      </c>
      <c r="T296" s="18" t="str">
        <f t="shared" si="9"/>
        <v/>
      </c>
    </row>
    <row r="297" spans="5:20">
      <c r="E297" s="36"/>
      <c r="F297" s="37"/>
      <c r="G297" s="11" t="s">
        <v>56</v>
      </c>
      <c r="H297" s="23">
        <v>4</v>
      </c>
      <c r="I297" s="23">
        <v>4</v>
      </c>
      <c r="J297" s="23">
        <v>4</v>
      </c>
      <c r="K297" s="23">
        <v>3</v>
      </c>
      <c r="L297" s="23">
        <v>3</v>
      </c>
      <c r="M297" s="23">
        <v>3</v>
      </c>
      <c r="N297" s="23">
        <v>2</v>
      </c>
      <c r="O297" s="30">
        <v>2</v>
      </c>
      <c r="P297" s="31"/>
      <c r="Q297" s="11">
        <v>25</v>
      </c>
      <c r="S297" s="18" t="str">
        <f t="shared" si="8"/>
        <v>M.C.No</v>
      </c>
      <c r="T297" s="18" t="str">
        <f t="shared" si="9"/>
        <v/>
      </c>
    </row>
    <row r="298" spans="5:20">
      <c r="E298" s="21" t="s">
        <v>57</v>
      </c>
      <c r="F298" s="21">
        <v>8.86</v>
      </c>
      <c r="G298" s="11" t="s">
        <v>58</v>
      </c>
      <c r="H298" s="23">
        <v>9</v>
      </c>
      <c r="I298" s="23">
        <v>10</v>
      </c>
      <c r="J298" s="23">
        <v>8</v>
      </c>
      <c r="K298" s="23">
        <v>7</v>
      </c>
      <c r="L298" s="23">
        <v>9.5</v>
      </c>
      <c r="M298" s="23">
        <v>9</v>
      </c>
      <c r="N298" s="23">
        <v>9.5</v>
      </c>
      <c r="O298" s="30">
        <v>9</v>
      </c>
      <c r="P298" s="31"/>
      <c r="Q298" s="11" t="s">
        <v>37</v>
      </c>
      <c r="S298" s="18" t="str">
        <f t="shared" si="8"/>
        <v/>
      </c>
      <c r="T298" s="18" t="str">
        <f t="shared" si="9"/>
        <v/>
      </c>
    </row>
    <row r="299" spans="5:20">
      <c r="E299" s="21" t="s">
        <v>59</v>
      </c>
      <c r="F299" s="14">
        <v>8.86</v>
      </c>
      <c r="G299" s="11" t="s">
        <v>60</v>
      </c>
      <c r="H299" s="23">
        <v>36</v>
      </c>
      <c r="I299" s="23">
        <v>40</v>
      </c>
      <c r="J299" s="23">
        <v>32</v>
      </c>
      <c r="K299" s="23">
        <v>21</v>
      </c>
      <c r="L299" s="23">
        <v>28.5</v>
      </c>
      <c r="M299" s="23">
        <v>27</v>
      </c>
      <c r="N299" s="23">
        <v>19</v>
      </c>
      <c r="O299" s="30">
        <v>18</v>
      </c>
      <c r="P299" s="31"/>
      <c r="Q299" s="11">
        <v>221.5</v>
      </c>
      <c r="S299" s="18">
        <f t="shared" si="8"/>
        <v>0</v>
      </c>
      <c r="T299" s="18">
        <f t="shared" si="9"/>
        <v>0</v>
      </c>
    </row>
    <row r="300" spans="5:20">
      <c r="E300" s="32" t="s">
        <v>61</v>
      </c>
      <c r="F300" s="31"/>
      <c r="G300" s="11" t="s">
        <v>40</v>
      </c>
      <c r="H300" s="23">
        <v>89</v>
      </c>
      <c r="I300" s="23">
        <v>100</v>
      </c>
      <c r="J300" s="23">
        <v>76</v>
      </c>
      <c r="K300" s="23">
        <v>69</v>
      </c>
      <c r="L300" s="23">
        <v>91</v>
      </c>
      <c r="M300" s="23">
        <v>86</v>
      </c>
      <c r="N300" s="23">
        <v>47</v>
      </c>
      <c r="O300" s="30">
        <v>44</v>
      </c>
      <c r="P300" s="31"/>
      <c r="Q300" s="11">
        <v>602</v>
      </c>
      <c r="S300" s="18">
        <f t="shared" si="8"/>
        <v>0</v>
      </c>
      <c r="T300" s="18">
        <f t="shared" si="9"/>
        <v>0</v>
      </c>
    </row>
    <row r="301" spans="5:20">
      <c r="E301" s="21" t="s">
        <v>62</v>
      </c>
      <c r="F301" s="21"/>
      <c r="G301" s="11" t="s">
        <v>63</v>
      </c>
      <c r="H301" s="23">
        <v>100</v>
      </c>
      <c r="I301" s="23">
        <v>100</v>
      </c>
      <c r="J301" s="23">
        <v>100</v>
      </c>
      <c r="K301" s="23">
        <v>100</v>
      </c>
      <c r="L301" s="23">
        <v>100</v>
      </c>
      <c r="M301" s="23">
        <v>100</v>
      </c>
      <c r="N301" s="23">
        <v>50</v>
      </c>
      <c r="O301" s="30">
        <v>50</v>
      </c>
      <c r="P301" s="31"/>
      <c r="Q301" s="11">
        <v>700</v>
      </c>
      <c r="S301" s="18" t="str">
        <f t="shared" si="8"/>
        <v>Dr. B.B. Hegde First Grade College, Kundapura, Udupi.</v>
      </c>
      <c r="T301" s="18" t="str">
        <f t="shared" si="9"/>
        <v/>
      </c>
    </row>
    <row r="302" spans="5:20">
      <c r="E302" s="32" t="s">
        <v>188</v>
      </c>
      <c r="F302" s="31"/>
      <c r="G302" s="11" t="s">
        <v>65</v>
      </c>
      <c r="H302" s="23" t="s">
        <v>67</v>
      </c>
      <c r="I302" s="23" t="s">
        <v>88</v>
      </c>
      <c r="J302" s="23" t="s">
        <v>102</v>
      </c>
      <c r="K302" s="23" t="s">
        <v>66</v>
      </c>
      <c r="L302" s="23" t="s">
        <v>71</v>
      </c>
      <c r="M302" s="23" t="s">
        <v>67</v>
      </c>
      <c r="N302" s="23" t="s">
        <v>71</v>
      </c>
      <c r="O302" s="30" t="s">
        <v>67</v>
      </c>
      <c r="P302" s="31"/>
      <c r="Q302" s="11" t="s">
        <v>37</v>
      </c>
      <c r="S302" s="18" t="str">
        <f t="shared" si="8"/>
        <v>00021</v>
      </c>
      <c r="T302" s="18" t="str">
        <f t="shared" si="9"/>
        <v>Total</v>
      </c>
    </row>
    <row r="303" spans="5:20">
      <c r="E303" s="15" t="s">
        <v>72</v>
      </c>
      <c r="F303" s="15" t="s">
        <v>284</v>
      </c>
      <c r="G303" s="11" t="s">
        <v>74</v>
      </c>
      <c r="H303" s="23" t="s">
        <v>75</v>
      </c>
      <c r="I303" s="23" t="s">
        <v>75</v>
      </c>
      <c r="J303" s="23" t="s">
        <v>75</v>
      </c>
      <c r="K303" s="23" t="s">
        <v>75</v>
      </c>
      <c r="L303" s="23" t="s">
        <v>75</v>
      </c>
      <c r="M303" s="23" t="s">
        <v>75</v>
      </c>
      <c r="N303" s="23" t="s">
        <v>75</v>
      </c>
      <c r="O303" s="30" t="s">
        <v>75</v>
      </c>
      <c r="P303" s="31"/>
      <c r="Q303" s="11" t="s">
        <v>37</v>
      </c>
      <c r="S303" s="18" t="str">
        <f t="shared" si="8"/>
        <v>USN</v>
      </c>
      <c r="T303" s="18" t="str">
        <f t="shared" si="9"/>
        <v/>
      </c>
    </row>
    <row r="304" spans="5:20">
      <c r="E304" s="16" t="s">
        <v>37</v>
      </c>
      <c r="F304" s="16" t="s">
        <v>37</v>
      </c>
      <c r="G304" s="16" t="s">
        <v>37</v>
      </c>
      <c r="H304" s="24" t="s">
        <v>37</v>
      </c>
      <c r="I304" s="24" t="s">
        <v>37</v>
      </c>
      <c r="J304" s="24" t="s">
        <v>37</v>
      </c>
      <c r="K304" s="24" t="s">
        <v>37</v>
      </c>
      <c r="L304" s="24" t="s">
        <v>37</v>
      </c>
      <c r="M304" s="24" t="s">
        <v>37</v>
      </c>
      <c r="N304" s="24" t="s">
        <v>37</v>
      </c>
      <c r="O304" s="41" t="s">
        <v>37</v>
      </c>
      <c r="P304" s="28"/>
      <c r="Q304" s="24" t="s">
        <v>37</v>
      </c>
      <c r="S304" s="18" t="str">
        <f t="shared" si="8"/>
        <v>SHRAVYA</v>
      </c>
      <c r="T304" s="18" t="str">
        <f t="shared" si="9"/>
        <v/>
      </c>
    </row>
    <row r="305" spans="5:20" ht="0" hidden="1" customHeight="1">
      <c r="S305" s="18">
        <f t="shared" si="8"/>
        <v>0</v>
      </c>
      <c r="T305" s="18">
        <f t="shared" si="9"/>
        <v>0</v>
      </c>
    </row>
    <row r="306" spans="5:20" ht="0.6" customHeight="1">
      <c r="S306" s="18">
        <f t="shared" si="8"/>
        <v>0</v>
      </c>
      <c r="T306" s="18">
        <f t="shared" si="9"/>
        <v>25</v>
      </c>
    </row>
    <row r="307" spans="5:20">
      <c r="E307" s="38" t="s">
        <v>35</v>
      </c>
      <c r="F307" s="31"/>
      <c r="G307" s="19" t="s">
        <v>36</v>
      </c>
      <c r="H307" s="20" t="s">
        <v>37</v>
      </c>
      <c r="I307" s="20" t="s">
        <v>37</v>
      </c>
      <c r="J307" s="20" t="s">
        <v>37</v>
      </c>
      <c r="K307" s="20" t="s">
        <v>37</v>
      </c>
      <c r="L307" s="20" t="s">
        <v>37</v>
      </c>
      <c r="M307" s="20" t="s">
        <v>37</v>
      </c>
      <c r="N307" s="20" t="s">
        <v>37</v>
      </c>
      <c r="O307" s="39" t="s">
        <v>37</v>
      </c>
      <c r="P307" s="28"/>
      <c r="Q307" s="20" t="s">
        <v>37</v>
      </c>
      <c r="S307" s="18" t="str">
        <f t="shared" si="8"/>
        <v>SGPA</v>
      </c>
      <c r="T307" s="18" t="str">
        <f t="shared" si="9"/>
        <v/>
      </c>
    </row>
    <row r="308" spans="5:20" ht="21">
      <c r="E308" s="32" t="s">
        <v>285</v>
      </c>
      <c r="F308" s="31"/>
      <c r="G308" s="22" t="s">
        <v>39</v>
      </c>
      <c r="H308" s="22" t="s">
        <v>19</v>
      </c>
      <c r="I308" s="22" t="s">
        <v>9</v>
      </c>
      <c r="J308" s="22" t="s">
        <v>21</v>
      </c>
      <c r="K308" s="22" t="s">
        <v>11</v>
      </c>
      <c r="L308" s="22" t="s">
        <v>17</v>
      </c>
      <c r="M308" s="22" t="s">
        <v>27</v>
      </c>
      <c r="N308" s="22" t="s">
        <v>7</v>
      </c>
      <c r="O308" s="40" t="s">
        <v>33</v>
      </c>
      <c r="P308" s="31"/>
      <c r="Q308" s="22" t="s">
        <v>40</v>
      </c>
      <c r="S308" s="18" t="str">
        <f t="shared" si="8"/>
        <v>CGPA</v>
      </c>
      <c r="T308" s="18">
        <f t="shared" si="9"/>
        <v>227.5</v>
      </c>
    </row>
    <row r="309" spans="5:20" ht="22.5">
      <c r="E309" s="21" t="s">
        <v>41</v>
      </c>
      <c r="F309" s="21" t="s">
        <v>286</v>
      </c>
      <c r="G309" s="11" t="s">
        <v>43</v>
      </c>
      <c r="H309" s="23" t="s">
        <v>287</v>
      </c>
      <c r="I309" s="23" t="s">
        <v>79</v>
      </c>
      <c r="J309" s="23" t="s">
        <v>288</v>
      </c>
      <c r="K309" s="23" t="s">
        <v>277</v>
      </c>
      <c r="L309" s="23" t="s">
        <v>289</v>
      </c>
      <c r="M309" s="23" t="s">
        <v>290</v>
      </c>
      <c r="N309" s="23" t="s">
        <v>209</v>
      </c>
      <c r="O309" s="30" t="s">
        <v>51</v>
      </c>
      <c r="P309" s="31"/>
      <c r="Q309" s="11" t="s">
        <v>37</v>
      </c>
      <c r="S309" s="18" t="str">
        <f t="shared" si="8"/>
        <v>Result: PASS</v>
      </c>
      <c r="T309" s="18">
        <f t="shared" si="9"/>
        <v>610</v>
      </c>
    </row>
    <row r="310" spans="5:20">
      <c r="E310" s="32" t="s">
        <v>291</v>
      </c>
      <c r="F310" s="33"/>
      <c r="G310" s="11" t="s">
        <v>53</v>
      </c>
      <c r="H310" s="23" t="s">
        <v>51</v>
      </c>
      <c r="I310" s="23" t="s">
        <v>51</v>
      </c>
      <c r="J310" s="23" t="s">
        <v>51</v>
      </c>
      <c r="K310" s="23" t="s">
        <v>51</v>
      </c>
      <c r="L310" s="23" t="s">
        <v>51</v>
      </c>
      <c r="M310" s="23" t="s">
        <v>51</v>
      </c>
      <c r="N310" s="23" t="s">
        <v>51</v>
      </c>
      <c r="O310" s="30" t="s">
        <v>125</v>
      </c>
      <c r="P310" s="31"/>
      <c r="Q310" s="11" t="s">
        <v>37</v>
      </c>
      <c r="S310" s="18" t="str">
        <f t="shared" si="8"/>
        <v>Class</v>
      </c>
      <c r="T310" s="18">
        <f t="shared" si="9"/>
        <v>700</v>
      </c>
    </row>
    <row r="311" spans="5:20">
      <c r="E311" s="34"/>
      <c r="F311" s="35"/>
      <c r="G311" s="11" t="s">
        <v>55</v>
      </c>
      <c r="H311" s="23" t="s">
        <v>37</v>
      </c>
      <c r="I311" s="23" t="s">
        <v>37</v>
      </c>
      <c r="J311" s="23" t="s">
        <v>37</v>
      </c>
      <c r="K311" s="23" t="s">
        <v>37</v>
      </c>
      <c r="L311" s="23" t="s">
        <v>37</v>
      </c>
      <c r="M311" s="23" t="s">
        <v>37</v>
      </c>
      <c r="N311" s="23" t="s">
        <v>37</v>
      </c>
      <c r="O311" s="30" t="s">
        <v>37</v>
      </c>
      <c r="P311" s="31"/>
      <c r="Q311" s="11">
        <v>0</v>
      </c>
      <c r="S311" s="18" t="str">
        <f t="shared" si="8"/>
        <v>Term Grade: OO</v>
      </c>
      <c r="T311" s="18" t="str">
        <f t="shared" si="9"/>
        <v/>
      </c>
    </row>
    <row r="312" spans="5:20">
      <c r="E312" s="36"/>
      <c r="F312" s="37"/>
      <c r="G312" s="11" t="s">
        <v>56</v>
      </c>
      <c r="H312" s="23">
        <v>4</v>
      </c>
      <c r="I312" s="23">
        <v>4</v>
      </c>
      <c r="J312" s="23">
        <v>4</v>
      </c>
      <c r="K312" s="23">
        <v>3</v>
      </c>
      <c r="L312" s="23">
        <v>3</v>
      </c>
      <c r="M312" s="23">
        <v>3</v>
      </c>
      <c r="N312" s="23">
        <v>2</v>
      </c>
      <c r="O312" s="30">
        <v>2</v>
      </c>
      <c r="P312" s="31"/>
      <c r="Q312" s="11">
        <v>25</v>
      </c>
      <c r="S312" s="18" t="str">
        <f t="shared" si="8"/>
        <v>M.C.No</v>
      </c>
      <c r="T312" s="18" t="str">
        <f t="shared" si="9"/>
        <v/>
      </c>
    </row>
    <row r="313" spans="5:20">
      <c r="E313" s="21" t="s">
        <v>57</v>
      </c>
      <c r="F313" s="21">
        <v>9.1</v>
      </c>
      <c r="G313" s="11" t="s">
        <v>58</v>
      </c>
      <c r="H313" s="23">
        <v>9</v>
      </c>
      <c r="I313" s="23">
        <v>10</v>
      </c>
      <c r="J313" s="23">
        <v>9</v>
      </c>
      <c r="K313" s="23">
        <v>8</v>
      </c>
      <c r="L313" s="23">
        <v>9</v>
      </c>
      <c r="M313" s="23">
        <v>8.5</v>
      </c>
      <c r="N313" s="23">
        <v>10</v>
      </c>
      <c r="O313" s="30">
        <v>9.5</v>
      </c>
      <c r="P313" s="31"/>
      <c r="Q313" s="11" t="s">
        <v>37</v>
      </c>
      <c r="S313" s="18" t="str">
        <f t="shared" si="8"/>
        <v/>
      </c>
      <c r="T313" s="18" t="str">
        <f t="shared" si="9"/>
        <v/>
      </c>
    </row>
    <row r="314" spans="5:20">
      <c r="E314" s="21" t="s">
        <v>59</v>
      </c>
      <c r="F314" s="14">
        <v>9.1</v>
      </c>
      <c r="G314" s="11" t="s">
        <v>60</v>
      </c>
      <c r="H314" s="23">
        <v>36</v>
      </c>
      <c r="I314" s="23">
        <v>40</v>
      </c>
      <c r="J314" s="23">
        <v>36</v>
      </c>
      <c r="K314" s="23">
        <v>24</v>
      </c>
      <c r="L314" s="23">
        <v>27</v>
      </c>
      <c r="M314" s="23">
        <v>25.5</v>
      </c>
      <c r="N314" s="23">
        <v>20</v>
      </c>
      <c r="O314" s="30">
        <v>19</v>
      </c>
      <c r="P314" s="31"/>
      <c r="Q314" s="11">
        <v>227.5</v>
      </c>
      <c r="S314" s="18">
        <f t="shared" si="8"/>
        <v>0</v>
      </c>
      <c r="T314" s="18">
        <f t="shared" si="9"/>
        <v>0</v>
      </c>
    </row>
    <row r="315" spans="5:20">
      <c r="E315" s="32" t="s">
        <v>61</v>
      </c>
      <c r="F315" s="31"/>
      <c r="G315" s="11" t="s">
        <v>40</v>
      </c>
      <c r="H315" s="23">
        <v>88</v>
      </c>
      <c r="I315" s="23">
        <v>95</v>
      </c>
      <c r="J315" s="23">
        <v>85</v>
      </c>
      <c r="K315" s="23">
        <v>76</v>
      </c>
      <c r="L315" s="23">
        <v>89</v>
      </c>
      <c r="M315" s="23">
        <v>81</v>
      </c>
      <c r="N315" s="23">
        <v>50</v>
      </c>
      <c r="O315" s="30">
        <v>46</v>
      </c>
      <c r="P315" s="31"/>
      <c r="Q315" s="11">
        <v>610</v>
      </c>
      <c r="S315" s="18">
        <f t="shared" si="8"/>
        <v>0</v>
      </c>
      <c r="T315" s="18">
        <f t="shared" si="9"/>
        <v>0</v>
      </c>
    </row>
    <row r="316" spans="5:20">
      <c r="E316" s="21" t="s">
        <v>62</v>
      </c>
      <c r="F316" s="21"/>
      <c r="G316" s="11" t="s">
        <v>63</v>
      </c>
      <c r="H316" s="23">
        <v>100</v>
      </c>
      <c r="I316" s="23">
        <v>100</v>
      </c>
      <c r="J316" s="23">
        <v>100</v>
      </c>
      <c r="K316" s="23">
        <v>100</v>
      </c>
      <c r="L316" s="23">
        <v>100</v>
      </c>
      <c r="M316" s="23">
        <v>100</v>
      </c>
      <c r="N316" s="23">
        <v>50</v>
      </c>
      <c r="O316" s="30">
        <v>50</v>
      </c>
      <c r="P316" s="31"/>
      <c r="Q316" s="11">
        <v>700</v>
      </c>
      <c r="S316" s="18" t="str">
        <f t="shared" si="8"/>
        <v>Dr. B.B. Hegde First Grade College, Kundapura, Udupi.</v>
      </c>
      <c r="T316" s="18" t="str">
        <f t="shared" si="9"/>
        <v/>
      </c>
    </row>
    <row r="317" spans="5:20">
      <c r="E317" s="32" t="s">
        <v>87</v>
      </c>
      <c r="F317" s="31"/>
      <c r="G317" s="11" t="s">
        <v>65</v>
      </c>
      <c r="H317" s="23" t="s">
        <v>67</v>
      </c>
      <c r="I317" s="23" t="s">
        <v>88</v>
      </c>
      <c r="J317" s="23" t="s">
        <v>67</v>
      </c>
      <c r="K317" s="23" t="s">
        <v>102</v>
      </c>
      <c r="L317" s="23" t="s">
        <v>67</v>
      </c>
      <c r="M317" s="23" t="s">
        <v>70</v>
      </c>
      <c r="N317" s="23" t="s">
        <v>88</v>
      </c>
      <c r="O317" s="30" t="s">
        <v>71</v>
      </c>
      <c r="P317" s="31"/>
      <c r="Q317" s="11" t="s">
        <v>37</v>
      </c>
      <c r="S317" s="18" t="str">
        <f t="shared" si="8"/>
        <v>00022</v>
      </c>
      <c r="T317" s="18" t="str">
        <f t="shared" si="9"/>
        <v>Total</v>
      </c>
    </row>
    <row r="318" spans="5:20">
      <c r="E318" s="15" t="s">
        <v>72</v>
      </c>
      <c r="F318" s="15" t="s">
        <v>292</v>
      </c>
      <c r="G318" s="11" t="s">
        <v>74</v>
      </c>
      <c r="H318" s="23" t="s">
        <v>75</v>
      </c>
      <c r="I318" s="23" t="s">
        <v>75</v>
      </c>
      <c r="J318" s="23" t="s">
        <v>75</v>
      </c>
      <c r="K318" s="23" t="s">
        <v>75</v>
      </c>
      <c r="L318" s="23" t="s">
        <v>75</v>
      </c>
      <c r="M318" s="23" t="s">
        <v>75</v>
      </c>
      <c r="N318" s="23" t="s">
        <v>75</v>
      </c>
      <c r="O318" s="30" t="s">
        <v>75</v>
      </c>
      <c r="P318" s="31"/>
      <c r="Q318" s="11" t="s">
        <v>37</v>
      </c>
      <c r="S318" s="18" t="str">
        <f t="shared" si="8"/>
        <v>USN</v>
      </c>
      <c r="T318" s="18" t="str">
        <f t="shared" si="9"/>
        <v/>
      </c>
    </row>
    <row r="319" spans="5:20">
      <c r="E319" s="16" t="s">
        <v>37</v>
      </c>
      <c r="F319" s="16" t="s">
        <v>37</v>
      </c>
      <c r="G319" s="16" t="s">
        <v>37</v>
      </c>
      <c r="H319" s="24" t="s">
        <v>37</v>
      </c>
      <c r="I319" s="24" t="s">
        <v>37</v>
      </c>
      <c r="J319" s="24" t="s">
        <v>37</v>
      </c>
      <c r="K319" s="24" t="s">
        <v>37</v>
      </c>
      <c r="L319" s="24" t="s">
        <v>37</v>
      </c>
      <c r="M319" s="24" t="s">
        <v>37</v>
      </c>
      <c r="N319" s="24" t="s">
        <v>37</v>
      </c>
      <c r="O319" s="41" t="s">
        <v>37</v>
      </c>
      <c r="P319" s="28"/>
      <c r="Q319" s="24" t="s">
        <v>37</v>
      </c>
      <c r="S319" s="18" t="str">
        <f t="shared" si="8"/>
        <v>KARTHIK</v>
      </c>
      <c r="T319" s="18" t="str">
        <f t="shared" si="9"/>
        <v/>
      </c>
    </row>
    <row r="320" spans="5:20" ht="0" hidden="1" customHeight="1">
      <c r="S320" s="18">
        <f t="shared" si="8"/>
        <v>0</v>
      </c>
      <c r="T320" s="18">
        <f t="shared" si="9"/>
        <v>0</v>
      </c>
    </row>
    <row r="321" spans="5:20" ht="0.6" customHeight="1">
      <c r="S321" s="18">
        <f t="shared" si="8"/>
        <v>0</v>
      </c>
      <c r="T321" s="18">
        <f t="shared" si="9"/>
        <v>25</v>
      </c>
    </row>
    <row r="322" spans="5:20">
      <c r="E322" s="38" t="s">
        <v>35</v>
      </c>
      <c r="F322" s="31"/>
      <c r="G322" s="19" t="s">
        <v>36</v>
      </c>
      <c r="H322" s="20" t="s">
        <v>37</v>
      </c>
      <c r="I322" s="20" t="s">
        <v>37</v>
      </c>
      <c r="J322" s="20" t="s">
        <v>37</v>
      </c>
      <c r="K322" s="20" t="s">
        <v>37</v>
      </c>
      <c r="L322" s="20" t="s">
        <v>37</v>
      </c>
      <c r="M322" s="20" t="s">
        <v>37</v>
      </c>
      <c r="N322" s="20" t="s">
        <v>37</v>
      </c>
      <c r="O322" s="39" t="s">
        <v>37</v>
      </c>
      <c r="P322" s="28"/>
      <c r="Q322" s="20" t="s">
        <v>37</v>
      </c>
      <c r="S322" s="18" t="str">
        <f t="shared" si="8"/>
        <v>SGPA</v>
      </c>
      <c r="T322" s="18" t="str">
        <f t="shared" si="9"/>
        <v/>
      </c>
    </row>
    <row r="323" spans="5:20" ht="21">
      <c r="E323" s="32" t="s">
        <v>293</v>
      </c>
      <c r="F323" s="31"/>
      <c r="G323" s="22" t="s">
        <v>39</v>
      </c>
      <c r="H323" s="22" t="s">
        <v>19</v>
      </c>
      <c r="I323" s="22" t="s">
        <v>9</v>
      </c>
      <c r="J323" s="22" t="s">
        <v>21</v>
      </c>
      <c r="K323" s="22" t="s">
        <v>11</v>
      </c>
      <c r="L323" s="22" t="s">
        <v>17</v>
      </c>
      <c r="M323" s="22" t="s">
        <v>27</v>
      </c>
      <c r="N323" s="22" t="s">
        <v>7</v>
      </c>
      <c r="O323" s="40" t="s">
        <v>29</v>
      </c>
      <c r="P323" s="31"/>
      <c r="Q323" s="22" t="s">
        <v>40</v>
      </c>
      <c r="S323" s="18" t="str">
        <f t="shared" si="8"/>
        <v>CGPA</v>
      </c>
      <c r="T323" s="18">
        <f t="shared" si="9"/>
        <v>169.5</v>
      </c>
    </row>
    <row r="324" spans="5:20" ht="22.5">
      <c r="E324" s="21" t="s">
        <v>41</v>
      </c>
      <c r="F324" s="21" t="s">
        <v>294</v>
      </c>
      <c r="G324" s="11" t="s">
        <v>43</v>
      </c>
      <c r="H324" s="23" t="s">
        <v>295</v>
      </c>
      <c r="I324" s="23" t="s">
        <v>296</v>
      </c>
      <c r="J324" s="23" t="s">
        <v>297</v>
      </c>
      <c r="K324" s="23" t="s">
        <v>298</v>
      </c>
      <c r="L324" s="23" t="s">
        <v>299</v>
      </c>
      <c r="M324" s="23" t="s">
        <v>300</v>
      </c>
      <c r="N324" s="23" t="s">
        <v>301</v>
      </c>
      <c r="O324" s="30" t="s">
        <v>51</v>
      </c>
      <c r="P324" s="31"/>
      <c r="Q324" s="11" t="s">
        <v>37</v>
      </c>
      <c r="S324" s="18" t="str">
        <f t="shared" si="8"/>
        <v>Result: PASS</v>
      </c>
      <c r="T324" s="18">
        <f t="shared" si="9"/>
        <v>452</v>
      </c>
    </row>
    <row r="325" spans="5:20">
      <c r="E325" s="32" t="s">
        <v>302</v>
      </c>
      <c r="F325" s="33"/>
      <c r="G325" s="11" t="s">
        <v>53</v>
      </c>
      <c r="H325" s="23" t="s">
        <v>51</v>
      </c>
      <c r="I325" s="23" t="s">
        <v>51</v>
      </c>
      <c r="J325" s="23" t="s">
        <v>51</v>
      </c>
      <c r="K325" s="23" t="s">
        <v>51</v>
      </c>
      <c r="L325" s="23" t="s">
        <v>51</v>
      </c>
      <c r="M325" s="23" t="s">
        <v>51</v>
      </c>
      <c r="N325" s="23" t="s">
        <v>51</v>
      </c>
      <c r="O325" s="30" t="s">
        <v>54</v>
      </c>
      <c r="P325" s="31"/>
      <c r="Q325" s="11" t="s">
        <v>37</v>
      </c>
      <c r="S325" s="18" t="str">
        <f t="shared" si="8"/>
        <v>Class</v>
      </c>
      <c r="T325" s="18">
        <f t="shared" si="9"/>
        <v>700</v>
      </c>
    </row>
    <row r="326" spans="5:20">
      <c r="E326" s="34"/>
      <c r="F326" s="35"/>
      <c r="G326" s="11" t="s">
        <v>55</v>
      </c>
      <c r="H326" s="23" t="s">
        <v>37</v>
      </c>
      <c r="I326" s="23" t="s">
        <v>37</v>
      </c>
      <c r="J326" s="23" t="s">
        <v>37</v>
      </c>
      <c r="K326" s="23" t="s">
        <v>37</v>
      </c>
      <c r="L326" s="23" t="s">
        <v>37</v>
      </c>
      <c r="M326" s="23" t="s">
        <v>37</v>
      </c>
      <c r="N326" s="23" t="s">
        <v>37</v>
      </c>
      <c r="O326" s="30" t="s">
        <v>37</v>
      </c>
      <c r="P326" s="31"/>
      <c r="Q326" s="11">
        <v>0</v>
      </c>
      <c r="S326" s="18" t="str">
        <f t="shared" si="8"/>
        <v>Term Grade: AB+</v>
      </c>
      <c r="T326" s="18" t="str">
        <f t="shared" si="9"/>
        <v/>
      </c>
    </row>
    <row r="327" spans="5:20">
      <c r="E327" s="36"/>
      <c r="F327" s="37"/>
      <c r="G327" s="11" t="s">
        <v>56</v>
      </c>
      <c r="H327" s="23">
        <v>4</v>
      </c>
      <c r="I327" s="23">
        <v>4</v>
      </c>
      <c r="J327" s="23">
        <v>4</v>
      </c>
      <c r="K327" s="23">
        <v>3</v>
      </c>
      <c r="L327" s="23">
        <v>3</v>
      </c>
      <c r="M327" s="23">
        <v>3</v>
      </c>
      <c r="N327" s="23">
        <v>2</v>
      </c>
      <c r="O327" s="30">
        <v>2</v>
      </c>
      <c r="P327" s="31"/>
      <c r="Q327" s="11">
        <v>25</v>
      </c>
      <c r="S327" s="18" t="str">
        <f t="shared" si="8"/>
        <v>M.C.No</v>
      </c>
      <c r="T327" s="18" t="str">
        <f t="shared" si="9"/>
        <v/>
      </c>
    </row>
    <row r="328" spans="5:20">
      <c r="E328" s="21" t="s">
        <v>57</v>
      </c>
      <c r="F328" s="21">
        <v>6.78</v>
      </c>
      <c r="G328" s="11" t="s">
        <v>58</v>
      </c>
      <c r="H328" s="23">
        <v>7.5</v>
      </c>
      <c r="I328" s="23">
        <v>6.5</v>
      </c>
      <c r="J328" s="23">
        <v>4.5</v>
      </c>
      <c r="K328" s="23">
        <v>6.5</v>
      </c>
      <c r="L328" s="23">
        <v>7.5</v>
      </c>
      <c r="M328" s="23">
        <v>5.5</v>
      </c>
      <c r="N328" s="23">
        <v>9</v>
      </c>
      <c r="O328" s="30">
        <v>9.5</v>
      </c>
      <c r="P328" s="31"/>
      <c r="Q328" s="11" t="s">
        <v>37</v>
      </c>
      <c r="S328" s="18" t="str">
        <f t="shared" si="8"/>
        <v/>
      </c>
      <c r="T328" s="18" t="str">
        <f t="shared" si="9"/>
        <v/>
      </c>
    </row>
    <row r="329" spans="5:20">
      <c r="E329" s="21" t="s">
        <v>59</v>
      </c>
      <c r="F329" s="14">
        <v>6.78</v>
      </c>
      <c r="G329" s="11" t="s">
        <v>60</v>
      </c>
      <c r="H329" s="23">
        <v>30</v>
      </c>
      <c r="I329" s="23">
        <v>26</v>
      </c>
      <c r="J329" s="23">
        <v>18</v>
      </c>
      <c r="K329" s="23">
        <v>19.5</v>
      </c>
      <c r="L329" s="23">
        <v>22.5</v>
      </c>
      <c r="M329" s="23">
        <v>16.5</v>
      </c>
      <c r="N329" s="23">
        <v>18</v>
      </c>
      <c r="O329" s="30">
        <v>19</v>
      </c>
      <c r="P329" s="31"/>
      <c r="Q329" s="11">
        <v>169.5</v>
      </c>
      <c r="S329" s="18">
        <f t="shared" si="8"/>
        <v>0</v>
      </c>
      <c r="T329" s="18">
        <f t="shared" si="9"/>
        <v>0</v>
      </c>
    </row>
    <row r="330" spans="5:20">
      <c r="E330" s="32" t="s">
        <v>61</v>
      </c>
      <c r="F330" s="31"/>
      <c r="G330" s="11" t="s">
        <v>40</v>
      </c>
      <c r="H330" s="23">
        <v>71</v>
      </c>
      <c r="I330" s="23">
        <v>61</v>
      </c>
      <c r="J330" s="23">
        <v>44</v>
      </c>
      <c r="K330" s="23">
        <v>63</v>
      </c>
      <c r="L330" s="23">
        <v>73</v>
      </c>
      <c r="M330" s="23">
        <v>52</v>
      </c>
      <c r="N330" s="23">
        <v>43</v>
      </c>
      <c r="O330" s="30">
        <v>45</v>
      </c>
      <c r="P330" s="31"/>
      <c r="Q330" s="11">
        <v>452</v>
      </c>
      <c r="S330" s="18" t="str">
        <f t="shared" si="8"/>
        <v>Dr. B.B. Hegde First Grade College, Kundapura, Udupi.</v>
      </c>
      <c r="T330" s="18" t="str">
        <f t="shared" si="9"/>
        <v/>
      </c>
    </row>
    <row r="331" spans="5:20">
      <c r="E331" s="21" t="s">
        <v>62</v>
      </c>
      <c r="F331" s="21"/>
      <c r="G331" s="11" t="s">
        <v>63</v>
      </c>
      <c r="H331" s="23">
        <v>100</v>
      </c>
      <c r="I331" s="23">
        <v>100</v>
      </c>
      <c r="J331" s="23">
        <v>100</v>
      </c>
      <c r="K331" s="23">
        <v>100</v>
      </c>
      <c r="L331" s="23">
        <v>100</v>
      </c>
      <c r="M331" s="23">
        <v>100</v>
      </c>
      <c r="N331" s="23">
        <v>50</v>
      </c>
      <c r="O331" s="30">
        <v>50</v>
      </c>
      <c r="P331" s="31"/>
      <c r="Q331" s="11">
        <v>700</v>
      </c>
      <c r="S331" s="18" t="str">
        <f t="shared" si="8"/>
        <v>00023</v>
      </c>
      <c r="T331" s="18" t="str">
        <f t="shared" si="9"/>
        <v>Total</v>
      </c>
    </row>
    <row r="332" spans="5:20">
      <c r="E332" s="32" t="s">
        <v>126</v>
      </c>
      <c r="F332" s="31"/>
      <c r="G332" s="11" t="s">
        <v>65</v>
      </c>
      <c r="H332" s="23" t="s">
        <v>68</v>
      </c>
      <c r="I332" s="23" t="s">
        <v>69</v>
      </c>
      <c r="J332" s="23" t="s">
        <v>303</v>
      </c>
      <c r="K332" s="23" t="s">
        <v>69</v>
      </c>
      <c r="L332" s="23" t="s">
        <v>68</v>
      </c>
      <c r="M332" s="23" t="s">
        <v>138</v>
      </c>
      <c r="N332" s="23" t="s">
        <v>67</v>
      </c>
      <c r="O332" s="30" t="s">
        <v>71</v>
      </c>
      <c r="P332" s="31"/>
      <c r="Q332" s="11" t="s">
        <v>37</v>
      </c>
      <c r="S332" s="18" t="str">
        <f t="shared" ref="S332:S395" si="10">$E338</f>
        <v>USN</v>
      </c>
      <c r="T332" s="18" t="str">
        <f t="shared" ref="T332:T395" si="11">$Q338</f>
        <v/>
      </c>
    </row>
    <row r="333" spans="5:20">
      <c r="E333" s="15" t="s">
        <v>72</v>
      </c>
      <c r="F333" s="15" t="s">
        <v>304</v>
      </c>
      <c r="G333" s="11" t="s">
        <v>74</v>
      </c>
      <c r="H333" s="23" t="s">
        <v>75</v>
      </c>
      <c r="I333" s="23" t="s">
        <v>75</v>
      </c>
      <c r="J333" s="23" t="s">
        <v>75</v>
      </c>
      <c r="K333" s="23" t="s">
        <v>75</v>
      </c>
      <c r="L333" s="23" t="s">
        <v>75</v>
      </c>
      <c r="M333" s="23" t="s">
        <v>75</v>
      </c>
      <c r="N333" s="23" t="s">
        <v>75</v>
      </c>
      <c r="O333" s="30" t="s">
        <v>75</v>
      </c>
      <c r="P333" s="31"/>
      <c r="Q333" s="11" t="s">
        <v>37</v>
      </c>
      <c r="S333" s="18" t="str">
        <f t="shared" si="10"/>
        <v>GAUTHAM KUMAR</v>
      </c>
      <c r="T333" s="18" t="str">
        <f t="shared" si="11"/>
        <v/>
      </c>
    </row>
    <row r="334" spans="5:20">
      <c r="E334" s="16" t="s">
        <v>37</v>
      </c>
      <c r="F334" s="16" t="s">
        <v>37</v>
      </c>
      <c r="G334" s="16" t="s">
        <v>37</v>
      </c>
      <c r="H334" s="24" t="s">
        <v>37</v>
      </c>
      <c r="I334" s="24" t="s">
        <v>37</v>
      </c>
      <c r="J334" s="24" t="s">
        <v>37</v>
      </c>
      <c r="K334" s="24" t="s">
        <v>37</v>
      </c>
      <c r="L334" s="24" t="s">
        <v>37</v>
      </c>
      <c r="M334" s="24" t="s">
        <v>37</v>
      </c>
      <c r="N334" s="24" t="s">
        <v>37</v>
      </c>
      <c r="O334" s="41" t="s">
        <v>37</v>
      </c>
      <c r="P334" s="28"/>
      <c r="Q334" s="24" t="s">
        <v>37</v>
      </c>
      <c r="S334" s="18">
        <f t="shared" si="10"/>
        <v>0</v>
      </c>
      <c r="T334" s="18">
        <f t="shared" si="11"/>
        <v>0</v>
      </c>
    </row>
    <row r="335" spans="5:20" ht="0.6" customHeight="1">
      <c r="S335" s="18">
        <f t="shared" si="10"/>
        <v>0</v>
      </c>
      <c r="T335" s="18">
        <f t="shared" si="11"/>
        <v>25</v>
      </c>
    </row>
    <row r="336" spans="5:20">
      <c r="E336" s="38" t="s">
        <v>35</v>
      </c>
      <c r="F336" s="31"/>
      <c r="G336" s="19" t="s">
        <v>36</v>
      </c>
      <c r="H336" s="20" t="s">
        <v>37</v>
      </c>
      <c r="I336" s="20" t="s">
        <v>37</v>
      </c>
      <c r="J336" s="20" t="s">
        <v>37</v>
      </c>
      <c r="K336" s="20" t="s">
        <v>37</v>
      </c>
      <c r="L336" s="20" t="s">
        <v>37</v>
      </c>
      <c r="M336" s="20" t="s">
        <v>37</v>
      </c>
      <c r="N336" s="20" t="s">
        <v>37</v>
      </c>
      <c r="O336" s="39" t="s">
        <v>37</v>
      </c>
      <c r="P336" s="28"/>
      <c r="Q336" s="20" t="s">
        <v>37</v>
      </c>
      <c r="S336" s="18" t="str">
        <f t="shared" si="10"/>
        <v>SGPA</v>
      </c>
      <c r="T336" s="18" t="str">
        <f t="shared" si="11"/>
        <v/>
      </c>
    </row>
    <row r="337" spans="5:20" ht="21">
      <c r="E337" s="32" t="s">
        <v>305</v>
      </c>
      <c r="F337" s="31"/>
      <c r="G337" s="22" t="s">
        <v>39</v>
      </c>
      <c r="H337" s="22" t="s">
        <v>19</v>
      </c>
      <c r="I337" s="22" t="s">
        <v>9</v>
      </c>
      <c r="J337" s="22" t="s">
        <v>21</v>
      </c>
      <c r="K337" s="22" t="s">
        <v>11</v>
      </c>
      <c r="L337" s="22" t="s">
        <v>17</v>
      </c>
      <c r="M337" s="22" t="s">
        <v>27</v>
      </c>
      <c r="N337" s="22" t="s">
        <v>7</v>
      </c>
      <c r="O337" s="40" t="s">
        <v>33</v>
      </c>
      <c r="P337" s="31"/>
      <c r="Q337" s="22" t="s">
        <v>40</v>
      </c>
      <c r="S337" s="18" t="str">
        <f t="shared" si="10"/>
        <v>CGPA</v>
      </c>
      <c r="T337" s="18">
        <f t="shared" si="11"/>
        <v>194</v>
      </c>
    </row>
    <row r="338" spans="5:20" ht="22.5">
      <c r="E338" s="21" t="s">
        <v>41</v>
      </c>
      <c r="F338" s="21" t="s">
        <v>306</v>
      </c>
      <c r="G338" s="11" t="s">
        <v>43</v>
      </c>
      <c r="H338" s="23" t="s">
        <v>193</v>
      </c>
      <c r="I338" s="23" t="s">
        <v>45</v>
      </c>
      <c r="J338" s="23" t="s">
        <v>307</v>
      </c>
      <c r="K338" s="23" t="s">
        <v>153</v>
      </c>
      <c r="L338" s="23" t="s">
        <v>308</v>
      </c>
      <c r="M338" s="23" t="s">
        <v>309</v>
      </c>
      <c r="N338" s="23" t="s">
        <v>310</v>
      </c>
      <c r="O338" s="30" t="s">
        <v>51</v>
      </c>
      <c r="P338" s="31"/>
      <c r="Q338" s="11" t="s">
        <v>37</v>
      </c>
      <c r="S338" s="18" t="str">
        <f t="shared" si="10"/>
        <v>Result: PASS</v>
      </c>
      <c r="T338" s="18">
        <f t="shared" si="11"/>
        <v>523</v>
      </c>
    </row>
    <row r="339" spans="5:20">
      <c r="E339" s="32" t="s">
        <v>311</v>
      </c>
      <c r="F339" s="33"/>
      <c r="G339" s="11" t="s">
        <v>53</v>
      </c>
      <c r="H339" s="23" t="s">
        <v>51</v>
      </c>
      <c r="I339" s="23" t="s">
        <v>51</v>
      </c>
      <c r="J339" s="23" t="s">
        <v>51</v>
      </c>
      <c r="K339" s="23" t="s">
        <v>51</v>
      </c>
      <c r="L339" s="23" t="s">
        <v>51</v>
      </c>
      <c r="M339" s="23" t="s">
        <v>51</v>
      </c>
      <c r="N339" s="23" t="s">
        <v>51</v>
      </c>
      <c r="O339" s="30" t="s">
        <v>54</v>
      </c>
      <c r="P339" s="31"/>
      <c r="Q339" s="11" t="s">
        <v>37</v>
      </c>
      <c r="S339" s="18" t="str">
        <f t="shared" si="10"/>
        <v>Class</v>
      </c>
      <c r="T339" s="18">
        <f t="shared" si="11"/>
        <v>700</v>
      </c>
    </row>
    <row r="340" spans="5:20">
      <c r="E340" s="34"/>
      <c r="F340" s="35"/>
      <c r="G340" s="11" t="s">
        <v>55</v>
      </c>
      <c r="H340" s="23" t="s">
        <v>37</v>
      </c>
      <c r="I340" s="23" t="s">
        <v>37</v>
      </c>
      <c r="J340" s="23" t="s">
        <v>37</v>
      </c>
      <c r="K340" s="23" t="s">
        <v>37</v>
      </c>
      <c r="L340" s="23" t="s">
        <v>37</v>
      </c>
      <c r="M340" s="23" t="s">
        <v>37</v>
      </c>
      <c r="N340" s="23" t="s">
        <v>37</v>
      </c>
      <c r="O340" s="30" t="s">
        <v>37</v>
      </c>
      <c r="P340" s="31"/>
      <c r="Q340" s="11">
        <v>0</v>
      </c>
      <c r="S340" s="18" t="str">
        <f t="shared" si="10"/>
        <v>Term Grade: AA+</v>
      </c>
      <c r="T340" s="18" t="str">
        <f t="shared" si="11"/>
        <v/>
      </c>
    </row>
    <row r="341" spans="5:20">
      <c r="E341" s="36"/>
      <c r="F341" s="37"/>
      <c r="G341" s="11" t="s">
        <v>56</v>
      </c>
      <c r="H341" s="23">
        <v>4</v>
      </c>
      <c r="I341" s="23">
        <v>4</v>
      </c>
      <c r="J341" s="23">
        <v>4</v>
      </c>
      <c r="K341" s="23">
        <v>3</v>
      </c>
      <c r="L341" s="23">
        <v>3</v>
      </c>
      <c r="M341" s="23">
        <v>3</v>
      </c>
      <c r="N341" s="23">
        <v>2</v>
      </c>
      <c r="O341" s="30">
        <v>2</v>
      </c>
      <c r="P341" s="31"/>
      <c r="Q341" s="11">
        <v>25</v>
      </c>
      <c r="S341" s="18" t="str">
        <f t="shared" si="10"/>
        <v>M.C.No</v>
      </c>
      <c r="T341" s="18" t="str">
        <f t="shared" si="11"/>
        <v/>
      </c>
    </row>
    <row r="342" spans="5:20">
      <c r="E342" s="21" t="s">
        <v>57</v>
      </c>
      <c r="F342" s="21">
        <v>7.76</v>
      </c>
      <c r="G342" s="11" t="s">
        <v>58</v>
      </c>
      <c r="H342" s="23">
        <v>7</v>
      </c>
      <c r="I342" s="23">
        <v>9</v>
      </c>
      <c r="J342" s="23">
        <v>6.5</v>
      </c>
      <c r="K342" s="23">
        <v>6.5</v>
      </c>
      <c r="L342" s="23">
        <v>9</v>
      </c>
      <c r="M342" s="23">
        <v>6.5</v>
      </c>
      <c r="N342" s="23">
        <v>9.5</v>
      </c>
      <c r="O342" s="30">
        <v>9.5</v>
      </c>
      <c r="P342" s="31"/>
      <c r="Q342" s="11" t="s">
        <v>37</v>
      </c>
      <c r="S342" s="18" t="str">
        <f t="shared" si="10"/>
        <v/>
      </c>
      <c r="T342" s="18" t="str">
        <f t="shared" si="11"/>
        <v/>
      </c>
    </row>
    <row r="343" spans="5:20">
      <c r="E343" s="21" t="s">
        <v>59</v>
      </c>
      <c r="F343" s="14">
        <v>7.76</v>
      </c>
      <c r="G343" s="11" t="s">
        <v>60</v>
      </c>
      <c r="H343" s="23">
        <v>28</v>
      </c>
      <c r="I343" s="23">
        <v>36</v>
      </c>
      <c r="J343" s="23">
        <v>26</v>
      </c>
      <c r="K343" s="23">
        <v>19.5</v>
      </c>
      <c r="L343" s="23">
        <v>27</v>
      </c>
      <c r="M343" s="23">
        <v>19.5</v>
      </c>
      <c r="N343" s="23">
        <v>19</v>
      </c>
      <c r="O343" s="30">
        <v>19</v>
      </c>
      <c r="P343" s="31"/>
      <c r="Q343" s="11">
        <v>194</v>
      </c>
      <c r="S343" s="18">
        <f t="shared" si="10"/>
        <v>0</v>
      </c>
      <c r="T343" s="18">
        <f t="shared" si="11"/>
        <v>0</v>
      </c>
    </row>
    <row r="344" spans="5:20">
      <c r="E344" s="32" t="s">
        <v>61</v>
      </c>
      <c r="F344" s="31"/>
      <c r="G344" s="11" t="s">
        <v>40</v>
      </c>
      <c r="H344" s="23">
        <v>68</v>
      </c>
      <c r="I344" s="23">
        <v>89</v>
      </c>
      <c r="J344" s="23">
        <v>61</v>
      </c>
      <c r="K344" s="23">
        <v>64</v>
      </c>
      <c r="L344" s="23">
        <v>87</v>
      </c>
      <c r="M344" s="23">
        <v>63</v>
      </c>
      <c r="N344" s="23">
        <v>46</v>
      </c>
      <c r="O344" s="30">
        <v>45</v>
      </c>
      <c r="P344" s="31"/>
      <c r="Q344" s="11">
        <v>523</v>
      </c>
      <c r="S344" s="18">
        <f t="shared" si="10"/>
        <v>0</v>
      </c>
      <c r="T344" s="18">
        <f t="shared" si="11"/>
        <v>0</v>
      </c>
    </row>
    <row r="345" spans="5:20">
      <c r="E345" s="21" t="s">
        <v>62</v>
      </c>
      <c r="F345" s="21"/>
      <c r="G345" s="11" t="s">
        <v>63</v>
      </c>
      <c r="H345" s="23">
        <v>100</v>
      </c>
      <c r="I345" s="23">
        <v>100</v>
      </c>
      <c r="J345" s="23">
        <v>100</v>
      </c>
      <c r="K345" s="23">
        <v>100</v>
      </c>
      <c r="L345" s="23">
        <v>100</v>
      </c>
      <c r="M345" s="23">
        <v>100</v>
      </c>
      <c r="N345" s="23">
        <v>50</v>
      </c>
      <c r="O345" s="30">
        <v>50</v>
      </c>
      <c r="P345" s="31"/>
      <c r="Q345" s="11">
        <v>700</v>
      </c>
      <c r="S345" s="18" t="str">
        <f t="shared" si="10"/>
        <v>Dr. B.B. Hegde First Grade College, Kundapura, Udupi.</v>
      </c>
      <c r="T345" s="18" t="str">
        <f t="shared" si="11"/>
        <v/>
      </c>
    </row>
    <row r="346" spans="5:20">
      <c r="E346" s="32" t="s">
        <v>64</v>
      </c>
      <c r="F346" s="31"/>
      <c r="G346" s="11" t="s">
        <v>65</v>
      </c>
      <c r="H346" s="23" t="s">
        <v>66</v>
      </c>
      <c r="I346" s="23" t="s">
        <v>67</v>
      </c>
      <c r="J346" s="23" t="s">
        <v>69</v>
      </c>
      <c r="K346" s="23" t="s">
        <v>69</v>
      </c>
      <c r="L346" s="23" t="s">
        <v>67</v>
      </c>
      <c r="M346" s="23" t="s">
        <v>69</v>
      </c>
      <c r="N346" s="23" t="s">
        <v>71</v>
      </c>
      <c r="O346" s="30" t="s">
        <v>71</v>
      </c>
      <c r="P346" s="31"/>
      <c r="Q346" s="11" t="s">
        <v>37</v>
      </c>
      <c r="S346" s="18" t="str">
        <f t="shared" si="10"/>
        <v>00024</v>
      </c>
      <c r="T346" s="18" t="str">
        <f t="shared" si="11"/>
        <v>Total</v>
      </c>
    </row>
    <row r="347" spans="5:20">
      <c r="E347" s="15" t="s">
        <v>72</v>
      </c>
      <c r="F347" s="15" t="s">
        <v>312</v>
      </c>
      <c r="G347" s="11" t="s">
        <v>74</v>
      </c>
      <c r="H347" s="23" t="s">
        <v>75</v>
      </c>
      <c r="I347" s="23" t="s">
        <v>75</v>
      </c>
      <c r="J347" s="23" t="s">
        <v>75</v>
      </c>
      <c r="K347" s="23" t="s">
        <v>75</v>
      </c>
      <c r="L347" s="23" t="s">
        <v>75</v>
      </c>
      <c r="M347" s="23" t="s">
        <v>75</v>
      </c>
      <c r="N347" s="23" t="s">
        <v>75</v>
      </c>
      <c r="O347" s="30" t="s">
        <v>75</v>
      </c>
      <c r="P347" s="31"/>
      <c r="Q347" s="11" t="s">
        <v>37</v>
      </c>
      <c r="S347" s="18" t="str">
        <f t="shared" si="10"/>
        <v>USN</v>
      </c>
      <c r="T347" s="18" t="str">
        <f t="shared" si="11"/>
        <v/>
      </c>
    </row>
    <row r="348" spans="5:20">
      <c r="E348" s="16" t="s">
        <v>37</v>
      </c>
      <c r="F348" s="16" t="s">
        <v>37</v>
      </c>
      <c r="G348" s="16" t="s">
        <v>37</v>
      </c>
      <c r="H348" s="24" t="s">
        <v>37</v>
      </c>
      <c r="I348" s="24" t="s">
        <v>37</v>
      </c>
      <c r="J348" s="24" t="s">
        <v>37</v>
      </c>
      <c r="K348" s="24" t="s">
        <v>37</v>
      </c>
      <c r="L348" s="24" t="s">
        <v>37</v>
      </c>
      <c r="M348" s="24" t="s">
        <v>37</v>
      </c>
      <c r="N348" s="24" t="s">
        <v>37</v>
      </c>
      <c r="O348" s="41" t="s">
        <v>37</v>
      </c>
      <c r="P348" s="28"/>
      <c r="Q348" s="24" t="s">
        <v>37</v>
      </c>
      <c r="S348" s="18" t="str">
        <f t="shared" si="10"/>
        <v>SAMEEKSHA</v>
      </c>
      <c r="T348" s="18" t="str">
        <f t="shared" si="11"/>
        <v/>
      </c>
    </row>
    <row r="349" spans="5:20" ht="0" hidden="1" customHeight="1">
      <c r="S349" s="18">
        <f t="shared" si="10"/>
        <v>0</v>
      </c>
      <c r="T349" s="18">
        <f t="shared" si="11"/>
        <v>0</v>
      </c>
    </row>
    <row r="350" spans="5:20" ht="0.6" customHeight="1">
      <c r="S350" s="18">
        <f t="shared" si="10"/>
        <v>0</v>
      </c>
      <c r="T350" s="18">
        <f t="shared" si="11"/>
        <v>25</v>
      </c>
    </row>
    <row r="351" spans="5:20">
      <c r="E351" s="38" t="s">
        <v>35</v>
      </c>
      <c r="F351" s="31"/>
      <c r="G351" s="19" t="s">
        <v>36</v>
      </c>
      <c r="H351" s="20" t="s">
        <v>37</v>
      </c>
      <c r="I351" s="20" t="s">
        <v>37</v>
      </c>
      <c r="J351" s="20" t="s">
        <v>37</v>
      </c>
      <c r="K351" s="20" t="s">
        <v>37</v>
      </c>
      <c r="L351" s="20" t="s">
        <v>37</v>
      </c>
      <c r="M351" s="20" t="s">
        <v>37</v>
      </c>
      <c r="N351" s="20" t="s">
        <v>37</v>
      </c>
      <c r="O351" s="39" t="s">
        <v>37</v>
      </c>
      <c r="P351" s="28"/>
      <c r="Q351" s="20" t="s">
        <v>37</v>
      </c>
      <c r="S351" s="18" t="str">
        <f t="shared" si="10"/>
        <v>SGPA</v>
      </c>
      <c r="T351" s="18" t="str">
        <f t="shared" si="11"/>
        <v/>
      </c>
    </row>
    <row r="352" spans="5:20" ht="21">
      <c r="E352" s="32" t="s">
        <v>313</v>
      </c>
      <c r="F352" s="31"/>
      <c r="G352" s="22" t="s">
        <v>39</v>
      </c>
      <c r="H352" s="22" t="s">
        <v>19</v>
      </c>
      <c r="I352" s="22" t="s">
        <v>9</v>
      </c>
      <c r="J352" s="22" t="s">
        <v>21</v>
      </c>
      <c r="K352" s="22" t="s">
        <v>11</v>
      </c>
      <c r="L352" s="22" t="s">
        <v>17</v>
      </c>
      <c r="M352" s="22" t="s">
        <v>27</v>
      </c>
      <c r="N352" s="22" t="s">
        <v>7</v>
      </c>
      <c r="O352" s="40" t="s">
        <v>33</v>
      </c>
      <c r="P352" s="31"/>
      <c r="Q352" s="22" t="s">
        <v>40</v>
      </c>
      <c r="S352" s="18" t="str">
        <f t="shared" si="10"/>
        <v>CGPA</v>
      </c>
      <c r="T352" s="18">
        <f t="shared" si="11"/>
        <v>226.5</v>
      </c>
    </row>
    <row r="353" spans="5:20" ht="22.5">
      <c r="E353" s="21" t="s">
        <v>41</v>
      </c>
      <c r="F353" s="21" t="s">
        <v>314</v>
      </c>
      <c r="G353" s="11" t="s">
        <v>43</v>
      </c>
      <c r="H353" s="23" t="s">
        <v>78</v>
      </c>
      <c r="I353" s="23" t="s">
        <v>183</v>
      </c>
      <c r="J353" s="23" t="s">
        <v>288</v>
      </c>
      <c r="K353" s="23" t="s">
        <v>315</v>
      </c>
      <c r="L353" s="23" t="s">
        <v>316</v>
      </c>
      <c r="M353" s="23" t="s">
        <v>317</v>
      </c>
      <c r="N353" s="23" t="s">
        <v>318</v>
      </c>
      <c r="O353" s="30" t="s">
        <v>51</v>
      </c>
      <c r="P353" s="31"/>
      <c r="Q353" s="11" t="s">
        <v>37</v>
      </c>
      <c r="S353" s="18" t="str">
        <f t="shared" si="10"/>
        <v>Result: PASS</v>
      </c>
      <c r="T353" s="18">
        <f t="shared" si="11"/>
        <v>608</v>
      </c>
    </row>
    <row r="354" spans="5:20">
      <c r="E354" s="32" t="s">
        <v>319</v>
      </c>
      <c r="F354" s="33"/>
      <c r="G354" s="11" t="s">
        <v>53</v>
      </c>
      <c r="H354" s="23" t="s">
        <v>51</v>
      </c>
      <c r="I354" s="23" t="s">
        <v>51</v>
      </c>
      <c r="J354" s="23" t="s">
        <v>51</v>
      </c>
      <c r="K354" s="23" t="s">
        <v>51</v>
      </c>
      <c r="L354" s="23" t="s">
        <v>51</v>
      </c>
      <c r="M354" s="23" t="s">
        <v>51</v>
      </c>
      <c r="N354" s="23" t="s">
        <v>51</v>
      </c>
      <c r="O354" s="30" t="s">
        <v>199</v>
      </c>
      <c r="P354" s="31"/>
      <c r="Q354" s="11" t="s">
        <v>37</v>
      </c>
      <c r="S354" s="18" t="str">
        <f t="shared" si="10"/>
        <v>Class</v>
      </c>
      <c r="T354" s="18">
        <f t="shared" si="11"/>
        <v>700</v>
      </c>
    </row>
    <row r="355" spans="5:20">
      <c r="E355" s="34"/>
      <c r="F355" s="35"/>
      <c r="G355" s="11" t="s">
        <v>55</v>
      </c>
      <c r="H355" s="23" t="s">
        <v>37</v>
      </c>
      <c r="I355" s="23" t="s">
        <v>37</v>
      </c>
      <c r="J355" s="23" t="s">
        <v>37</v>
      </c>
      <c r="K355" s="23" t="s">
        <v>37</v>
      </c>
      <c r="L355" s="23" t="s">
        <v>37</v>
      </c>
      <c r="M355" s="23" t="s">
        <v>37</v>
      </c>
      <c r="N355" s="23" t="s">
        <v>37</v>
      </c>
      <c r="O355" s="30" t="s">
        <v>37</v>
      </c>
      <c r="P355" s="31"/>
      <c r="Q355" s="11">
        <v>0</v>
      </c>
      <c r="S355" s="18" t="str">
        <f t="shared" si="10"/>
        <v>Term Grade: OO</v>
      </c>
      <c r="T355" s="18" t="str">
        <f t="shared" si="11"/>
        <v/>
      </c>
    </row>
    <row r="356" spans="5:20">
      <c r="E356" s="36"/>
      <c r="F356" s="37"/>
      <c r="G356" s="11" t="s">
        <v>56</v>
      </c>
      <c r="H356" s="23">
        <v>4</v>
      </c>
      <c r="I356" s="23">
        <v>4</v>
      </c>
      <c r="J356" s="23">
        <v>4</v>
      </c>
      <c r="K356" s="23">
        <v>3</v>
      </c>
      <c r="L356" s="23">
        <v>3</v>
      </c>
      <c r="M356" s="23">
        <v>3</v>
      </c>
      <c r="N356" s="23">
        <v>2</v>
      </c>
      <c r="O356" s="30">
        <v>2</v>
      </c>
      <c r="P356" s="31"/>
      <c r="Q356" s="11">
        <v>25</v>
      </c>
      <c r="S356" s="18" t="str">
        <f t="shared" si="10"/>
        <v>M.C.No</v>
      </c>
      <c r="T356" s="18" t="str">
        <f t="shared" si="11"/>
        <v/>
      </c>
    </row>
    <row r="357" spans="5:20">
      <c r="E357" s="21" t="s">
        <v>57</v>
      </c>
      <c r="F357" s="21">
        <v>9.06</v>
      </c>
      <c r="G357" s="11" t="s">
        <v>58</v>
      </c>
      <c r="H357" s="23">
        <v>9</v>
      </c>
      <c r="I357" s="23">
        <v>9.5</v>
      </c>
      <c r="J357" s="23">
        <v>9</v>
      </c>
      <c r="K357" s="23">
        <v>8</v>
      </c>
      <c r="L357" s="23">
        <v>9</v>
      </c>
      <c r="M357" s="23">
        <v>8.5</v>
      </c>
      <c r="N357" s="23">
        <v>10</v>
      </c>
      <c r="O357" s="30">
        <v>10</v>
      </c>
      <c r="P357" s="31"/>
      <c r="Q357" s="11" t="s">
        <v>37</v>
      </c>
      <c r="S357" s="18" t="str">
        <f t="shared" si="10"/>
        <v/>
      </c>
      <c r="T357" s="18" t="str">
        <f t="shared" si="11"/>
        <v/>
      </c>
    </row>
    <row r="358" spans="5:20">
      <c r="E358" s="21" t="s">
        <v>59</v>
      </c>
      <c r="F358" s="14">
        <v>9.06</v>
      </c>
      <c r="G358" s="11" t="s">
        <v>60</v>
      </c>
      <c r="H358" s="23">
        <v>36</v>
      </c>
      <c r="I358" s="23">
        <v>38</v>
      </c>
      <c r="J358" s="23">
        <v>36</v>
      </c>
      <c r="K358" s="23">
        <v>24</v>
      </c>
      <c r="L358" s="23">
        <v>27</v>
      </c>
      <c r="M358" s="23">
        <v>25.5</v>
      </c>
      <c r="N358" s="23">
        <v>20</v>
      </c>
      <c r="O358" s="30">
        <v>20</v>
      </c>
      <c r="P358" s="31"/>
      <c r="Q358" s="11">
        <v>226.5</v>
      </c>
      <c r="S358" s="18">
        <f t="shared" si="10"/>
        <v>0</v>
      </c>
      <c r="T358" s="18">
        <f t="shared" si="11"/>
        <v>0</v>
      </c>
    </row>
    <row r="359" spans="5:20">
      <c r="E359" s="32" t="s">
        <v>61</v>
      </c>
      <c r="F359" s="31"/>
      <c r="G359" s="11" t="s">
        <v>40</v>
      </c>
      <c r="H359" s="23">
        <v>86</v>
      </c>
      <c r="I359" s="23">
        <v>94</v>
      </c>
      <c r="J359" s="23">
        <v>85</v>
      </c>
      <c r="K359" s="23">
        <v>77</v>
      </c>
      <c r="L359" s="23">
        <v>86</v>
      </c>
      <c r="M359" s="23">
        <v>82</v>
      </c>
      <c r="N359" s="23">
        <v>49</v>
      </c>
      <c r="O359" s="30">
        <v>49</v>
      </c>
      <c r="P359" s="31"/>
      <c r="Q359" s="11">
        <v>608</v>
      </c>
      <c r="S359" s="18">
        <f t="shared" si="10"/>
        <v>0</v>
      </c>
      <c r="T359" s="18">
        <f t="shared" si="11"/>
        <v>0</v>
      </c>
    </row>
    <row r="360" spans="5:20">
      <c r="E360" s="21" t="s">
        <v>62</v>
      </c>
      <c r="F360" s="21"/>
      <c r="G360" s="11" t="s">
        <v>63</v>
      </c>
      <c r="H360" s="23">
        <v>100</v>
      </c>
      <c r="I360" s="23">
        <v>100</v>
      </c>
      <c r="J360" s="23">
        <v>100</v>
      </c>
      <c r="K360" s="23">
        <v>100</v>
      </c>
      <c r="L360" s="23">
        <v>100</v>
      </c>
      <c r="M360" s="23">
        <v>100</v>
      </c>
      <c r="N360" s="23">
        <v>50</v>
      </c>
      <c r="O360" s="30">
        <v>50</v>
      </c>
      <c r="P360" s="31"/>
      <c r="Q360" s="11">
        <v>700</v>
      </c>
      <c r="S360" s="18" t="str">
        <f t="shared" si="10"/>
        <v>Dr. B.B. Hegde First Grade College, Kundapura, Udupi.</v>
      </c>
      <c r="T360" s="18" t="str">
        <f t="shared" si="11"/>
        <v/>
      </c>
    </row>
    <row r="361" spans="5:20">
      <c r="E361" s="32" t="s">
        <v>87</v>
      </c>
      <c r="F361" s="31"/>
      <c r="G361" s="11" t="s">
        <v>65</v>
      </c>
      <c r="H361" s="23" t="s">
        <v>67</v>
      </c>
      <c r="I361" s="23" t="s">
        <v>71</v>
      </c>
      <c r="J361" s="23" t="s">
        <v>67</v>
      </c>
      <c r="K361" s="23" t="s">
        <v>102</v>
      </c>
      <c r="L361" s="23" t="s">
        <v>67</v>
      </c>
      <c r="M361" s="23" t="s">
        <v>70</v>
      </c>
      <c r="N361" s="23" t="s">
        <v>88</v>
      </c>
      <c r="O361" s="30" t="s">
        <v>88</v>
      </c>
      <c r="P361" s="31"/>
      <c r="Q361" s="11" t="s">
        <v>37</v>
      </c>
      <c r="S361" s="18" t="str">
        <f t="shared" si="10"/>
        <v>00025</v>
      </c>
      <c r="T361" s="18" t="str">
        <f t="shared" si="11"/>
        <v>Total</v>
      </c>
    </row>
    <row r="362" spans="5:20">
      <c r="E362" s="15" t="s">
        <v>72</v>
      </c>
      <c r="F362" s="15" t="s">
        <v>320</v>
      </c>
      <c r="G362" s="11" t="s">
        <v>74</v>
      </c>
      <c r="H362" s="23" t="s">
        <v>75</v>
      </c>
      <c r="I362" s="23" t="s">
        <v>75</v>
      </c>
      <c r="J362" s="23" t="s">
        <v>75</v>
      </c>
      <c r="K362" s="23" t="s">
        <v>75</v>
      </c>
      <c r="L362" s="23" t="s">
        <v>75</v>
      </c>
      <c r="M362" s="23" t="s">
        <v>75</v>
      </c>
      <c r="N362" s="23" t="s">
        <v>75</v>
      </c>
      <c r="O362" s="30" t="s">
        <v>75</v>
      </c>
      <c r="P362" s="31"/>
      <c r="Q362" s="11" t="s">
        <v>37</v>
      </c>
      <c r="S362" s="18" t="str">
        <f t="shared" si="10"/>
        <v>USN</v>
      </c>
      <c r="T362" s="18" t="str">
        <f t="shared" si="11"/>
        <v/>
      </c>
    </row>
    <row r="363" spans="5:20">
      <c r="E363" s="16" t="s">
        <v>37</v>
      </c>
      <c r="F363" s="16" t="s">
        <v>37</v>
      </c>
      <c r="G363" s="16" t="s">
        <v>37</v>
      </c>
      <c r="H363" s="24" t="s">
        <v>37</v>
      </c>
      <c r="I363" s="24" t="s">
        <v>37</v>
      </c>
      <c r="J363" s="24" t="s">
        <v>37</v>
      </c>
      <c r="K363" s="24" t="s">
        <v>37</v>
      </c>
      <c r="L363" s="24" t="s">
        <v>37</v>
      </c>
      <c r="M363" s="24" t="s">
        <v>37</v>
      </c>
      <c r="N363" s="24" t="s">
        <v>37</v>
      </c>
      <c r="O363" s="41" t="s">
        <v>37</v>
      </c>
      <c r="P363" s="28"/>
      <c r="Q363" s="24" t="s">
        <v>37</v>
      </c>
      <c r="S363" s="18" t="str">
        <f t="shared" si="10"/>
        <v>KAVYA ISHWAR NAIK</v>
      </c>
      <c r="T363" s="18" t="str">
        <f t="shared" si="11"/>
        <v/>
      </c>
    </row>
    <row r="364" spans="5:20" ht="0" hidden="1" customHeight="1">
      <c r="S364" s="18">
        <f t="shared" si="10"/>
        <v>0</v>
      </c>
      <c r="T364" s="18">
        <f t="shared" si="11"/>
        <v>0</v>
      </c>
    </row>
    <row r="365" spans="5:20" ht="0.6" customHeight="1">
      <c r="S365" s="18">
        <f t="shared" si="10"/>
        <v>0</v>
      </c>
      <c r="T365" s="18">
        <f t="shared" si="11"/>
        <v>25</v>
      </c>
    </row>
    <row r="366" spans="5:20">
      <c r="E366" s="38" t="s">
        <v>35</v>
      </c>
      <c r="F366" s="31"/>
      <c r="G366" s="19" t="s">
        <v>36</v>
      </c>
      <c r="H366" s="20" t="s">
        <v>37</v>
      </c>
      <c r="I366" s="20" t="s">
        <v>37</v>
      </c>
      <c r="J366" s="20" t="s">
        <v>37</v>
      </c>
      <c r="K366" s="20" t="s">
        <v>37</v>
      </c>
      <c r="L366" s="20" t="s">
        <v>37</v>
      </c>
      <c r="M366" s="20" t="s">
        <v>37</v>
      </c>
      <c r="N366" s="20" t="s">
        <v>37</v>
      </c>
      <c r="O366" s="39" t="s">
        <v>37</v>
      </c>
      <c r="P366" s="28"/>
      <c r="Q366" s="20" t="s">
        <v>37</v>
      </c>
      <c r="S366" s="18" t="str">
        <f t="shared" si="10"/>
        <v>SGPA</v>
      </c>
      <c r="T366" s="18" t="str">
        <f t="shared" si="11"/>
        <v/>
      </c>
    </row>
    <row r="367" spans="5:20" ht="21">
      <c r="E367" s="32" t="s">
        <v>321</v>
      </c>
      <c r="F367" s="31"/>
      <c r="G367" s="22" t="s">
        <v>39</v>
      </c>
      <c r="H367" s="22" t="s">
        <v>19</v>
      </c>
      <c r="I367" s="22" t="s">
        <v>9</v>
      </c>
      <c r="J367" s="22" t="s">
        <v>21</v>
      </c>
      <c r="K367" s="22" t="s">
        <v>11</v>
      </c>
      <c r="L367" s="22" t="s">
        <v>17</v>
      </c>
      <c r="M367" s="22" t="s">
        <v>27</v>
      </c>
      <c r="N367" s="22" t="s">
        <v>7</v>
      </c>
      <c r="O367" s="40" t="s">
        <v>29</v>
      </c>
      <c r="P367" s="31"/>
      <c r="Q367" s="22" t="s">
        <v>40</v>
      </c>
      <c r="S367" s="18" t="str">
        <f t="shared" si="10"/>
        <v>CGPA</v>
      </c>
      <c r="T367" s="18">
        <f t="shared" si="11"/>
        <v>215</v>
      </c>
    </row>
    <row r="368" spans="5:20" ht="22.5">
      <c r="E368" s="21" t="s">
        <v>41</v>
      </c>
      <c r="F368" s="21" t="s">
        <v>322</v>
      </c>
      <c r="G368" s="11" t="s">
        <v>43</v>
      </c>
      <c r="H368" s="23" t="s">
        <v>323</v>
      </c>
      <c r="I368" s="23" t="s">
        <v>172</v>
      </c>
      <c r="J368" s="23" t="s">
        <v>324</v>
      </c>
      <c r="K368" s="23" t="s">
        <v>214</v>
      </c>
      <c r="L368" s="23" t="s">
        <v>289</v>
      </c>
      <c r="M368" s="23" t="s">
        <v>325</v>
      </c>
      <c r="N368" s="23" t="s">
        <v>326</v>
      </c>
      <c r="O368" s="30" t="s">
        <v>51</v>
      </c>
      <c r="P368" s="31"/>
      <c r="Q368" s="11" t="s">
        <v>37</v>
      </c>
      <c r="S368" s="18" t="str">
        <f t="shared" si="10"/>
        <v>Result: PASS</v>
      </c>
      <c r="T368" s="18">
        <f t="shared" si="11"/>
        <v>587</v>
      </c>
    </row>
    <row r="369" spans="5:20">
      <c r="E369" s="32" t="s">
        <v>327</v>
      </c>
      <c r="F369" s="33"/>
      <c r="G369" s="11" t="s">
        <v>53</v>
      </c>
      <c r="H369" s="23" t="s">
        <v>51</v>
      </c>
      <c r="I369" s="23" t="s">
        <v>51</v>
      </c>
      <c r="J369" s="23" t="s">
        <v>51</v>
      </c>
      <c r="K369" s="23" t="s">
        <v>51</v>
      </c>
      <c r="L369" s="23" t="s">
        <v>51</v>
      </c>
      <c r="M369" s="23" t="s">
        <v>51</v>
      </c>
      <c r="N369" s="23" t="s">
        <v>51</v>
      </c>
      <c r="O369" s="30" t="s">
        <v>54</v>
      </c>
      <c r="P369" s="31"/>
      <c r="Q369" s="11" t="s">
        <v>37</v>
      </c>
      <c r="S369" s="18" t="str">
        <f t="shared" si="10"/>
        <v>Class</v>
      </c>
      <c r="T369" s="18">
        <f t="shared" si="11"/>
        <v>700</v>
      </c>
    </row>
    <row r="370" spans="5:20">
      <c r="E370" s="34"/>
      <c r="F370" s="35"/>
      <c r="G370" s="11" t="s">
        <v>55</v>
      </c>
      <c r="H370" s="23" t="s">
        <v>37</v>
      </c>
      <c r="I370" s="23" t="s">
        <v>37</v>
      </c>
      <c r="J370" s="23" t="s">
        <v>37</v>
      </c>
      <c r="K370" s="23" t="s">
        <v>37</v>
      </c>
      <c r="L370" s="23" t="s">
        <v>37</v>
      </c>
      <c r="M370" s="23" t="s">
        <v>37</v>
      </c>
      <c r="N370" s="23" t="s">
        <v>37</v>
      </c>
      <c r="O370" s="30" t="s">
        <v>37</v>
      </c>
      <c r="P370" s="31"/>
      <c r="Q370" s="11">
        <v>0</v>
      </c>
      <c r="S370" s="18" t="str">
        <f t="shared" si="10"/>
        <v>Term Grade: OA+</v>
      </c>
      <c r="T370" s="18" t="str">
        <f t="shared" si="11"/>
        <v/>
      </c>
    </row>
    <row r="371" spans="5:20">
      <c r="E371" s="36"/>
      <c r="F371" s="37"/>
      <c r="G371" s="11" t="s">
        <v>56</v>
      </c>
      <c r="H371" s="23">
        <v>4</v>
      </c>
      <c r="I371" s="23">
        <v>4</v>
      </c>
      <c r="J371" s="23">
        <v>4</v>
      </c>
      <c r="K371" s="23">
        <v>3</v>
      </c>
      <c r="L371" s="23">
        <v>3</v>
      </c>
      <c r="M371" s="23">
        <v>3</v>
      </c>
      <c r="N371" s="23">
        <v>2</v>
      </c>
      <c r="O371" s="30">
        <v>2</v>
      </c>
      <c r="P371" s="31"/>
      <c r="Q371" s="11">
        <v>25</v>
      </c>
      <c r="S371" s="18" t="str">
        <f t="shared" si="10"/>
        <v>M.C.No</v>
      </c>
      <c r="T371" s="18" t="str">
        <f t="shared" si="11"/>
        <v/>
      </c>
    </row>
    <row r="372" spans="5:20">
      <c r="E372" s="21" t="s">
        <v>57</v>
      </c>
      <c r="F372" s="21">
        <v>8.6</v>
      </c>
      <c r="G372" s="11" t="s">
        <v>58</v>
      </c>
      <c r="H372" s="23">
        <v>9</v>
      </c>
      <c r="I372" s="23">
        <v>8.5</v>
      </c>
      <c r="J372" s="23">
        <v>8</v>
      </c>
      <c r="K372" s="23">
        <v>7.5</v>
      </c>
      <c r="L372" s="23">
        <v>9</v>
      </c>
      <c r="M372" s="23">
        <v>8.5</v>
      </c>
      <c r="N372" s="23">
        <v>9.5</v>
      </c>
      <c r="O372" s="30">
        <v>9.5</v>
      </c>
      <c r="P372" s="31"/>
      <c r="Q372" s="11" t="s">
        <v>37</v>
      </c>
      <c r="S372" s="18" t="str">
        <f t="shared" si="10"/>
        <v/>
      </c>
      <c r="T372" s="18" t="str">
        <f t="shared" si="11"/>
        <v/>
      </c>
    </row>
    <row r="373" spans="5:20">
      <c r="E373" s="21" t="s">
        <v>59</v>
      </c>
      <c r="F373" s="14">
        <v>8.6</v>
      </c>
      <c r="G373" s="11" t="s">
        <v>60</v>
      </c>
      <c r="H373" s="23">
        <v>36</v>
      </c>
      <c r="I373" s="23">
        <v>34</v>
      </c>
      <c r="J373" s="23">
        <v>32</v>
      </c>
      <c r="K373" s="23">
        <v>22.5</v>
      </c>
      <c r="L373" s="23">
        <v>27</v>
      </c>
      <c r="M373" s="23">
        <v>25.5</v>
      </c>
      <c r="N373" s="23">
        <v>19</v>
      </c>
      <c r="O373" s="30">
        <v>19</v>
      </c>
      <c r="P373" s="31"/>
      <c r="Q373" s="11">
        <v>215</v>
      </c>
      <c r="S373" s="18">
        <f t="shared" si="10"/>
        <v>0</v>
      </c>
      <c r="T373" s="18">
        <f t="shared" si="11"/>
        <v>0</v>
      </c>
    </row>
    <row r="374" spans="5:20">
      <c r="E374" s="32" t="s">
        <v>61</v>
      </c>
      <c r="F374" s="31"/>
      <c r="G374" s="11" t="s">
        <v>40</v>
      </c>
      <c r="H374" s="23">
        <v>85</v>
      </c>
      <c r="I374" s="23">
        <v>84</v>
      </c>
      <c r="J374" s="23">
        <v>79</v>
      </c>
      <c r="K374" s="23">
        <v>74</v>
      </c>
      <c r="L374" s="23">
        <v>89</v>
      </c>
      <c r="M374" s="23">
        <v>84</v>
      </c>
      <c r="N374" s="23">
        <v>47</v>
      </c>
      <c r="O374" s="30">
        <v>45</v>
      </c>
      <c r="P374" s="31"/>
      <c r="Q374" s="11">
        <v>587</v>
      </c>
      <c r="S374" s="18">
        <f t="shared" si="10"/>
        <v>0</v>
      </c>
      <c r="T374" s="18">
        <f t="shared" si="11"/>
        <v>0</v>
      </c>
    </row>
    <row r="375" spans="5:20">
      <c r="E375" s="21" t="s">
        <v>62</v>
      </c>
      <c r="F375" s="21"/>
      <c r="G375" s="11" t="s">
        <v>63</v>
      </c>
      <c r="H375" s="23">
        <v>100</v>
      </c>
      <c r="I375" s="23">
        <v>100</v>
      </c>
      <c r="J375" s="23">
        <v>100</v>
      </c>
      <c r="K375" s="23">
        <v>100</v>
      </c>
      <c r="L375" s="23">
        <v>100</v>
      </c>
      <c r="M375" s="23">
        <v>100</v>
      </c>
      <c r="N375" s="23">
        <v>50</v>
      </c>
      <c r="O375" s="30">
        <v>50</v>
      </c>
      <c r="P375" s="31"/>
      <c r="Q375" s="11">
        <v>700</v>
      </c>
      <c r="S375" s="18" t="str">
        <f t="shared" si="10"/>
        <v>Dr. B.B. Hegde First Grade College, Kundapura, Udupi.</v>
      </c>
      <c r="T375" s="18" t="str">
        <f t="shared" si="11"/>
        <v/>
      </c>
    </row>
    <row r="376" spans="5:20">
      <c r="E376" s="32" t="s">
        <v>188</v>
      </c>
      <c r="F376" s="31"/>
      <c r="G376" s="11" t="s">
        <v>65</v>
      </c>
      <c r="H376" s="23" t="s">
        <v>67</v>
      </c>
      <c r="I376" s="23" t="s">
        <v>70</v>
      </c>
      <c r="J376" s="23" t="s">
        <v>102</v>
      </c>
      <c r="K376" s="23" t="s">
        <v>68</v>
      </c>
      <c r="L376" s="23" t="s">
        <v>67</v>
      </c>
      <c r="M376" s="23" t="s">
        <v>70</v>
      </c>
      <c r="N376" s="23" t="s">
        <v>71</v>
      </c>
      <c r="O376" s="30" t="s">
        <v>71</v>
      </c>
      <c r="P376" s="31"/>
      <c r="Q376" s="11" t="s">
        <v>37</v>
      </c>
      <c r="S376" s="18" t="str">
        <f t="shared" si="10"/>
        <v>00026</v>
      </c>
      <c r="T376" s="18" t="str">
        <f t="shared" si="11"/>
        <v>Total</v>
      </c>
    </row>
    <row r="377" spans="5:20">
      <c r="E377" s="15" t="s">
        <v>72</v>
      </c>
      <c r="F377" s="15" t="s">
        <v>328</v>
      </c>
      <c r="G377" s="11" t="s">
        <v>74</v>
      </c>
      <c r="H377" s="23" t="s">
        <v>75</v>
      </c>
      <c r="I377" s="23" t="s">
        <v>75</v>
      </c>
      <c r="J377" s="23" t="s">
        <v>75</v>
      </c>
      <c r="K377" s="23" t="s">
        <v>75</v>
      </c>
      <c r="L377" s="23" t="s">
        <v>75</v>
      </c>
      <c r="M377" s="23" t="s">
        <v>75</v>
      </c>
      <c r="N377" s="23" t="s">
        <v>75</v>
      </c>
      <c r="O377" s="30" t="s">
        <v>75</v>
      </c>
      <c r="P377" s="31"/>
      <c r="Q377" s="11" t="s">
        <v>37</v>
      </c>
      <c r="S377" s="18" t="str">
        <f t="shared" si="10"/>
        <v>USN</v>
      </c>
      <c r="T377" s="18" t="str">
        <f t="shared" si="11"/>
        <v/>
      </c>
    </row>
    <row r="378" spans="5:20">
      <c r="E378" s="16" t="s">
        <v>37</v>
      </c>
      <c r="F378" s="16" t="s">
        <v>37</v>
      </c>
      <c r="G378" s="16" t="s">
        <v>37</v>
      </c>
      <c r="H378" s="24" t="s">
        <v>37</v>
      </c>
      <c r="I378" s="24" t="s">
        <v>37</v>
      </c>
      <c r="J378" s="24" t="s">
        <v>37</v>
      </c>
      <c r="K378" s="24" t="s">
        <v>37</v>
      </c>
      <c r="L378" s="24" t="s">
        <v>37</v>
      </c>
      <c r="M378" s="24" t="s">
        <v>37</v>
      </c>
      <c r="N378" s="24" t="s">
        <v>37</v>
      </c>
      <c r="O378" s="41" t="s">
        <v>37</v>
      </c>
      <c r="P378" s="28"/>
      <c r="Q378" s="24" t="s">
        <v>37</v>
      </c>
      <c r="S378" s="18" t="str">
        <f t="shared" si="10"/>
        <v>SACHIN</v>
      </c>
      <c r="T378" s="18" t="str">
        <f t="shared" si="11"/>
        <v/>
      </c>
    </row>
    <row r="379" spans="5:20" ht="0" hidden="1" customHeight="1">
      <c r="S379" s="18">
        <f t="shared" si="10"/>
        <v>0</v>
      </c>
      <c r="T379" s="18">
        <f t="shared" si="11"/>
        <v>0</v>
      </c>
    </row>
    <row r="380" spans="5:20" ht="0.6" customHeight="1">
      <c r="S380" s="18">
        <f t="shared" si="10"/>
        <v>0</v>
      </c>
      <c r="T380" s="18">
        <f t="shared" si="11"/>
        <v>21</v>
      </c>
    </row>
    <row r="381" spans="5:20">
      <c r="E381" s="38" t="s">
        <v>35</v>
      </c>
      <c r="F381" s="31"/>
      <c r="G381" s="19" t="s">
        <v>36</v>
      </c>
      <c r="H381" s="20" t="s">
        <v>37</v>
      </c>
      <c r="I381" s="20" t="s">
        <v>37</v>
      </c>
      <c r="J381" s="20" t="s">
        <v>37</v>
      </c>
      <c r="K381" s="20" t="s">
        <v>37</v>
      </c>
      <c r="L381" s="20" t="s">
        <v>37</v>
      </c>
      <c r="M381" s="20" t="s">
        <v>37</v>
      </c>
      <c r="N381" s="20" t="s">
        <v>37</v>
      </c>
      <c r="O381" s="39" t="s">
        <v>37</v>
      </c>
      <c r="P381" s="28"/>
      <c r="Q381" s="20" t="s">
        <v>37</v>
      </c>
      <c r="S381" s="18" t="str">
        <f t="shared" si="10"/>
        <v>SGPA</v>
      </c>
      <c r="T381" s="18" t="str">
        <f t="shared" si="11"/>
        <v/>
      </c>
    </row>
    <row r="382" spans="5:20" ht="21">
      <c r="E382" s="32" t="s">
        <v>329</v>
      </c>
      <c r="F382" s="31"/>
      <c r="G382" s="22" t="s">
        <v>39</v>
      </c>
      <c r="H382" s="22" t="s">
        <v>19</v>
      </c>
      <c r="I382" s="22" t="s">
        <v>9</v>
      </c>
      <c r="J382" s="22" t="s">
        <v>21</v>
      </c>
      <c r="K382" s="22" t="s">
        <v>11</v>
      </c>
      <c r="L382" s="22" t="s">
        <v>17</v>
      </c>
      <c r="M382" s="22" t="s">
        <v>27</v>
      </c>
      <c r="N382" s="22" t="s">
        <v>7</v>
      </c>
      <c r="O382" s="40" t="s">
        <v>25</v>
      </c>
      <c r="P382" s="31"/>
      <c r="Q382" s="22" t="s">
        <v>40</v>
      </c>
      <c r="S382" s="18" t="str">
        <f t="shared" si="10"/>
        <v>CGPA</v>
      </c>
      <c r="T382" s="18">
        <f t="shared" si="11"/>
        <v>128.5</v>
      </c>
    </row>
    <row r="383" spans="5:20" ht="22.5">
      <c r="E383" s="21" t="s">
        <v>41</v>
      </c>
      <c r="F383" s="21" t="s">
        <v>330</v>
      </c>
      <c r="G383" s="11" t="s">
        <v>43</v>
      </c>
      <c r="H383" s="23" t="s">
        <v>331</v>
      </c>
      <c r="I383" s="23" t="s">
        <v>332</v>
      </c>
      <c r="J383" s="23" t="s">
        <v>333</v>
      </c>
      <c r="K383" s="23" t="s">
        <v>334</v>
      </c>
      <c r="L383" s="23" t="s">
        <v>335</v>
      </c>
      <c r="M383" s="23" t="s">
        <v>336</v>
      </c>
      <c r="N383" s="23" t="s">
        <v>337</v>
      </c>
      <c r="O383" s="30" t="s">
        <v>51</v>
      </c>
      <c r="P383" s="31"/>
      <c r="Q383" s="11" t="s">
        <v>37</v>
      </c>
      <c r="S383" s="18" t="str">
        <f t="shared" si="10"/>
        <v>Result: FAIL</v>
      </c>
      <c r="T383" s="18">
        <f t="shared" si="11"/>
        <v>376</v>
      </c>
    </row>
    <row r="384" spans="5:20">
      <c r="E384" s="32" t="s">
        <v>338</v>
      </c>
      <c r="F384" s="33"/>
      <c r="G384" s="11" t="s">
        <v>53</v>
      </c>
      <c r="H384" s="23" t="s">
        <v>51</v>
      </c>
      <c r="I384" s="23" t="s">
        <v>51</v>
      </c>
      <c r="J384" s="23" t="s">
        <v>51</v>
      </c>
      <c r="K384" s="23" t="s">
        <v>51</v>
      </c>
      <c r="L384" s="23" t="s">
        <v>51</v>
      </c>
      <c r="M384" s="23" t="s">
        <v>51</v>
      </c>
      <c r="N384" s="23" t="s">
        <v>51</v>
      </c>
      <c r="O384" s="30" t="s">
        <v>54</v>
      </c>
      <c r="P384" s="31"/>
      <c r="Q384" s="11" t="s">
        <v>37</v>
      </c>
      <c r="S384" s="18" t="str">
        <f t="shared" si="10"/>
        <v>Class</v>
      </c>
      <c r="T384" s="18">
        <f t="shared" si="11"/>
        <v>700</v>
      </c>
    </row>
    <row r="385" spans="5:20">
      <c r="E385" s="34"/>
      <c r="F385" s="35"/>
      <c r="G385" s="11" t="s">
        <v>55</v>
      </c>
      <c r="H385" s="23" t="s">
        <v>37</v>
      </c>
      <c r="I385" s="23" t="s">
        <v>37</v>
      </c>
      <c r="J385" s="23" t="s">
        <v>37</v>
      </c>
      <c r="K385" s="23" t="s">
        <v>37</v>
      </c>
      <c r="L385" s="23" t="s">
        <v>37</v>
      </c>
      <c r="M385" s="23" t="s">
        <v>37</v>
      </c>
      <c r="N385" s="23" t="s">
        <v>37</v>
      </c>
      <c r="O385" s="30" t="s">
        <v>37</v>
      </c>
      <c r="P385" s="31"/>
      <c r="Q385" s="11">
        <v>0</v>
      </c>
      <c r="S385" s="18" t="str">
        <f t="shared" si="10"/>
        <v>Term Grade: BB</v>
      </c>
      <c r="T385" s="18" t="str">
        <f t="shared" si="11"/>
        <v/>
      </c>
    </row>
    <row r="386" spans="5:20">
      <c r="E386" s="36"/>
      <c r="F386" s="37"/>
      <c r="G386" s="11" t="s">
        <v>56</v>
      </c>
      <c r="H386" s="23">
        <v>4</v>
      </c>
      <c r="I386" s="23">
        <v>4</v>
      </c>
      <c r="J386" s="23">
        <v>4</v>
      </c>
      <c r="K386" s="23">
        <v>3</v>
      </c>
      <c r="L386" s="23">
        <v>3</v>
      </c>
      <c r="M386" s="23">
        <v>3</v>
      </c>
      <c r="N386" s="23">
        <v>2</v>
      </c>
      <c r="O386" s="30">
        <v>2</v>
      </c>
      <c r="P386" s="31"/>
      <c r="Q386" s="11">
        <v>21</v>
      </c>
      <c r="S386" s="18" t="str">
        <f t="shared" si="10"/>
        <v>M.C.No</v>
      </c>
      <c r="T386" s="18" t="str">
        <f t="shared" si="11"/>
        <v/>
      </c>
    </row>
    <row r="387" spans="5:20">
      <c r="E387" s="21" t="s">
        <v>57</v>
      </c>
      <c r="F387" s="21">
        <v>5.14</v>
      </c>
      <c r="G387" s="11" t="s">
        <v>58</v>
      </c>
      <c r="H387" s="23">
        <v>5.5</v>
      </c>
      <c r="I387" s="23">
        <v>6</v>
      </c>
      <c r="J387" s="23"/>
      <c r="K387" s="23">
        <v>4.5</v>
      </c>
      <c r="L387" s="23">
        <v>7</v>
      </c>
      <c r="M387" s="23">
        <v>5</v>
      </c>
      <c r="N387" s="23">
        <v>7</v>
      </c>
      <c r="O387" s="30">
        <v>9.5</v>
      </c>
      <c r="P387" s="31"/>
      <c r="Q387" s="11" t="s">
        <v>37</v>
      </c>
      <c r="S387" s="18" t="str">
        <f t="shared" si="10"/>
        <v/>
      </c>
      <c r="T387" s="18" t="str">
        <f t="shared" si="11"/>
        <v/>
      </c>
    </row>
    <row r="388" spans="5:20">
      <c r="E388" s="21" t="s">
        <v>59</v>
      </c>
      <c r="F388" s="21"/>
      <c r="G388" s="11" t="s">
        <v>60</v>
      </c>
      <c r="H388" s="23">
        <v>22</v>
      </c>
      <c r="I388" s="23">
        <v>24</v>
      </c>
      <c r="J388" s="23"/>
      <c r="K388" s="23">
        <v>13.5</v>
      </c>
      <c r="L388" s="23">
        <v>21</v>
      </c>
      <c r="M388" s="23">
        <v>15</v>
      </c>
      <c r="N388" s="23">
        <v>14</v>
      </c>
      <c r="O388" s="30">
        <v>19</v>
      </c>
      <c r="P388" s="31"/>
      <c r="Q388" s="11">
        <v>128.5</v>
      </c>
      <c r="S388" s="18">
        <f t="shared" si="10"/>
        <v>0</v>
      </c>
      <c r="T388" s="18">
        <f t="shared" si="11"/>
        <v>0</v>
      </c>
    </row>
    <row r="389" spans="5:20">
      <c r="E389" s="32" t="s">
        <v>260</v>
      </c>
      <c r="F389" s="31"/>
      <c r="G389" s="11" t="s">
        <v>40</v>
      </c>
      <c r="H389" s="23">
        <v>50</v>
      </c>
      <c r="I389" s="23">
        <v>59</v>
      </c>
      <c r="J389" s="23">
        <v>37</v>
      </c>
      <c r="K389" s="23">
        <v>40</v>
      </c>
      <c r="L389" s="23">
        <v>66</v>
      </c>
      <c r="M389" s="23">
        <v>45</v>
      </c>
      <c r="N389" s="23">
        <v>34</v>
      </c>
      <c r="O389" s="30">
        <v>45</v>
      </c>
      <c r="P389" s="31"/>
      <c r="Q389" s="11">
        <v>376</v>
      </c>
      <c r="S389" s="18">
        <f t="shared" si="10"/>
        <v>0</v>
      </c>
      <c r="T389" s="18">
        <f t="shared" si="11"/>
        <v>0</v>
      </c>
    </row>
    <row r="390" spans="5:20">
      <c r="E390" s="21" t="s">
        <v>62</v>
      </c>
      <c r="F390" s="21"/>
      <c r="G390" s="11" t="s">
        <v>63</v>
      </c>
      <c r="H390" s="23">
        <v>100</v>
      </c>
      <c r="I390" s="23">
        <v>100</v>
      </c>
      <c r="J390" s="23">
        <v>100</v>
      </c>
      <c r="K390" s="23">
        <v>100</v>
      </c>
      <c r="L390" s="23">
        <v>100</v>
      </c>
      <c r="M390" s="23">
        <v>100</v>
      </c>
      <c r="N390" s="23">
        <v>50</v>
      </c>
      <c r="O390" s="30">
        <v>50</v>
      </c>
      <c r="P390" s="31"/>
      <c r="Q390" s="11">
        <v>700</v>
      </c>
      <c r="S390" s="18" t="str">
        <f t="shared" si="10"/>
        <v>Dr. B.B. Hegde First Grade College, Kundapura, Udupi.</v>
      </c>
      <c r="T390" s="18" t="str">
        <f t="shared" si="11"/>
        <v/>
      </c>
    </row>
    <row r="391" spans="5:20">
      <c r="E391" s="32" t="s">
        <v>339</v>
      </c>
      <c r="F391" s="31"/>
      <c r="G391" s="11" t="s">
        <v>65</v>
      </c>
      <c r="H391" s="23" t="s">
        <v>138</v>
      </c>
      <c r="I391" s="23" t="s">
        <v>103</v>
      </c>
      <c r="J391" s="23"/>
      <c r="K391" s="23" t="s">
        <v>303</v>
      </c>
      <c r="L391" s="23" t="s">
        <v>66</v>
      </c>
      <c r="M391" s="23" t="s">
        <v>127</v>
      </c>
      <c r="N391" s="23" t="s">
        <v>66</v>
      </c>
      <c r="O391" s="30" t="s">
        <v>71</v>
      </c>
      <c r="P391" s="31"/>
      <c r="Q391" s="11" t="s">
        <v>37</v>
      </c>
      <c r="S391" s="18" t="str">
        <f t="shared" si="10"/>
        <v>00027</v>
      </c>
      <c r="T391" s="18" t="str">
        <f t="shared" si="11"/>
        <v>Total</v>
      </c>
    </row>
    <row r="392" spans="5:20">
      <c r="E392" s="15" t="s">
        <v>72</v>
      </c>
      <c r="F392" s="15" t="s">
        <v>340</v>
      </c>
      <c r="G392" s="11" t="s">
        <v>74</v>
      </c>
      <c r="H392" s="23" t="s">
        <v>75</v>
      </c>
      <c r="I392" s="23" t="s">
        <v>75</v>
      </c>
      <c r="J392" s="23" t="s">
        <v>263</v>
      </c>
      <c r="K392" s="23" t="s">
        <v>75</v>
      </c>
      <c r="L392" s="23" t="s">
        <v>75</v>
      </c>
      <c r="M392" s="23" t="s">
        <v>75</v>
      </c>
      <c r="N392" s="23" t="s">
        <v>75</v>
      </c>
      <c r="O392" s="30" t="s">
        <v>75</v>
      </c>
      <c r="P392" s="31"/>
      <c r="Q392" s="11" t="s">
        <v>37</v>
      </c>
      <c r="S392" s="18" t="str">
        <f t="shared" si="10"/>
        <v>USN</v>
      </c>
      <c r="T392" s="18" t="str">
        <f t="shared" si="11"/>
        <v/>
      </c>
    </row>
    <row r="393" spans="5:20">
      <c r="E393" s="16" t="s">
        <v>37</v>
      </c>
      <c r="F393" s="16" t="s">
        <v>37</v>
      </c>
      <c r="G393" s="16" t="s">
        <v>37</v>
      </c>
      <c r="H393" s="24" t="s">
        <v>37</v>
      </c>
      <c r="I393" s="24" t="s">
        <v>37</v>
      </c>
      <c r="J393" s="24" t="s">
        <v>37</v>
      </c>
      <c r="K393" s="24" t="s">
        <v>37</v>
      </c>
      <c r="L393" s="24" t="s">
        <v>37</v>
      </c>
      <c r="M393" s="24" t="s">
        <v>37</v>
      </c>
      <c r="N393" s="24" t="s">
        <v>37</v>
      </c>
      <c r="O393" s="41" t="s">
        <v>37</v>
      </c>
      <c r="P393" s="28"/>
      <c r="Q393" s="24" t="s">
        <v>37</v>
      </c>
      <c r="S393" s="18" t="str">
        <f t="shared" si="10"/>
        <v>PAVAN</v>
      </c>
      <c r="T393" s="18" t="str">
        <f t="shared" si="11"/>
        <v/>
      </c>
    </row>
    <row r="394" spans="5:20" ht="0" hidden="1" customHeight="1">
      <c r="S394" s="18">
        <f t="shared" si="10"/>
        <v>0</v>
      </c>
      <c r="T394" s="18">
        <f t="shared" si="11"/>
        <v>0</v>
      </c>
    </row>
    <row r="395" spans="5:20" ht="0.6" customHeight="1">
      <c r="S395" s="18">
        <f t="shared" si="10"/>
        <v>0</v>
      </c>
      <c r="T395" s="18">
        <f t="shared" si="11"/>
        <v>25</v>
      </c>
    </row>
    <row r="396" spans="5:20">
      <c r="E396" s="38" t="s">
        <v>35</v>
      </c>
      <c r="F396" s="31"/>
      <c r="G396" s="19" t="s">
        <v>36</v>
      </c>
      <c r="H396" s="20" t="s">
        <v>37</v>
      </c>
      <c r="I396" s="20" t="s">
        <v>37</v>
      </c>
      <c r="J396" s="20" t="s">
        <v>37</v>
      </c>
      <c r="K396" s="20" t="s">
        <v>37</v>
      </c>
      <c r="L396" s="20" t="s">
        <v>37</v>
      </c>
      <c r="M396" s="20" t="s">
        <v>37</v>
      </c>
      <c r="N396" s="20" t="s">
        <v>37</v>
      </c>
      <c r="O396" s="39" t="s">
        <v>37</v>
      </c>
      <c r="P396" s="28"/>
      <c r="Q396" s="20" t="s">
        <v>37</v>
      </c>
      <c r="S396" s="18" t="str">
        <f t="shared" ref="S396:S459" si="12">$E402</f>
        <v>SGPA</v>
      </c>
      <c r="T396" s="18" t="str">
        <f t="shared" ref="T396:T459" si="13">$Q402</f>
        <v/>
      </c>
    </row>
    <row r="397" spans="5:20" ht="21">
      <c r="E397" s="32" t="s">
        <v>341</v>
      </c>
      <c r="F397" s="31"/>
      <c r="G397" s="22" t="s">
        <v>39</v>
      </c>
      <c r="H397" s="22" t="s">
        <v>19</v>
      </c>
      <c r="I397" s="22" t="s">
        <v>9</v>
      </c>
      <c r="J397" s="22" t="s">
        <v>21</v>
      </c>
      <c r="K397" s="22" t="s">
        <v>11</v>
      </c>
      <c r="L397" s="22" t="s">
        <v>17</v>
      </c>
      <c r="M397" s="22" t="s">
        <v>27</v>
      </c>
      <c r="N397" s="22" t="s">
        <v>7</v>
      </c>
      <c r="O397" s="40" t="s">
        <v>25</v>
      </c>
      <c r="P397" s="31"/>
      <c r="Q397" s="22" t="s">
        <v>40</v>
      </c>
      <c r="S397" s="18" t="str">
        <f t="shared" si="12"/>
        <v>CGPA</v>
      </c>
      <c r="T397" s="18">
        <f t="shared" si="13"/>
        <v>192</v>
      </c>
    </row>
    <row r="398" spans="5:20" ht="22.5">
      <c r="E398" s="21" t="s">
        <v>41</v>
      </c>
      <c r="F398" s="21" t="s">
        <v>342</v>
      </c>
      <c r="G398" s="11" t="s">
        <v>43</v>
      </c>
      <c r="H398" s="23" t="s">
        <v>343</v>
      </c>
      <c r="I398" s="23" t="s">
        <v>323</v>
      </c>
      <c r="J398" s="23" t="s">
        <v>344</v>
      </c>
      <c r="K398" s="23" t="s">
        <v>345</v>
      </c>
      <c r="L398" s="23" t="s">
        <v>335</v>
      </c>
      <c r="M398" s="23" t="s">
        <v>346</v>
      </c>
      <c r="N398" s="23" t="s">
        <v>347</v>
      </c>
      <c r="O398" s="30" t="s">
        <v>51</v>
      </c>
      <c r="P398" s="31"/>
      <c r="Q398" s="11" t="s">
        <v>37</v>
      </c>
      <c r="S398" s="18" t="str">
        <f t="shared" si="12"/>
        <v>Result: PASS</v>
      </c>
      <c r="T398" s="18">
        <f t="shared" si="13"/>
        <v>503</v>
      </c>
    </row>
    <row r="399" spans="5:20">
      <c r="E399" s="32" t="s">
        <v>348</v>
      </c>
      <c r="F399" s="33"/>
      <c r="G399" s="11" t="s">
        <v>53</v>
      </c>
      <c r="H399" s="23" t="s">
        <v>51</v>
      </c>
      <c r="I399" s="23" t="s">
        <v>51</v>
      </c>
      <c r="J399" s="23" t="s">
        <v>51</v>
      </c>
      <c r="K399" s="23" t="s">
        <v>51</v>
      </c>
      <c r="L399" s="23" t="s">
        <v>51</v>
      </c>
      <c r="M399" s="23" t="s">
        <v>51</v>
      </c>
      <c r="N399" s="23" t="s">
        <v>51</v>
      </c>
      <c r="O399" s="30" t="s">
        <v>54</v>
      </c>
      <c r="P399" s="31"/>
      <c r="Q399" s="11" t="s">
        <v>37</v>
      </c>
      <c r="S399" s="18" t="str">
        <f t="shared" si="12"/>
        <v>Class</v>
      </c>
      <c r="T399" s="18">
        <f t="shared" si="13"/>
        <v>700</v>
      </c>
    </row>
    <row r="400" spans="5:20">
      <c r="E400" s="34"/>
      <c r="F400" s="35"/>
      <c r="G400" s="11" t="s">
        <v>55</v>
      </c>
      <c r="H400" s="23" t="s">
        <v>37</v>
      </c>
      <c r="I400" s="23" t="s">
        <v>37</v>
      </c>
      <c r="J400" s="23" t="s">
        <v>37</v>
      </c>
      <c r="K400" s="23" t="s">
        <v>37</v>
      </c>
      <c r="L400" s="23" t="s">
        <v>37</v>
      </c>
      <c r="M400" s="23" t="s">
        <v>37</v>
      </c>
      <c r="N400" s="23" t="s">
        <v>37</v>
      </c>
      <c r="O400" s="30" t="s">
        <v>37</v>
      </c>
      <c r="P400" s="31"/>
      <c r="Q400" s="11">
        <v>0</v>
      </c>
      <c r="S400" s="18" t="str">
        <f t="shared" si="12"/>
        <v>Term Grade: AA+</v>
      </c>
      <c r="T400" s="18" t="str">
        <f t="shared" si="13"/>
        <v/>
      </c>
    </row>
    <row r="401" spans="5:20">
      <c r="E401" s="36"/>
      <c r="F401" s="37"/>
      <c r="G401" s="11" t="s">
        <v>56</v>
      </c>
      <c r="H401" s="23">
        <v>4</v>
      </c>
      <c r="I401" s="23">
        <v>4</v>
      </c>
      <c r="J401" s="23">
        <v>4</v>
      </c>
      <c r="K401" s="23">
        <v>3</v>
      </c>
      <c r="L401" s="23">
        <v>3</v>
      </c>
      <c r="M401" s="23">
        <v>3</v>
      </c>
      <c r="N401" s="23">
        <v>2</v>
      </c>
      <c r="O401" s="30">
        <v>2</v>
      </c>
      <c r="P401" s="31"/>
      <c r="Q401" s="11">
        <v>25</v>
      </c>
      <c r="S401" s="18" t="str">
        <f t="shared" si="12"/>
        <v>M.C.No</v>
      </c>
      <c r="T401" s="18" t="str">
        <f t="shared" si="13"/>
        <v/>
      </c>
    </row>
    <row r="402" spans="5:20">
      <c r="E402" s="21" t="s">
        <v>57</v>
      </c>
      <c r="F402" s="21">
        <v>7.68</v>
      </c>
      <c r="G402" s="11" t="s">
        <v>58</v>
      </c>
      <c r="H402" s="23">
        <v>7.5</v>
      </c>
      <c r="I402" s="23">
        <v>9</v>
      </c>
      <c r="J402" s="23">
        <v>7</v>
      </c>
      <c r="K402" s="23">
        <v>6.5</v>
      </c>
      <c r="L402" s="23">
        <v>7</v>
      </c>
      <c r="M402" s="23">
        <v>7.5</v>
      </c>
      <c r="N402" s="23">
        <v>8</v>
      </c>
      <c r="O402" s="30">
        <v>9.5</v>
      </c>
      <c r="P402" s="31"/>
      <c r="Q402" s="11" t="s">
        <v>37</v>
      </c>
      <c r="S402" s="18" t="str">
        <f t="shared" si="12"/>
        <v/>
      </c>
      <c r="T402" s="18" t="str">
        <f t="shared" si="13"/>
        <v/>
      </c>
    </row>
    <row r="403" spans="5:20">
      <c r="E403" s="21" t="s">
        <v>59</v>
      </c>
      <c r="F403" s="14">
        <v>7.68</v>
      </c>
      <c r="G403" s="11" t="s">
        <v>60</v>
      </c>
      <c r="H403" s="23">
        <v>30</v>
      </c>
      <c r="I403" s="23">
        <v>36</v>
      </c>
      <c r="J403" s="23">
        <v>28</v>
      </c>
      <c r="K403" s="23">
        <v>19.5</v>
      </c>
      <c r="L403" s="23">
        <v>21</v>
      </c>
      <c r="M403" s="23">
        <v>22.5</v>
      </c>
      <c r="N403" s="23">
        <v>16</v>
      </c>
      <c r="O403" s="30">
        <v>19</v>
      </c>
      <c r="P403" s="31"/>
      <c r="Q403" s="11">
        <v>192</v>
      </c>
      <c r="S403" s="18">
        <f t="shared" si="12"/>
        <v>0</v>
      </c>
      <c r="T403" s="18">
        <f t="shared" si="13"/>
        <v>0</v>
      </c>
    </row>
    <row r="404" spans="5:20">
      <c r="E404" s="32" t="s">
        <v>61</v>
      </c>
      <c r="F404" s="31"/>
      <c r="G404" s="11" t="s">
        <v>40</v>
      </c>
      <c r="H404" s="23">
        <v>71</v>
      </c>
      <c r="I404" s="23">
        <v>85</v>
      </c>
      <c r="J404" s="23">
        <v>67</v>
      </c>
      <c r="K404" s="23">
        <v>60</v>
      </c>
      <c r="L404" s="23">
        <v>66</v>
      </c>
      <c r="M404" s="23">
        <v>70</v>
      </c>
      <c r="N404" s="23">
        <v>39</v>
      </c>
      <c r="O404" s="30">
        <v>45</v>
      </c>
      <c r="P404" s="31"/>
      <c r="Q404" s="11">
        <v>503</v>
      </c>
      <c r="S404" s="18">
        <f t="shared" si="12"/>
        <v>0</v>
      </c>
      <c r="T404" s="18">
        <f t="shared" si="13"/>
        <v>0</v>
      </c>
    </row>
    <row r="405" spans="5:20">
      <c r="E405" s="21" t="s">
        <v>62</v>
      </c>
      <c r="F405" s="21"/>
      <c r="G405" s="11" t="s">
        <v>63</v>
      </c>
      <c r="H405" s="23">
        <v>100</v>
      </c>
      <c r="I405" s="23">
        <v>100</v>
      </c>
      <c r="J405" s="23">
        <v>100</v>
      </c>
      <c r="K405" s="23">
        <v>100</v>
      </c>
      <c r="L405" s="23">
        <v>100</v>
      </c>
      <c r="M405" s="23">
        <v>100</v>
      </c>
      <c r="N405" s="23">
        <v>50</v>
      </c>
      <c r="O405" s="30">
        <v>50</v>
      </c>
      <c r="P405" s="31"/>
      <c r="Q405" s="11">
        <v>700</v>
      </c>
      <c r="S405" s="18" t="str">
        <f t="shared" si="12"/>
        <v>Dr. B.B. Hegde First Grade College, Kundapura, Udupi.</v>
      </c>
      <c r="T405" s="18" t="str">
        <f t="shared" si="13"/>
        <v/>
      </c>
    </row>
    <row r="406" spans="5:20">
      <c r="E406" s="32" t="s">
        <v>64</v>
      </c>
      <c r="F406" s="31"/>
      <c r="G406" s="11" t="s">
        <v>65</v>
      </c>
      <c r="H406" s="23" t="s">
        <v>68</v>
      </c>
      <c r="I406" s="23" t="s">
        <v>67</v>
      </c>
      <c r="J406" s="23" t="s">
        <v>66</v>
      </c>
      <c r="K406" s="23" t="s">
        <v>69</v>
      </c>
      <c r="L406" s="23" t="s">
        <v>66</v>
      </c>
      <c r="M406" s="23" t="s">
        <v>68</v>
      </c>
      <c r="N406" s="23" t="s">
        <v>102</v>
      </c>
      <c r="O406" s="30" t="s">
        <v>71</v>
      </c>
      <c r="P406" s="31"/>
      <c r="Q406" s="11" t="s">
        <v>37</v>
      </c>
      <c r="S406" s="18" t="str">
        <f t="shared" si="12"/>
        <v>00028</v>
      </c>
      <c r="T406" s="18" t="str">
        <f t="shared" si="13"/>
        <v>Total</v>
      </c>
    </row>
    <row r="407" spans="5:20">
      <c r="E407" s="15" t="s">
        <v>72</v>
      </c>
      <c r="F407" s="15" t="s">
        <v>349</v>
      </c>
      <c r="G407" s="11" t="s">
        <v>74</v>
      </c>
      <c r="H407" s="23" t="s">
        <v>75</v>
      </c>
      <c r="I407" s="23" t="s">
        <v>75</v>
      </c>
      <c r="J407" s="23" t="s">
        <v>75</v>
      </c>
      <c r="K407" s="23" t="s">
        <v>75</v>
      </c>
      <c r="L407" s="23" t="s">
        <v>75</v>
      </c>
      <c r="M407" s="23" t="s">
        <v>75</v>
      </c>
      <c r="N407" s="23" t="s">
        <v>75</v>
      </c>
      <c r="O407" s="30" t="s">
        <v>75</v>
      </c>
      <c r="P407" s="31"/>
      <c r="Q407" s="11" t="s">
        <v>37</v>
      </c>
      <c r="S407" s="18" t="str">
        <f t="shared" si="12"/>
        <v>USN</v>
      </c>
      <c r="T407" s="18" t="str">
        <f t="shared" si="13"/>
        <v/>
      </c>
    </row>
    <row r="408" spans="5:20">
      <c r="E408" s="16" t="s">
        <v>37</v>
      </c>
      <c r="F408" s="16" t="s">
        <v>37</v>
      </c>
      <c r="G408" s="16" t="s">
        <v>37</v>
      </c>
      <c r="H408" s="24" t="s">
        <v>37</v>
      </c>
      <c r="I408" s="24" t="s">
        <v>37</v>
      </c>
      <c r="J408" s="24" t="s">
        <v>37</v>
      </c>
      <c r="K408" s="24" t="s">
        <v>37</v>
      </c>
      <c r="L408" s="24" t="s">
        <v>37</v>
      </c>
      <c r="M408" s="24" t="s">
        <v>37</v>
      </c>
      <c r="N408" s="24" t="s">
        <v>37</v>
      </c>
      <c r="O408" s="41" t="s">
        <v>37</v>
      </c>
      <c r="P408" s="28"/>
      <c r="Q408" s="24" t="s">
        <v>37</v>
      </c>
      <c r="S408" s="18" t="str">
        <f t="shared" si="12"/>
        <v>KEERTHAN</v>
      </c>
      <c r="T408" s="18" t="str">
        <f t="shared" si="13"/>
        <v/>
      </c>
    </row>
    <row r="409" spans="5:20" ht="0" hidden="1" customHeight="1">
      <c r="S409" s="18">
        <f t="shared" si="12"/>
        <v>0</v>
      </c>
      <c r="T409" s="18">
        <f t="shared" si="13"/>
        <v>0</v>
      </c>
    </row>
    <row r="410" spans="5:20" ht="0.6" customHeight="1">
      <c r="S410" s="18">
        <f t="shared" si="12"/>
        <v>0</v>
      </c>
      <c r="T410" s="18">
        <f t="shared" si="13"/>
        <v>25</v>
      </c>
    </row>
    <row r="411" spans="5:20">
      <c r="E411" s="38" t="s">
        <v>35</v>
      </c>
      <c r="F411" s="31"/>
      <c r="G411" s="19" t="s">
        <v>36</v>
      </c>
      <c r="H411" s="20" t="s">
        <v>37</v>
      </c>
      <c r="I411" s="20" t="s">
        <v>37</v>
      </c>
      <c r="J411" s="20" t="s">
        <v>37</v>
      </c>
      <c r="K411" s="20" t="s">
        <v>37</v>
      </c>
      <c r="L411" s="20" t="s">
        <v>37</v>
      </c>
      <c r="M411" s="20" t="s">
        <v>37</v>
      </c>
      <c r="N411" s="20" t="s">
        <v>37</v>
      </c>
      <c r="O411" s="39" t="s">
        <v>37</v>
      </c>
      <c r="P411" s="28"/>
      <c r="Q411" s="20" t="s">
        <v>37</v>
      </c>
      <c r="S411" s="18" t="str">
        <f t="shared" si="12"/>
        <v>SGPA</v>
      </c>
      <c r="T411" s="18" t="str">
        <f t="shared" si="13"/>
        <v/>
      </c>
    </row>
    <row r="412" spans="5:20" ht="21">
      <c r="E412" s="32" t="s">
        <v>350</v>
      </c>
      <c r="F412" s="31"/>
      <c r="G412" s="22" t="s">
        <v>39</v>
      </c>
      <c r="H412" s="22" t="s">
        <v>19</v>
      </c>
      <c r="I412" s="22" t="s">
        <v>9</v>
      </c>
      <c r="J412" s="22" t="s">
        <v>21</v>
      </c>
      <c r="K412" s="22" t="s">
        <v>11</v>
      </c>
      <c r="L412" s="22" t="s">
        <v>17</v>
      </c>
      <c r="M412" s="22" t="s">
        <v>27</v>
      </c>
      <c r="N412" s="22" t="s">
        <v>7</v>
      </c>
      <c r="O412" s="40" t="s">
        <v>25</v>
      </c>
      <c r="P412" s="31"/>
      <c r="Q412" s="22" t="s">
        <v>40</v>
      </c>
      <c r="S412" s="18" t="str">
        <f t="shared" si="12"/>
        <v>CGPA</v>
      </c>
      <c r="T412" s="18">
        <f t="shared" si="13"/>
        <v>203</v>
      </c>
    </row>
    <row r="413" spans="5:20" ht="22.5">
      <c r="E413" s="21" t="s">
        <v>41</v>
      </c>
      <c r="F413" s="21" t="s">
        <v>351</v>
      </c>
      <c r="G413" s="11" t="s">
        <v>43</v>
      </c>
      <c r="H413" s="23" t="s">
        <v>243</v>
      </c>
      <c r="I413" s="23" t="s">
        <v>352</v>
      </c>
      <c r="J413" s="23" t="s">
        <v>184</v>
      </c>
      <c r="K413" s="23" t="s">
        <v>353</v>
      </c>
      <c r="L413" s="23" t="s">
        <v>354</v>
      </c>
      <c r="M413" s="23" t="s">
        <v>94</v>
      </c>
      <c r="N413" s="23" t="s">
        <v>176</v>
      </c>
      <c r="O413" s="30" t="s">
        <v>51</v>
      </c>
      <c r="P413" s="31"/>
      <c r="Q413" s="11" t="s">
        <v>37</v>
      </c>
      <c r="S413" s="18" t="str">
        <f t="shared" si="12"/>
        <v>Result: PASS</v>
      </c>
      <c r="T413" s="18">
        <f t="shared" si="13"/>
        <v>543</v>
      </c>
    </row>
    <row r="414" spans="5:20">
      <c r="E414" s="32" t="s">
        <v>355</v>
      </c>
      <c r="F414" s="33"/>
      <c r="G414" s="11" t="s">
        <v>53</v>
      </c>
      <c r="H414" s="23" t="s">
        <v>51</v>
      </c>
      <c r="I414" s="23" t="s">
        <v>51</v>
      </c>
      <c r="J414" s="23" t="s">
        <v>51</v>
      </c>
      <c r="K414" s="23" t="s">
        <v>51</v>
      </c>
      <c r="L414" s="23" t="s">
        <v>51</v>
      </c>
      <c r="M414" s="23" t="s">
        <v>51</v>
      </c>
      <c r="N414" s="23" t="s">
        <v>51</v>
      </c>
      <c r="O414" s="30" t="s">
        <v>54</v>
      </c>
      <c r="P414" s="31"/>
      <c r="Q414" s="11" t="s">
        <v>37</v>
      </c>
      <c r="S414" s="18" t="str">
        <f t="shared" si="12"/>
        <v>Class</v>
      </c>
      <c r="T414" s="18">
        <f t="shared" si="13"/>
        <v>700</v>
      </c>
    </row>
    <row r="415" spans="5:20">
      <c r="E415" s="34"/>
      <c r="F415" s="35"/>
      <c r="G415" s="11" t="s">
        <v>55</v>
      </c>
      <c r="H415" s="23" t="s">
        <v>37</v>
      </c>
      <c r="I415" s="23" t="s">
        <v>37</v>
      </c>
      <c r="J415" s="23" t="s">
        <v>37</v>
      </c>
      <c r="K415" s="23" t="s">
        <v>37</v>
      </c>
      <c r="L415" s="23" t="s">
        <v>37</v>
      </c>
      <c r="M415" s="23" t="s">
        <v>37</v>
      </c>
      <c r="N415" s="23" t="s">
        <v>37</v>
      </c>
      <c r="O415" s="30" t="s">
        <v>37</v>
      </c>
      <c r="P415" s="31"/>
      <c r="Q415" s="11">
        <v>0</v>
      </c>
      <c r="S415" s="18" t="str">
        <f t="shared" si="12"/>
        <v>Term Grade: OA</v>
      </c>
      <c r="T415" s="18" t="str">
        <f t="shared" si="13"/>
        <v/>
      </c>
    </row>
    <row r="416" spans="5:20">
      <c r="E416" s="36"/>
      <c r="F416" s="37"/>
      <c r="G416" s="11" t="s">
        <v>56</v>
      </c>
      <c r="H416" s="23">
        <v>4</v>
      </c>
      <c r="I416" s="23">
        <v>4</v>
      </c>
      <c r="J416" s="23">
        <v>4</v>
      </c>
      <c r="K416" s="23">
        <v>3</v>
      </c>
      <c r="L416" s="23">
        <v>3</v>
      </c>
      <c r="M416" s="23">
        <v>3</v>
      </c>
      <c r="N416" s="23">
        <v>2</v>
      </c>
      <c r="O416" s="30">
        <v>2</v>
      </c>
      <c r="P416" s="31"/>
      <c r="Q416" s="11">
        <v>25</v>
      </c>
      <c r="S416" s="18" t="str">
        <f t="shared" si="12"/>
        <v>M.C.No</v>
      </c>
      <c r="T416" s="18" t="str">
        <f t="shared" si="13"/>
        <v/>
      </c>
    </row>
    <row r="417" spans="5:20">
      <c r="E417" s="21" t="s">
        <v>57</v>
      </c>
      <c r="F417" s="21">
        <v>8.1199999999999992</v>
      </c>
      <c r="G417" s="11" t="s">
        <v>58</v>
      </c>
      <c r="H417" s="23">
        <v>8</v>
      </c>
      <c r="I417" s="23">
        <v>8.5</v>
      </c>
      <c r="J417" s="23">
        <v>8</v>
      </c>
      <c r="K417" s="23">
        <v>6</v>
      </c>
      <c r="L417" s="23">
        <v>9</v>
      </c>
      <c r="M417" s="23">
        <v>7</v>
      </c>
      <c r="N417" s="23">
        <v>10</v>
      </c>
      <c r="O417" s="30">
        <v>9.5</v>
      </c>
      <c r="P417" s="31"/>
      <c r="Q417" s="11" t="s">
        <v>37</v>
      </c>
      <c r="S417" s="18" t="str">
        <f t="shared" si="12"/>
        <v/>
      </c>
      <c r="T417" s="18" t="str">
        <f t="shared" si="13"/>
        <v/>
      </c>
    </row>
    <row r="418" spans="5:20">
      <c r="E418" s="21" t="s">
        <v>59</v>
      </c>
      <c r="F418" s="14">
        <v>8.1199999999999992</v>
      </c>
      <c r="G418" s="11" t="s">
        <v>60</v>
      </c>
      <c r="H418" s="23">
        <v>32</v>
      </c>
      <c r="I418" s="23">
        <v>34</v>
      </c>
      <c r="J418" s="23">
        <v>32</v>
      </c>
      <c r="K418" s="23">
        <v>18</v>
      </c>
      <c r="L418" s="23">
        <v>27</v>
      </c>
      <c r="M418" s="23">
        <v>21</v>
      </c>
      <c r="N418" s="23">
        <v>20</v>
      </c>
      <c r="O418" s="30">
        <v>19</v>
      </c>
      <c r="P418" s="31"/>
      <c r="Q418" s="11">
        <v>203</v>
      </c>
      <c r="S418" s="18">
        <f t="shared" si="12"/>
        <v>0</v>
      </c>
      <c r="T418" s="18">
        <f t="shared" si="13"/>
        <v>0</v>
      </c>
    </row>
    <row r="419" spans="5:20">
      <c r="E419" s="32" t="s">
        <v>61</v>
      </c>
      <c r="F419" s="31"/>
      <c r="G419" s="11" t="s">
        <v>40</v>
      </c>
      <c r="H419" s="23">
        <v>79</v>
      </c>
      <c r="I419" s="23">
        <v>84</v>
      </c>
      <c r="J419" s="23">
        <v>77</v>
      </c>
      <c r="K419" s="23">
        <v>59</v>
      </c>
      <c r="L419" s="23">
        <v>85</v>
      </c>
      <c r="M419" s="23">
        <v>66</v>
      </c>
      <c r="N419" s="23">
        <v>48</v>
      </c>
      <c r="O419" s="30">
        <v>45</v>
      </c>
      <c r="P419" s="31"/>
      <c r="Q419" s="11">
        <v>543</v>
      </c>
      <c r="S419" s="18">
        <f t="shared" si="12"/>
        <v>0</v>
      </c>
      <c r="T419" s="18">
        <f t="shared" si="13"/>
        <v>0</v>
      </c>
    </row>
    <row r="420" spans="5:20">
      <c r="E420" s="21" t="s">
        <v>62</v>
      </c>
      <c r="F420" s="21"/>
      <c r="G420" s="11" t="s">
        <v>63</v>
      </c>
      <c r="H420" s="23">
        <v>100</v>
      </c>
      <c r="I420" s="23">
        <v>100</v>
      </c>
      <c r="J420" s="23">
        <v>100</v>
      </c>
      <c r="K420" s="23">
        <v>100</v>
      </c>
      <c r="L420" s="23">
        <v>100</v>
      </c>
      <c r="M420" s="23">
        <v>100</v>
      </c>
      <c r="N420" s="23">
        <v>50</v>
      </c>
      <c r="O420" s="30">
        <v>50</v>
      </c>
      <c r="P420" s="31"/>
      <c r="Q420" s="11">
        <v>700</v>
      </c>
      <c r="S420" s="18" t="str">
        <f t="shared" si="12"/>
        <v>Dr. B.B. Hegde First Grade College, Kundapura, Udupi.</v>
      </c>
      <c r="T420" s="18" t="str">
        <f t="shared" si="13"/>
        <v/>
      </c>
    </row>
    <row r="421" spans="5:20">
      <c r="E421" s="32" t="s">
        <v>200</v>
      </c>
      <c r="F421" s="31"/>
      <c r="G421" s="11" t="s">
        <v>65</v>
      </c>
      <c r="H421" s="23" t="s">
        <v>102</v>
      </c>
      <c r="I421" s="23" t="s">
        <v>70</v>
      </c>
      <c r="J421" s="23" t="s">
        <v>102</v>
      </c>
      <c r="K421" s="23" t="s">
        <v>103</v>
      </c>
      <c r="L421" s="23" t="s">
        <v>67</v>
      </c>
      <c r="M421" s="23" t="s">
        <v>66</v>
      </c>
      <c r="N421" s="23" t="s">
        <v>88</v>
      </c>
      <c r="O421" s="30" t="s">
        <v>71</v>
      </c>
      <c r="P421" s="31"/>
      <c r="Q421" s="11" t="s">
        <v>37</v>
      </c>
      <c r="S421" s="18" t="str">
        <f t="shared" si="12"/>
        <v>00029</v>
      </c>
      <c r="T421" s="18" t="str">
        <f t="shared" si="13"/>
        <v>Total</v>
      </c>
    </row>
    <row r="422" spans="5:20">
      <c r="E422" s="15" t="s">
        <v>72</v>
      </c>
      <c r="F422" s="15" t="s">
        <v>356</v>
      </c>
      <c r="G422" s="11" t="s">
        <v>74</v>
      </c>
      <c r="H422" s="23" t="s">
        <v>75</v>
      </c>
      <c r="I422" s="23" t="s">
        <v>75</v>
      </c>
      <c r="J422" s="23" t="s">
        <v>75</v>
      </c>
      <c r="K422" s="23" t="s">
        <v>75</v>
      </c>
      <c r="L422" s="23" t="s">
        <v>75</v>
      </c>
      <c r="M422" s="23" t="s">
        <v>75</v>
      </c>
      <c r="N422" s="23" t="s">
        <v>75</v>
      </c>
      <c r="O422" s="30" t="s">
        <v>75</v>
      </c>
      <c r="P422" s="31"/>
      <c r="Q422" s="11" t="s">
        <v>37</v>
      </c>
      <c r="S422" s="18" t="str">
        <f t="shared" si="12"/>
        <v>USN</v>
      </c>
      <c r="T422" s="18" t="str">
        <f t="shared" si="13"/>
        <v/>
      </c>
    </row>
    <row r="423" spans="5:20">
      <c r="E423" s="16" t="s">
        <v>37</v>
      </c>
      <c r="F423" s="16" t="s">
        <v>37</v>
      </c>
      <c r="G423" s="16" t="s">
        <v>37</v>
      </c>
      <c r="H423" s="24" t="s">
        <v>37</v>
      </c>
      <c r="I423" s="24" t="s">
        <v>37</v>
      </c>
      <c r="J423" s="24" t="s">
        <v>37</v>
      </c>
      <c r="K423" s="24" t="s">
        <v>37</v>
      </c>
      <c r="L423" s="24" t="s">
        <v>37</v>
      </c>
      <c r="M423" s="24" t="s">
        <v>37</v>
      </c>
      <c r="N423" s="24" t="s">
        <v>37</v>
      </c>
      <c r="O423" s="41" t="s">
        <v>37</v>
      </c>
      <c r="P423" s="28"/>
      <c r="Q423" s="24" t="s">
        <v>37</v>
      </c>
      <c r="S423" s="18" t="str">
        <f t="shared" si="12"/>
        <v>MITHUN</v>
      </c>
      <c r="T423" s="18" t="str">
        <f t="shared" si="13"/>
        <v/>
      </c>
    </row>
    <row r="424" spans="5:20" ht="0" hidden="1" customHeight="1">
      <c r="S424" s="18">
        <f t="shared" si="12"/>
        <v>0</v>
      </c>
      <c r="T424" s="18">
        <f t="shared" si="13"/>
        <v>2</v>
      </c>
    </row>
    <row r="425" spans="5:20" ht="0.6" customHeight="1">
      <c r="S425" s="18">
        <f t="shared" si="12"/>
        <v>0</v>
      </c>
      <c r="T425" s="18">
        <f t="shared" si="13"/>
        <v>21</v>
      </c>
    </row>
    <row r="426" spans="5:20">
      <c r="E426" s="38" t="s">
        <v>35</v>
      </c>
      <c r="F426" s="31"/>
      <c r="G426" s="19" t="s">
        <v>36</v>
      </c>
      <c r="H426" s="20" t="s">
        <v>37</v>
      </c>
      <c r="I426" s="20" t="s">
        <v>37</v>
      </c>
      <c r="J426" s="20" t="s">
        <v>37</v>
      </c>
      <c r="K426" s="20" t="s">
        <v>37</v>
      </c>
      <c r="L426" s="20" t="s">
        <v>37</v>
      </c>
      <c r="M426" s="20" t="s">
        <v>37</v>
      </c>
      <c r="N426" s="20" t="s">
        <v>37</v>
      </c>
      <c r="O426" s="39" t="s">
        <v>37</v>
      </c>
      <c r="P426" s="28"/>
      <c r="Q426" s="20" t="s">
        <v>37</v>
      </c>
      <c r="S426" s="18" t="str">
        <f t="shared" si="12"/>
        <v>SGPA</v>
      </c>
      <c r="T426" s="18" t="str">
        <f t="shared" si="13"/>
        <v/>
      </c>
    </row>
    <row r="427" spans="5:20" ht="21">
      <c r="E427" s="32" t="s">
        <v>357</v>
      </c>
      <c r="F427" s="31"/>
      <c r="G427" s="22" t="s">
        <v>39</v>
      </c>
      <c r="H427" s="22" t="s">
        <v>19</v>
      </c>
      <c r="I427" s="22" t="s">
        <v>9</v>
      </c>
      <c r="J427" s="22" t="s">
        <v>21</v>
      </c>
      <c r="K427" s="22" t="s">
        <v>11</v>
      </c>
      <c r="L427" s="22" t="s">
        <v>17</v>
      </c>
      <c r="M427" s="22" t="s">
        <v>27</v>
      </c>
      <c r="N427" s="22" t="s">
        <v>7</v>
      </c>
      <c r="O427" s="40" t="s">
        <v>25</v>
      </c>
      <c r="P427" s="31"/>
      <c r="Q427" s="22" t="s">
        <v>40</v>
      </c>
      <c r="S427" s="18" t="str">
        <f t="shared" si="12"/>
        <v>CGPA</v>
      </c>
      <c r="T427" s="18">
        <f t="shared" si="13"/>
        <v>131</v>
      </c>
    </row>
    <row r="428" spans="5:20" ht="22.5">
      <c r="E428" s="21" t="s">
        <v>41</v>
      </c>
      <c r="F428" s="21" t="s">
        <v>358</v>
      </c>
      <c r="G428" s="11" t="s">
        <v>43</v>
      </c>
      <c r="H428" s="23" t="s">
        <v>235</v>
      </c>
      <c r="I428" s="23" t="s">
        <v>359</v>
      </c>
      <c r="J428" s="23" t="s">
        <v>360</v>
      </c>
      <c r="K428" s="23" t="s">
        <v>361</v>
      </c>
      <c r="L428" s="23" t="s">
        <v>362</v>
      </c>
      <c r="M428" s="23" t="s">
        <v>336</v>
      </c>
      <c r="N428" s="23" t="s">
        <v>363</v>
      </c>
      <c r="O428" s="30" t="s">
        <v>51</v>
      </c>
      <c r="P428" s="31"/>
      <c r="Q428" s="11" t="s">
        <v>37</v>
      </c>
      <c r="S428" s="18" t="str">
        <f t="shared" si="12"/>
        <v>Result: FAIL</v>
      </c>
      <c r="T428" s="18">
        <f t="shared" si="13"/>
        <v>383</v>
      </c>
    </row>
    <row r="429" spans="5:20">
      <c r="E429" s="32" t="s">
        <v>364</v>
      </c>
      <c r="F429" s="33"/>
      <c r="G429" s="11" t="s">
        <v>53</v>
      </c>
      <c r="H429" s="23" t="s">
        <v>51</v>
      </c>
      <c r="I429" s="23" t="s">
        <v>51</v>
      </c>
      <c r="J429" s="23" t="s">
        <v>51</v>
      </c>
      <c r="K429" s="23" t="s">
        <v>51</v>
      </c>
      <c r="L429" s="23" t="s">
        <v>51</v>
      </c>
      <c r="M429" s="23" t="s">
        <v>51</v>
      </c>
      <c r="N429" s="23" t="s">
        <v>51</v>
      </c>
      <c r="O429" s="30" t="s">
        <v>54</v>
      </c>
      <c r="P429" s="31"/>
      <c r="Q429" s="11" t="s">
        <v>37</v>
      </c>
      <c r="S429" s="18" t="str">
        <f t="shared" si="12"/>
        <v>Class</v>
      </c>
      <c r="T429" s="18">
        <f t="shared" si="13"/>
        <v>700</v>
      </c>
    </row>
    <row r="430" spans="5:20">
      <c r="E430" s="34"/>
      <c r="F430" s="35"/>
      <c r="G430" s="11" t="s">
        <v>55</v>
      </c>
      <c r="H430" s="23" t="s">
        <v>37</v>
      </c>
      <c r="I430" s="23" t="s">
        <v>37</v>
      </c>
      <c r="J430" s="23" t="s">
        <v>37</v>
      </c>
      <c r="K430" s="23">
        <v>2</v>
      </c>
      <c r="L430" s="23" t="s">
        <v>37</v>
      </c>
      <c r="M430" s="23" t="s">
        <v>37</v>
      </c>
      <c r="N430" s="23" t="s">
        <v>37</v>
      </c>
      <c r="O430" s="30" t="s">
        <v>37</v>
      </c>
      <c r="P430" s="31"/>
      <c r="Q430" s="11">
        <v>2</v>
      </c>
      <c r="S430" s="18" t="str">
        <f t="shared" si="12"/>
        <v>Term Grade: BB</v>
      </c>
      <c r="T430" s="18" t="str">
        <f t="shared" si="13"/>
        <v/>
      </c>
    </row>
    <row r="431" spans="5:20">
      <c r="E431" s="36"/>
      <c r="F431" s="37"/>
      <c r="G431" s="11" t="s">
        <v>56</v>
      </c>
      <c r="H431" s="23">
        <v>4</v>
      </c>
      <c r="I431" s="23">
        <v>4</v>
      </c>
      <c r="J431" s="23">
        <v>4</v>
      </c>
      <c r="K431" s="23">
        <v>3</v>
      </c>
      <c r="L431" s="23">
        <v>3</v>
      </c>
      <c r="M431" s="23">
        <v>3</v>
      </c>
      <c r="N431" s="23">
        <v>2</v>
      </c>
      <c r="O431" s="30">
        <v>2</v>
      </c>
      <c r="P431" s="31"/>
      <c r="Q431" s="11">
        <v>21</v>
      </c>
      <c r="S431" s="18" t="str">
        <f t="shared" si="12"/>
        <v>M.C.No</v>
      </c>
      <c r="T431" s="18" t="str">
        <f t="shared" si="13"/>
        <v/>
      </c>
    </row>
    <row r="432" spans="5:20">
      <c r="E432" s="21" t="s">
        <v>57</v>
      </c>
      <c r="F432" s="21">
        <v>5.24</v>
      </c>
      <c r="G432" s="11" t="s">
        <v>58</v>
      </c>
      <c r="H432" s="23">
        <v>6</v>
      </c>
      <c r="I432" s="23">
        <v>6</v>
      </c>
      <c r="J432" s="23"/>
      <c r="K432" s="23">
        <v>4.5</v>
      </c>
      <c r="L432" s="23">
        <v>6.5</v>
      </c>
      <c r="M432" s="23">
        <v>5</v>
      </c>
      <c r="N432" s="23">
        <v>8</v>
      </c>
      <c r="O432" s="30">
        <v>9.5</v>
      </c>
      <c r="P432" s="31"/>
      <c r="Q432" s="11" t="s">
        <v>37</v>
      </c>
      <c r="S432" s="18" t="str">
        <f t="shared" si="12"/>
        <v/>
      </c>
      <c r="T432" s="18" t="str">
        <f t="shared" si="13"/>
        <v/>
      </c>
    </row>
    <row r="433" spans="5:20">
      <c r="E433" s="21" t="s">
        <v>59</v>
      </c>
      <c r="F433" s="21"/>
      <c r="G433" s="11" t="s">
        <v>60</v>
      </c>
      <c r="H433" s="23">
        <v>24</v>
      </c>
      <c r="I433" s="23">
        <v>24</v>
      </c>
      <c r="J433" s="23"/>
      <c r="K433" s="23">
        <v>13.5</v>
      </c>
      <c r="L433" s="23">
        <v>19.5</v>
      </c>
      <c r="M433" s="23">
        <v>15</v>
      </c>
      <c r="N433" s="23">
        <v>16</v>
      </c>
      <c r="O433" s="30">
        <v>19</v>
      </c>
      <c r="P433" s="31"/>
      <c r="Q433" s="11">
        <v>131</v>
      </c>
      <c r="S433" s="18">
        <f t="shared" si="12"/>
        <v>0</v>
      </c>
      <c r="T433" s="18">
        <f t="shared" si="13"/>
        <v>0</v>
      </c>
    </row>
    <row r="434" spans="5:20">
      <c r="E434" s="32" t="s">
        <v>260</v>
      </c>
      <c r="F434" s="31"/>
      <c r="G434" s="11" t="s">
        <v>40</v>
      </c>
      <c r="H434" s="23">
        <v>58</v>
      </c>
      <c r="I434" s="23">
        <v>57</v>
      </c>
      <c r="J434" s="23">
        <v>36</v>
      </c>
      <c r="K434" s="23">
        <v>42</v>
      </c>
      <c r="L434" s="23">
        <v>61</v>
      </c>
      <c r="M434" s="23">
        <v>45</v>
      </c>
      <c r="N434" s="23">
        <v>39</v>
      </c>
      <c r="O434" s="30">
        <v>45</v>
      </c>
      <c r="P434" s="31"/>
      <c r="Q434" s="11">
        <v>383</v>
      </c>
      <c r="S434" s="18">
        <f t="shared" si="12"/>
        <v>0</v>
      </c>
      <c r="T434" s="18">
        <f t="shared" si="13"/>
        <v>0</v>
      </c>
    </row>
    <row r="435" spans="5:20">
      <c r="E435" s="21" t="s">
        <v>62</v>
      </c>
      <c r="F435" s="21"/>
      <c r="G435" s="11" t="s">
        <v>63</v>
      </c>
      <c r="H435" s="23">
        <v>100</v>
      </c>
      <c r="I435" s="23">
        <v>100</v>
      </c>
      <c r="J435" s="23">
        <v>100</v>
      </c>
      <c r="K435" s="23">
        <v>100</v>
      </c>
      <c r="L435" s="23">
        <v>100</v>
      </c>
      <c r="M435" s="23">
        <v>100</v>
      </c>
      <c r="N435" s="23">
        <v>50</v>
      </c>
      <c r="O435" s="30">
        <v>50</v>
      </c>
      <c r="P435" s="31"/>
      <c r="Q435" s="11">
        <v>700</v>
      </c>
      <c r="S435" s="18" t="str">
        <f t="shared" si="12"/>
        <v>Dr. B.B. Hegde First Grade College, Kundapura, Udupi.</v>
      </c>
      <c r="T435" s="18" t="str">
        <f t="shared" si="13"/>
        <v/>
      </c>
    </row>
    <row r="436" spans="5:20">
      <c r="E436" s="32" t="s">
        <v>339</v>
      </c>
      <c r="F436" s="31"/>
      <c r="G436" s="11" t="s">
        <v>65</v>
      </c>
      <c r="H436" s="23" t="s">
        <v>103</v>
      </c>
      <c r="I436" s="23" t="s">
        <v>103</v>
      </c>
      <c r="J436" s="23"/>
      <c r="K436" s="23" t="s">
        <v>303</v>
      </c>
      <c r="L436" s="23" t="s">
        <v>69</v>
      </c>
      <c r="M436" s="23" t="s">
        <v>127</v>
      </c>
      <c r="N436" s="23" t="s">
        <v>102</v>
      </c>
      <c r="O436" s="30" t="s">
        <v>71</v>
      </c>
      <c r="P436" s="31"/>
      <c r="Q436" s="11" t="s">
        <v>37</v>
      </c>
      <c r="S436" s="18" t="str">
        <f t="shared" si="12"/>
        <v>00030</v>
      </c>
      <c r="T436" s="18" t="str">
        <f t="shared" si="13"/>
        <v>Total</v>
      </c>
    </row>
    <row r="437" spans="5:20">
      <c r="E437" s="15" t="s">
        <v>72</v>
      </c>
      <c r="F437" s="15" t="s">
        <v>365</v>
      </c>
      <c r="G437" s="11" t="s">
        <v>74</v>
      </c>
      <c r="H437" s="23" t="s">
        <v>75</v>
      </c>
      <c r="I437" s="23" t="s">
        <v>75</v>
      </c>
      <c r="J437" s="23" t="s">
        <v>263</v>
      </c>
      <c r="K437" s="23" t="s">
        <v>75</v>
      </c>
      <c r="L437" s="23" t="s">
        <v>75</v>
      </c>
      <c r="M437" s="23" t="s">
        <v>75</v>
      </c>
      <c r="N437" s="23" t="s">
        <v>75</v>
      </c>
      <c r="O437" s="30" t="s">
        <v>75</v>
      </c>
      <c r="P437" s="31"/>
      <c r="Q437" s="11" t="s">
        <v>37</v>
      </c>
      <c r="S437" s="18" t="str">
        <f t="shared" si="12"/>
        <v>USN</v>
      </c>
      <c r="T437" s="18" t="str">
        <f t="shared" si="13"/>
        <v/>
      </c>
    </row>
    <row r="438" spans="5:20">
      <c r="E438" s="16" t="s">
        <v>37</v>
      </c>
      <c r="F438" s="16" t="s">
        <v>37</v>
      </c>
      <c r="G438" s="16" t="s">
        <v>37</v>
      </c>
      <c r="H438" s="24" t="s">
        <v>37</v>
      </c>
      <c r="I438" s="24" t="s">
        <v>37</v>
      </c>
      <c r="J438" s="24" t="s">
        <v>37</v>
      </c>
      <c r="K438" s="24" t="s">
        <v>37</v>
      </c>
      <c r="L438" s="24" t="s">
        <v>37</v>
      </c>
      <c r="M438" s="24" t="s">
        <v>37</v>
      </c>
      <c r="N438" s="24" t="s">
        <v>37</v>
      </c>
      <c r="O438" s="41" t="s">
        <v>37</v>
      </c>
      <c r="P438" s="28"/>
      <c r="Q438" s="24" t="s">
        <v>37</v>
      </c>
      <c r="S438" s="18" t="str">
        <f t="shared" si="12"/>
        <v>PRAMOD</v>
      </c>
      <c r="T438" s="18" t="str">
        <f t="shared" si="13"/>
        <v/>
      </c>
    </row>
    <row r="439" spans="5:20" ht="0" hidden="1" customHeight="1">
      <c r="S439" s="18">
        <f t="shared" si="12"/>
        <v>0</v>
      </c>
      <c r="T439" s="18">
        <f t="shared" si="13"/>
        <v>0</v>
      </c>
    </row>
    <row r="440" spans="5:20" ht="0.6" customHeight="1">
      <c r="S440" s="18">
        <f t="shared" si="12"/>
        <v>0</v>
      </c>
      <c r="T440" s="18">
        <f t="shared" si="13"/>
        <v>21</v>
      </c>
    </row>
    <row r="441" spans="5:20">
      <c r="E441" s="38" t="s">
        <v>35</v>
      </c>
      <c r="F441" s="31"/>
      <c r="G441" s="19" t="s">
        <v>36</v>
      </c>
      <c r="H441" s="20" t="s">
        <v>37</v>
      </c>
      <c r="I441" s="20" t="s">
        <v>37</v>
      </c>
      <c r="J441" s="20" t="s">
        <v>37</v>
      </c>
      <c r="K441" s="20" t="s">
        <v>37</v>
      </c>
      <c r="L441" s="20" t="s">
        <v>37</v>
      </c>
      <c r="M441" s="20" t="s">
        <v>37</v>
      </c>
      <c r="N441" s="20" t="s">
        <v>37</v>
      </c>
      <c r="O441" s="39" t="s">
        <v>37</v>
      </c>
      <c r="P441" s="28"/>
      <c r="Q441" s="20" t="s">
        <v>37</v>
      </c>
      <c r="S441" s="18" t="str">
        <f t="shared" si="12"/>
        <v>SGPA</v>
      </c>
      <c r="T441" s="18" t="str">
        <f t="shared" si="13"/>
        <v/>
      </c>
    </row>
    <row r="442" spans="5:20" ht="21">
      <c r="E442" s="32" t="s">
        <v>366</v>
      </c>
      <c r="F442" s="31"/>
      <c r="G442" s="22" t="s">
        <v>39</v>
      </c>
      <c r="H442" s="22" t="s">
        <v>19</v>
      </c>
      <c r="I442" s="22" t="s">
        <v>9</v>
      </c>
      <c r="J442" s="22" t="s">
        <v>21</v>
      </c>
      <c r="K442" s="22" t="s">
        <v>11</v>
      </c>
      <c r="L442" s="22" t="s">
        <v>17</v>
      </c>
      <c r="M442" s="22" t="s">
        <v>27</v>
      </c>
      <c r="N442" s="22" t="s">
        <v>7</v>
      </c>
      <c r="O442" s="40" t="s">
        <v>23</v>
      </c>
      <c r="P442" s="31"/>
      <c r="Q442" s="22" t="s">
        <v>40</v>
      </c>
      <c r="S442" s="18" t="str">
        <f t="shared" si="12"/>
        <v>CGPA</v>
      </c>
      <c r="T442" s="18">
        <f t="shared" si="13"/>
        <v>141</v>
      </c>
    </row>
    <row r="443" spans="5:20" ht="22.5">
      <c r="E443" s="21" t="s">
        <v>41</v>
      </c>
      <c r="F443" s="21" t="s">
        <v>367</v>
      </c>
      <c r="G443" s="11" t="s">
        <v>43</v>
      </c>
      <c r="H443" s="23" t="s">
        <v>368</v>
      </c>
      <c r="I443" s="23" t="s">
        <v>194</v>
      </c>
      <c r="J443" s="23" t="s">
        <v>369</v>
      </c>
      <c r="K443" s="23" t="s">
        <v>370</v>
      </c>
      <c r="L443" s="23" t="s">
        <v>371</v>
      </c>
      <c r="M443" s="23" t="s">
        <v>372</v>
      </c>
      <c r="N443" s="23" t="s">
        <v>373</v>
      </c>
      <c r="O443" s="30" t="s">
        <v>51</v>
      </c>
      <c r="P443" s="31"/>
      <c r="Q443" s="11" t="s">
        <v>37</v>
      </c>
      <c r="S443" s="18" t="str">
        <f t="shared" si="12"/>
        <v>Result: FAIL</v>
      </c>
      <c r="T443" s="18">
        <f t="shared" si="13"/>
        <v>421</v>
      </c>
    </row>
    <row r="444" spans="5:20">
      <c r="E444" s="32" t="s">
        <v>374</v>
      </c>
      <c r="F444" s="33"/>
      <c r="G444" s="11" t="s">
        <v>53</v>
      </c>
      <c r="H444" s="23" t="s">
        <v>51</v>
      </c>
      <c r="I444" s="23" t="s">
        <v>51</v>
      </c>
      <c r="J444" s="23" t="s">
        <v>51</v>
      </c>
      <c r="K444" s="23" t="s">
        <v>51</v>
      </c>
      <c r="L444" s="23" t="s">
        <v>51</v>
      </c>
      <c r="M444" s="23" t="s">
        <v>51</v>
      </c>
      <c r="N444" s="23" t="s">
        <v>51</v>
      </c>
      <c r="O444" s="30" t="s">
        <v>54</v>
      </c>
      <c r="P444" s="31"/>
      <c r="Q444" s="11" t="s">
        <v>37</v>
      </c>
      <c r="S444" s="18" t="str">
        <f t="shared" si="12"/>
        <v>Class</v>
      </c>
      <c r="T444" s="18">
        <f t="shared" si="13"/>
        <v>700</v>
      </c>
    </row>
    <row r="445" spans="5:20">
      <c r="E445" s="34"/>
      <c r="F445" s="35"/>
      <c r="G445" s="11" t="s">
        <v>55</v>
      </c>
      <c r="H445" s="23" t="s">
        <v>37</v>
      </c>
      <c r="I445" s="23" t="s">
        <v>37</v>
      </c>
      <c r="J445" s="23" t="s">
        <v>37</v>
      </c>
      <c r="K445" s="23" t="s">
        <v>37</v>
      </c>
      <c r="L445" s="23" t="s">
        <v>37</v>
      </c>
      <c r="M445" s="23" t="s">
        <v>37</v>
      </c>
      <c r="N445" s="23" t="s">
        <v>37</v>
      </c>
      <c r="O445" s="30" t="s">
        <v>37</v>
      </c>
      <c r="P445" s="31"/>
      <c r="Q445" s="11">
        <v>0</v>
      </c>
      <c r="S445" s="18" t="str">
        <f t="shared" si="12"/>
        <v>Term Grade: BB+</v>
      </c>
      <c r="T445" s="18" t="str">
        <f t="shared" si="13"/>
        <v/>
      </c>
    </row>
    <row r="446" spans="5:20">
      <c r="E446" s="36"/>
      <c r="F446" s="37"/>
      <c r="G446" s="11" t="s">
        <v>56</v>
      </c>
      <c r="H446" s="23">
        <v>4</v>
      </c>
      <c r="I446" s="23">
        <v>4</v>
      </c>
      <c r="J446" s="23">
        <v>4</v>
      </c>
      <c r="K446" s="23">
        <v>3</v>
      </c>
      <c r="L446" s="23">
        <v>3</v>
      </c>
      <c r="M446" s="23">
        <v>3</v>
      </c>
      <c r="N446" s="23">
        <v>2</v>
      </c>
      <c r="O446" s="30">
        <v>2</v>
      </c>
      <c r="P446" s="31"/>
      <c r="Q446" s="11">
        <v>21</v>
      </c>
      <c r="S446" s="18" t="str">
        <f t="shared" si="12"/>
        <v>M.C.No</v>
      </c>
      <c r="T446" s="18" t="str">
        <f t="shared" si="13"/>
        <v/>
      </c>
    </row>
    <row r="447" spans="5:20">
      <c r="E447" s="21" t="s">
        <v>57</v>
      </c>
      <c r="F447" s="21">
        <v>5.64</v>
      </c>
      <c r="G447" s="11" t="s">
        <v>58</v>
      </c>
      <c r="H447" s="23">
        <v>6</v>
      </c>
      <c r="I447" s="23">
        <v>7.5</v>
      </c>
      <c r="J447" s="23"/>
      <c r="K447" s="23">
        <v>5</v>
      </c>
      <c r="L447" s="23">
        <v>6.5</v>
      </c>
      <c r="M447" s="23">
        <v>5.5</v>
      </c>
      <c r="N447" s="23">
        <v>8.5</v>
      </c>
      <c r="O447" s="30">
        <v>9.5</v>
      </c>
      <c r="P447" s="31"/>
      <c r="Q447" s="11" t="s">
        <v>37</v>
      </c>
      <c r="S447" s="18" t="str">
        <f t="shared" si="12"/>
        <v/>
      </c>
      <c r="T447" s="18" t="str">
        <f t="shared" si="13"/>
        <v/>
      </c>
    </row>
    <row r="448" spans="5:20">
      <c r="E448" s="21" t="s">
        <v>59</v>
      </c>
      <c r="F448" s="21"/>
      <c r="G448" s="11" t="s">
        <v>60</v>
      </c>
      <c r="H448" s="23">
        <v>24</v>
      </c>
      <c r="I448" s="23">
        <v>30</v>
      </c>
      <c r="J448" s="23"/>
      <c r="K448" s="23">
        <v>15</v>
      </c>
      <c r="L448" s="23">
        <v>19.5</v>
      </c>
      <c r="M448" s="23">
        <v>16.5</v>
      </c>
      <c r="N448" s="23">
        <v>17</v>
      </c>
      <c r="O448" s="30">
        <v>19</v>
      </c>
      <c r="P448" s="31"/>
      <c r="Q448" s="11">
        <v>141</v>
      </c>
      <c r="S448" s="18">
        <f t="shared" si="12"/>
        <v>0</v>
      </c>
      <c r="T448" s="18">
        <f t="shared" si="13"/>
        <v>0</v>
      </c>
    </row>
    <row r="449" spans="5:20">
      <c r="E449" s="32" t="s">
        <v>260</v>
      </c>
      <c r="F449" s="31"/>
      <c r="G449" s="11" t="s">
        <v>40</v>
      </c>
      <c r="H449" s="23">
        <v>59</v>
      </c>
      <c r="I449" s="23">
        <v>72</v>
      </c>
      <c r="J449" s="23">
        <v>39</v>
      </c>
      <c r="K449" s="23">
        <v>49</v>
      </c>
      <c r="L449" s="23">
        <v>61</v>
      </c>
      <c r="M449" s="23">
        <v>54</v>
      </c>
      <c r="N449" s="23">
        <v>42</v>
      </c>
      <c r="O449" s="30">
        <v>45</v>
      </c>
      <c r="P449" s="31"/>
      <c r="Q449" s="11">
        <v>421</v>
      </c>
      <c r="S449" s="18" t="str">
        <f t="shared" si="12"/>
        <v>Dr. B.B. Hegde First Grade College, Kundapura, Udupi.</v>
      </c>
      <c r="T449" s="18" t="str">
        <f t="shared" si="13"/>
        <v/>
      </c>
    </row>
    <row r="450" spans="5:20">
      <c r="E450" s="21" t="s">
        <v>62</v>
      </c>
      <c r="F450" s="21"/>
      <c r="G450" s="11" t="s">
        <v>63</v>
      </c>
      <c r="H450" s="23">
        <v>100</v>
      </c>
      <c r="I450" s="23">
        <v>100</v>
      </c>
      <c r="J450" s="23">
        <v>100</v>
      </c>
      <c r="K450" s="23">
        <v>100</v>
      </c>
      <c r="L450" s="23">
        <v>100</v>
      </c>
      <c r="M450" s="23">
        <v>100</v>
      </c>
      <c r="N450" s="23">
        <v>50</v>
      </c>
      <c r="O450" s="30">
        <v>50</v>
      </c>
      <c r="P450" s="31"/>
      <c r="Q450" s="11">
        <v>700</v>
      </c>
      <c r="S450" s="18" t="str">
        <f t="shared" si="12"/>
        <v>00031</v>
      </c>
      <c r="T450" s="18" t="str">
        <f t="shared" si="13"/>
        <v>Total</v>
      </c>
    </row>
    <row r="451" spans="5:20">
      <c r="E451" s="32" t="s">
        <v>375</v>
      </c>
      <c r="F451" s="31"/>
      <c r="G451" s="11" t="s">
        <v>65</v>
      </c>
      <c r="H451" s="23" t="s">
        <v>103</v>
      </c>
      <c r="I451" s="23" t="s">
        <v>68</v>
      </c>
      <c r="J451" s="23"/>
      <c r="K451" s="23" t="s">
        <v>127</v>
      </c>
      <c r="L451" s="23" t="s">
        <v>69</v>
      </c>
      <c r="M451" s="23" t="s">
        <v>138</v>
      </c>
      <c r="N451" s="23" t="s">
        <v>70</v>
      </c>
      <c r="O451" s="30" t="s">
        <v>71</v>
      </c>
      <c r="P451" s="31"/>
      <c r="Q451" s="11" t="s">
        <v>37</v>
      </c>
      <c r="S451" s="18" t="str">
        <f t="shared" si="12"/>
        <v>USN</v>
      </c>
      <c r="T451" s="18" t="str">
        <f t="shared" si="13"/>
        <v/>
      </c>
    </row>
    <row r="452" spans="5:20">
      <c r="E452" s="15" t="s">
        <v>72</v>
      </c>
      <c r="F452" s="15" t="s">
        <v>376</v>
      </c>
      <c r="G452" s="11" t="s">
        <v>74</v>
      </c>
      <c r="H452" s="23" t="s">
        <v>75</v>
      </c>
      <c r="I452" s="23" t="s">
        <v>75</v>
      </c>
      <c r="J452" s="23" t="s">
        <v>263</v>
      </c>
      <c r="K452" s="23" t="s">
        <v>75</v>
      </c>
      <c r="L452" s="23" t="s">
        <v>75</v>
      </c>
      <c r="M452" s="23" t="s">
        <v>75</v>
      </c>
      <c r="N452" s="23" t="s">
        <v>75</v>
      </c>
      <c r="O452" s="30" t="s">
        <v>75</v>
      </c>
      <c r="P452" s="31"/>
      <c r="Q452" s="11" t="s">
        <v>37</v>
      </c>
      <c r="S452" s="18" t="str">
        <f t="shared" si="12"/>
        <v>SACHIN</v>
      </c>
      <c r="T452" s="18" t="str">
        <f t="shared" si="13"/>
        <v/>
      </c>
    </row>
    <row r="453" spans="5:20">
      <c r="E453" s="16" t="s">
        <v>37</v>
      </c>
      <c r="F453" s="16" t="s">
        <v>37</v>
      </c>
      <c r="G453" s="16" t="s">
        <v>37</v>
      </c>
      <c r="H453" s="24" t="s">
        <v>37</v>
      </c>
      <c r="I453" s="24" t="s">
        <v>37</v>
      </c>
      <c r="J453" s="24" t="s">
        <v>37</v>
      </c>
      <c r="K453" s="24" t="s">
        <v>37</v>
      </c>
      <c r="L453" s="24" t="s">
        <v>37</v>
      </c>
      <c r="M453" s="24" t="s">
        <v>37</v>
      </c>
      <c r="N453" s="24" t="s">
        <v>37</v>
      </c>
      <c r="O453" s="41" t="s">
        <v>37</v>
      </c>
      <c r="P453" s="28"/>
      <c r="Q453" s="24" t="s">
        <v>37</v>
      </c>
      <c r="S453" s="18">
        <f t="shared" si="12"/>
        <v>0</v>
      </c>
      <c r="T453" s="18">
        <f t="shared" si="13"/>
        <v>0</v>
      </c>
    </row>
    <row r="454" spans="5:20" ht="0.6" customHeight="1">
      <c r="S454" s="18">
        <f t="shared" si="12"/>
        <v>0</v>
      </c>
      <c r="T454" s="18">
        <f t="shared" si="13"/>
        <v>21</v>
      </c>
    </row>
    <row r="455" spans="5:20">
      <c r="E455" s="38" t="s">
        <v>35</v>
      </c>
      <c r="F455" s="31"/>
      <c r="G455" s="19" t="s">
        <v>36</v>
      </c>
      <c r="H455" s="20" t="s">
        <v>37</v>
      </c>
      <c r="I455" s="20" t="s">
        <v>37</v>
      </c>
      <c r="J455" s="20" t="s">
        <v>37</v>
      </c>
      <c r="K455" s="20" t="s">
        <v>37</v>
      </c>
      <c r="L455" s="20" t="s">
        <v>37</v>
      </c>
      <c r="M455" s="20" t="s">
        <v>37</v>
      </c>
      <c r="N455" s="20" t="s">
        <v>37</v>
      </c>
      <c r="O455" s="39" t="s">
        <v>37</v>
      </c>
      <c r="P455" s="28"/>
      <c r="Q455" s="20" t="s">
        <v>37</v>
      </c>
      <c r="S455" s="18" t="str">
        <f t="shared" si="12"/>
        <v>SGPA</v>
      </c>
      <c r="T455" s="18" t="str">
        <f t="shared" si="13"/>
        <v/>
      </c>
    </row>
    <row r="456" spans="5:20" ht="21">
      <c r="E456" s="32" t="s">
        <v>377</v>
      </c>
      <c r="F456" s="31"/>
      <c r="G456" s="22" t="s">
        <v>39</v>
      </c>
      <c r="H456" s="22" t="s">
        <v>19</v>
      </c>
      <c r="I456" s="22" t="s">
        <v>9</v>
      </c>
      <c r="J456" s="22" t="s">
        <v>21</v>
      </c>
      <c r="K456" s="22" t="s">
        <v>11</v>
      </c>
      <c r="L456" s="22" t="s">
        <v>17</v>
      </c>
      <c r="M456" s="22" t="s">
        <v>27</v>
      </c>
      <c r="N456" s="22" t="s">
        <v>7</v>
      </c>
      <c r="O456" s="40" t="s">
        <v>25</v>
      </c>
      <c r="P456" s="31"/>
      <c r="Q456" s="22" t="s">
        <v>40</v>
      </c>
      <c r="S456" s="18" t="str">
        <f t="shared" si="12"/>
        <v>CGPA</v>
      </c>
      <c r="T456" s="18">
        <f t="shared" si="13"/>
        <v>145.5</v>
      </c>
    </row>
    <row r="457" spans="5:20" ht="22.5">
      <c r="E457" s="21" t="s">
        <v>41</v>
      </c>
      <c r="F457" s="21" t="s">
        <v>378</v>
      </c>
      <c r="G457" s="11" t="s">
        <v>43</v>
      </c>
      <c r="H457" s="23" t="s">
        <v>379</v>
      </c>
      <c r="I457" s="23" t="s">
        <v>380</v>
      </c>
      <c r="J457" s="23" t="s">
        <v>381</v>
      </c>
      <c r="K457" s="23" t="s">
        <v>382</v>
      </c>
      <c r="L457" s="23" t="s">
        <v>383</v>
      </c>
      <c r="M457" s="23" t="s">
        <v>332</v>
      </c>
      <c r="N457" s="23" t="s">
        <v>384</v>
      </c>
      <c r="O457" s="30" t="s">
        <v>51</v>
      </c>
      <c r="P457" s="31"/>
      <c r="Q457" s="11" t="s">
        <v>37</v>
      </c>
      <c r="S457" s="18" t="str">
        <f t="shared" si="12"/>
        <v>Result: FAIL</v>
      </c>
      <c r="T457" s="18">
        <f t="shared" si="13"/>
        <v>428</v>
      </c>
    </row>
    <row r="458" spans="5:20">
      <c r="E458" s="32" t="s">
        <v>338</v>
      </c>
      <c r="F458" s="33"/>
      <c r="G458" s="11" t="s">
        <v>53</v>
      </c>
      <c r="H458" s="23" t="s">
        <v>51</v>
      </c>
      <c r="I458" s="23" t="s">
        <v>51</v>
      </c>
      <c r="J458" s="23" t="s">
        <v>51</v>
      </c>
      <c r="K458" s="23" t="s">
        <v>51</v>
      </c>
      <c r="L458" s="23" t="s">
        <v>51</v>
      </c>
      <c r="M458" s="23" t="s">
        <v>51</v>
      </c>
      <c r="N458" s="23" t="s">
        <v>51</v>
      </c>
      <c r="O458" s="30" t="s">
        <v>54</v>
      </c>
      <c r="P458" s="31"/>
      <c r="Q458" s="11" t="s">
        <v>37</v>
      </c>
      <c r="S458" s="18" t="str">
        <f t="shared" si="12"/>
        <v>Class</v>
      </c>
      <c r="T458" s="18">
        <f t="shared" si="13"/>
        <v>700</v>
      </c>
    </row>
    <row r="459" spans="5:20">
      <c r="E459" s="34"/>
      <c r="F459" s="35"/>
      <c r="G459" s="11" t="s">
        <v>55</v>
      </c>
      <c r="H459" s="23" t="s">
        <v>37</v>
      </c>
      <c r="I459" s="23" t="s">
        <v>37</v>
      </c>
      <c r="J459" s="23" t="s">
        <v>37</v>
      </c>
      <c r="K459" s="23" t="s">
        <v>37</v>
      </c>
      <c r="L459" s="23" t="s">
        <v>37</v>
      </c>
      <c r="M459" s="23" t="s">
        <v>37</v>
      </c>
      <c r="N459" s="23" t="s">
        <v>37</v>
      </c>
      <c r="O459" s="30" t="s">
        <v>37</v>
      </c>
      <c r="P459" s="31"/>
      <c r="Q459" s="11">
        <v>0</v>
      </c>
      <c r="S459" s="18" t="str">
        <f t="shared" si="12"/>
        <v>Term Grade: BB+</v>
      </c>
      <c r="T459" s="18" t="str">
        <f t="shared" si="13"/>
        <v/>
      </c>
    </row>
    <row r="460" spans="5:20">
      <c r="E460" s="36"/>
      <c r="F460" s="37"/>
      <c r="G460" s="11" t="s">
        <v>56</v>
      </c>
      <c r="H460" s="23">
        <v>4</v>
      </c>
      <c r="I460" s="23">
        <v>4</v>
      </c>
      <c r="J460" s="23">
        <v>4</v>
      </c>
      <c r="K460" s="23">
        <v>3</v>
      </c>
      <c r="L460" s="23">
        <v>3</v>
      </c>
      <c r="M460" s="23">
        <v>3</v>
      </c>
      <c r="N460" s="23">
        <v>2</v>
      </c>
      <c r="O460" s="30">
        <v>2</v>
      </c>
      <c r="P460" s="31"/>
      <c r="Q460" s="11">
        <v>21</v>
      </c>
      <c r="S460" s="18" t="str">
        <f t="shared" ref="S460:S523" si="14">$E466</f>
        <v>M.C.No</v>
      </c>
      <c r="T460" s="18" t="str">
        <f t="shared" ref="T460:T523" si="15">$Q466</f>
        <v/>
      </c>
    </row>
    <row r="461" spans="5:20">
      <c r="E461" s="21" t="s">
        <v>57</v>
      </c>
      <c r="F461" s="21">
        <v>5.82</v>
      </c>
      <c r="G461" s="11" t="s">
        <v>58</v>
      </c>
      <c r="H461" s="23">
        <v>6.5</v>
      </c>
      <c r="I461" s="23">
        <v>7.5</v>
      </c>
      <c r="J461" s="23"/>
      <c r="K461" s="23">
        <v>5.5</v>
      </c>
      <c r="L461" s="23">
        <v>8</v>
      </c>
      <c r="M461" s="23">
        <v>6</v>
      </c>
      <c r="N461" s="23">
        <v>6</v>
      </c>
      <c r="O461" s="30">
        <v>9.5</v>
      </c>
      <c r="P461" s="31"/>
      <c r="Q461" s="11" t="s">
        <v>37</v>
      </c>
      <c r="S461" s="18" t="str">
        <f t="shared" si="14"/>
        <v/>
      </c>
      <c r="T461" s="18" t="str">
        <f t="shared" si="15"/>
        <v/>
      </c>
    </row>
    <row r="462" spans="5:20">
      <c r="E462" s="21" t="s">
        <v>59</v>
      </c>
      <c r="F462" s="21"/>
      <c r="G462" s="11" t="s">
        <v>60</v>
      </c>
      <c r="H462" s="23">
        <v>26</v>
      </c>
      <c r="I462" s="23">
        <v>30</v>
      </c>
      <c r="J462" s="23"/>
      <c r="K462" s="23">
        <v>16.5</v>
      </c>
      <c r="L462" s="23">
        <v>24</v>
      </c>
      <c r="M462" s="23">
        <v>18</v>
      </c>
      <c r="N462" s="23">
        <v>12</v>
      </c>
      <c r="O462" s="30">
        <v>19</v>
      </c>
      <c r="P462" s="31"/>
      <c r="Q462" s="11">
        <v>145.5</v>
      </c>
      <c r="S462" s="18">
        <f t="shared" si="14"/>
        <v>0</v>
      </c>
      <c r="T462" s="18">
        <f t="shared" si="15"/>
        <v>0</v>
      </c>
    </row>
    <row r="463" spans="5:20">
      <c r="E463" s="32" t="s">
        <v>260</v>
      </c>
      <c r="F463" s="31"/>
      <c r="G463" s="11" t="s">
        <v>40</v>
      </c>
      <c r="H463" s="23">
        <v>63</v>
      </c>
      <c r="I463" s="23">
        <v>72</v>
      </c>
      <c r="J463" s="23">
        <v>33</v>
      </c>
      <c r="K463" s="23">
        <v>50</v>
      </c>
      <c r="L463" s="23">
        <v>78</v>
      </c>
      <c r="M463" s="23">
        <v>59</v>
      </c>
      <c r="N463" s="23">
        <v>28</v>
      </c>
      <c r="O463" s="30">
        <v>45</v>
      </c>
      <c r="P463" s="31"/>
      <c r="Q463" s="11">
        <v>428</v>
      </c>
      <c r="S463" s="18">
        <f t="shared" si="14"/>
        <v>0</v>
      </c>
      <c r="T463" s="18">
        <f t="shared" si="15"/>
        <v>0</v>
      </c>
    </row>
    <row r="464" spans="5:20">
      <c r="E464" s="21" t="s">
        <v>62</v>
      </c>
      <c r="F464" s="21"/>
      <c r="G464" s="11" t="s">
        <v>63</v>
      </c>
      <c r="H464" s="23">
        <v>100</v>
      </c>
      <c r="I464" s="23">
        <v>100</v>
      </c>
      <c r="J464" s="23">
        <v>100</v>
      </c>
      <c r="K464" s="23">
        <v>100</v>
      </c>
      <c r="L464" s="23">
        <v>100</v>
      </c>
      <c r="M464" s="23">
        <v>100</v>
      </c>
      <c r="N464" s="23">
        <v>50</v>
      </c>
      <c r="O464" s="30">
        <v>50</v>
      </c>
      <c r="P464" s="31"/>
      <c r="Q464" s="11">
        <v>700</v>
      </c>
      <c r="S464" s="18" t="str">
        <f t="shared" si="14"/>
        <v>Dr. B.B. Hegde First Grade College, Kundapura, Udupi.</v>
      </c>
      <c r="T464" s="18" t="str">
        <f t="shared" si="15"/>
        <v/>
      </c>
    </row>
    <row r="465" spans="5:20">
      <c r="E465" s="32" t="s">
        <v>375</v>
      </c>
      <c r="F465" s="31"/>
      <c r="G465" s="11" t="s">
        <v>65</v>
      </c>
      <c r="H465" s="23" t="s">
        <v>69</v>
      </c>
      <c r="I465" s="23" t="s">
        <v>68</v>
      </c>
      <c r="J465" s="23"/>
      <c r="K465" s="23" t="s">
        <v>138</v>
      </c>
      <c r="L465" s="23" t="s">
        <v>102</v>
      </c>
      <c r="M465" s="23" t="s">
        <v>103</v>
      </c>
      <c r="N465" s="23" t="s">
        <v>103</v>
      </c>
      <c r="O465" s="30" t="s">
        <v>71</v>
      </c>
      <c r="P465" s="31"/>
      <c r="Q465" s="11" t="s">
        <v>37</v>
      </c>
      <c r="S465" s="18" t="str">
        <f t="shared" si="14"/>
        <v>00032</v>
      </c>
      <c r="T465" s="18" t="str">
        <f t="shared" si="15"/>
        <v>Total</v>
      </c>
    </row>
    <row r="466" spans="5:20">
      <c r="E466" s="15" t="s">
        <v>72</v>
      </c>
      <c r="F466" s="15" t="s">
        <v>385</v>
      </c>
      <c r="G466" s="11" t="s">
        <v>74</v>
      </c>
      <c r="H466" s="23" t="s">
        <v>75</v>
      </c>
      <c r="I466" s="23" t="s">
        <v>75</v>
      </c>
      <c r="J466" s="23" t="s">
        <v>263</v>
      </c>
      <c r="K466" s="23" t="s">
        <v>75</v>
      </c>
      <c r="L466" s="23" t="s">
        <v>75</v>
      </c>
      <c r="M466" s="23" t="s">
        <v>75</v>
      </c>
      <c r="N466" s="23" t="s">
        <v>75</v>
      </c>
      <c r="O466" s="30" t="s">
        <v>75</v>
      </c>
      <c r="P466" s="31"/>
      <c r="Q466" s="11" t="s">
        <v>37</v>
      </c>
      <c r="S466" s="18" t="str">
        <f t="shared" si="14"/>
        <v>USN</v>
      </c>
      <c r="T466" s="18" t="str">
        <f t="shared" si="15"/>
        <v/>
      </c>
    </row>
    <row r="467" spans="5:20">
      <c r="E467" s="16" t="s">
        <v>37</v>
      </c>
      <c r="F467" s="16" t="s">
        <v>37</v>
      </c>
      <c r="G467" s="16" t="s">
        <v>37</v>
      </c>
      <c r="H467" s="24" t="s">
        <v>37</v>
      </c>
      <c r="I467" s="24" t="s">
        <v>37</v>
      </c>
      <c r="J467" s="24" t="s">
        <v>37</v>
      </c>
      <c r="K467" s="24" t="s">
        <v>37</v>
      </c>
      <c r="L467" s="24" t="s">
        <v>37</v>
      </c>
      <c r="M467" s="24" t="s">
        <v>37</v>
      </c>
      <c r="N467" s="24" t="s">
        <v>37</v>
      </c>
      <c r="O467" s="41" t="s">
        <v>37</v>
      </c>
      <c r="P467" s="28"/>
      <c r="Q467" s="24" t="s">
        <v>37</v>
      </c>
      <c r="S467" s="18" t="str">
        <f t="shared" si="14"/>
        <v>KARTHIK</v>
      </c>
      <c r="T467" s="18" t="str">
        <f t="shared" si="15"/>
        <v/>
      </c>
    </row>
    <row r="468" spans="5:20" ht="0" hidden="1" customHeight="1">
      <c r="S468" s="18">
        <f t="shared" si="14"/>
        <v>0</v>
      </c>
      <c r="T468" s="18">
        <f t="shared" si="15"/>
        <v>0</v>
      </c>
    </row>
    <row r="469" spans="5:20" ht="0.6" customHeight="1">
      <c r="S469" s="18">
        <f t="shared" si="14"/>
        <v>0</v>
      </c>
      <c r="T469" s="18">
        <f t="shared" si="15"/>
        <v>21</v>
      </c>
    </row>
    <row r="470" spans="5:20">
      <c r="E470" s="38" t="s">
        <v>35</v>
      </c>
      <c r="F470" s="31"/>
      <c r="G470" s="19" t="s">
        <v>36</v>
      </c>
      <c r="H470" s="20" t="s">
        <v>37</v>
      </c>
      <c r="I470" s="20" t="s">
        <v>37</v>
      </c>
      <c r="J470" s="20" t="s">
        <v>37</v>
      </c>
      <c r="K470" s="20" t="s">
        <v>37</v>
      </c>
      <c r="L470" s="20" t="s">
        <v>37</v>
      </c>
      <c r="M470" s="20" t="s">
        <v>37</v>
      </c>
      <c r="N470" s="20" t="s">
        <v>37</v>
      </c>
      <c r="O470" s="39" t="s">
        <v>37</v>
      </c>
      <c r="P470" s="28"/>
      <c r="Q470" s="20" t="s">
        <v>37</v>
      </c>
      <c r="S470" s="18" t="str">
        <f t="shared" si="14"/>
        <v>SGPA</v>
      </c>
      <c r="T470" s="18" t="str">
        <f t="shared" si="15"/>
        <v/>
      </c>
    </row>
    <row r="471" spans="5:20" ht="21">
      <c r="E471" s="32" t="s">
        <v>386</v>
      </c>
      <c r="F471" s="31"/>
      <c r="G471" s="22" t="s">
        <v>39</v>
      </c>
      <c r="H471" s="22" t="s">
        <v>19</v>
      </c>
      <c r="I471" s="22" t="s">
        <v>9</v>
      </c>
      <c r="J471" s="22" t="s">
        <v>21</v>
      </c>
      <c r="K471" s="22" t="s">
        <v>11</v>
      </c>
      <c r="L471" s="22" t="s">
        <v>17</v>
      </c>
      <c r="M471" s="22" t="s">
        <v>27</v>
      </c>
      <c r="N471" s="22" t="s">
        <v>7</v>
      </c>
      <c r="O471" s="40" t="s">
        <v>25</v>
      </c>
      <c r="P471" s="31"/>
      <c r="Q471" s="22" t="s">
        <v>40</v>
      </c>
      <c r="S471" s="18" t="str">
        <f t="shared" si="14"/>
        <v>CGPA</v>
      </c>
      <c r="T471" s="18">
        <f t="shared" si="15"/>
        <v>134.5</v>
      </c>
    </row>
    <row r="472" spans="5:20" ht="22.5">
      <c r="E472" s="21" t="s">
        <v>41</v>
      </c>
      <c r="F472" s="21" t="s">
        <v>387</v>
      </c>
      <c r="G472" s="11" t="s">
        <v>43</v>
      </c>
      <c r="H472" s="23" t="s">
        <v>133</v>
      </c>
      <c r="I472" s="23" t="s">
        <v>299</v>
      </c>
      <c r="J472" s="23" t="s">
        <v>388</v>
      </c>
      <c r="K472" s="23" t="s">
        <v>389</v>
      </c>
      <c r="L472" s="23" t="s">
        <v>390</v>
      </c>
      <c r="M472" s="23" t="s">
        <v>391</v>
      </c>
      <c r="N472" s="23" t="s">
        <v>392</v>
      </c>
      <c r="O472" s="30" t="s">
        <v>51</v>
      </c>
      <c r="P472" s="31"/>
      <c r="Q472" s="11" t="s">
        <v>37</v>
      </c>
      <c r="S472" s="18" t="str">
        <f t="shared" si="14"/>
        <v>Result: FAIL</v>
      </c>
      <c r="T472" s="18">
        <f t="shared" si="15"/>
        <v>398</v>
      </c>
    </row>
    <row r="473" spans="5:20">
      <c r="E473" s="32" t="s">
        <v>302</v>
      </c>
      <c r="F473" s="33"/>
      <c r="G473" s="11" t="s">
        <v>53</v>
      </c>
      <c r="H473" s="23" t="s">
        <v>51</v>
      </c>
      <c r="I473" s="23" t="s">
        <v>51</v>
      </c>
      <c r="J473" s="23" t="s">
        <v>51</v>
      </c>
      <c r="K473" s="23" t="s">
        <v>51</v>
      </c>
      <c r="L473" s="23" t="s">
        <v>51</v>
      </c>
      <c r="M473" s="23" t="s">
        <v>51</v>
      </c>
      <c r="N473" s="23" t="s">
        <v>51</v>
      </c>
      <c r="O473" s="30" t="s">
        <v>54</v>
      </c>
      <c r="P473" s="31"/>
      <c r="Q473" s="11" t="s">
        <v>37</v>
      </c>
      <c r="S473" s="18" t="str">
        <f t="shared" si="14"/>
        <v>Class</v>
      </c>
      <c r="T473" s="18">
        <f t="shared" si="15"/>
        <v>700</v>
      </c>
    </row>
    <row r="474" spans="5:20">
      <c r="E474" s="34"/>
      <c r="F474" s="35"/>
      <c r="G474" s="11" t="s">
        <v>55</v>
      </c>
      <c r="H474" s="23" t="s">
        <v>37</v>
      </c>
      <c r="I474" s="23" t="s">
        <v>37</v>
      </c>
      <c r="J474" s="23" t="s">
        <v>37</v>
      </c>
      <c r="K474" s="23" t="s">
        <v>37</v>
      </c>
      <c r="L474" s="23" t="s">
        <v>37</v>
      </c>
      <c r="M474" s="23" t="s">
        <v>37</v>
      </c>
      <c r="N474" s="23" t="s">
        <v>37</v>
      </c>
      <c r="O474" s="30" t="s">
        <v>37</v>
      </c>
      <c r="P474" s="31"/>
      <c r="Q474" s="11">
        <v>0</v>
      </c>
      <c r="S474" s="18" t="str">
        <f t="shared" si="14"/>
        <v>Term Grade: BB</v>
      </c>
      <c r="T474" s="18" t="str">
        <f t="shared" si="15"/>
        <v/>
      </c>
    </row>
    <row r="475" spans="5:20">
      <c r="E475" s="36"/>
      <c r="F475" s="37"/>
      <c r="G475" s="11" t="s">
        <v>56</v>
      </c>
      <c r="H475" s="23">
        <v>4</v>
      </c>
      <c r="I475" s="23">
        <v>4</v>
      </c>
      <c r="J475" s="23">
        <v>4</v>
      </c>
      <c r="K475" s="23">
        <v>3</v>
      </c>
      <c r="L475" s="23">
        <v>3</v>
      </c>
      <c r="M475" s="23">
        <v>3</v>
      </c>
      <c r="N475" s="23">
        <v>2</v>
      </c>
      <c r="O475" s="30">
        <v>2</v>
      </c>
      <c r="P475" s="31"/>
      <c r="Q475" s="11">
        <v>21</v>
      </c>
      <c r="S475" s="18" t="str">
        <f t="shared" si="14"/>
        <v>M.C.No</v>
      </c>
      <c r="T475" s="18" t="str">
        <f t="shared" si="15"/>
        <v/>
      </c>
    </row>
    <row r="476" spans="5:20">
      <c r="E476" s="21" t="s">
        <v>57</v>
      </c>
      <c r="F476" s="21">
        <v>5.38</v>
      </c>
      <c r="G476" s="11" t="s">
        <v>58</v>
      </c>
      <c r="H476" s="23">
        <v>5.5</v>
      </c>
      <c r="I476" s="23">
        <v>7.5</v>
      </c>
      <c r="J476" s="23"/>
      <c r="K476" s="23">
        <v>5</v>
      </c>
      <c r="L476" s="23">
        <v>6</v>
      </c>
      <c r="M476" s="23">
        <v>5.5</v>
      </c>
      <c r="N476" s="23">
        <v>7</v>
      </c>
      <c r="O476" s="30">
        <v>9.5</v>
      </c>
      <c r="P476" s="31"/>
      <c r="Q476" s="11" t="s">
        <v>37</v>
      </c>
      <c r="S476" s="18" t="str">
        <f t="shared" si="14"/>
        <v/>
      </c>
      <c r="T476" s="18" t="str">
        <f t="shared" si="15"/>
        <v/>
      </c>
    </row>
    <row r="477" spans="5:20">
      <c r="E477" s="21" t="s">
        <v>59</v>
      </c>
      <c r="F477" s="21"/>
      <c r="G477" s="11" t="s">
        <v>60</v>
      </c>
      <c r="H477" s="23">
        <v>22</v>
      </c>
      <c r="I477" s="23">
        <v>30</v>
      </c>
      <c r="J477" s="23"/>
      <c r="K477" s="23">
        <v>15</v>
      </c>
      <c r="L477" s="23">
        <v>18</v>
      </c>
      <c r="M477" s="23">
        <v>16.5</v>
      </c>
      <c r="N477" s="23">
        <v>14</v>
      </c>
      <c r="O477" s="30">
        <v>19</v>
      </c>
      <c r="P477" s="31"/>
      <c r="Q477" s="11">
        <v>134.5</v>
      </c>
      <c r="S477" s="18">
        <f t="shared" si="14"/>
        <v>0</v>
      </c>
      <c r="T477" s="18">
        <f t="shared" si="15"/>
        <v>0</v>
      </c>
    </row>
    <row r="478" spans="5:20">
      <c r="E478" s="32" t="s">
        <v>260</v>
      </c>
      <c r="F478" s="31"/>
      <c r="G478" s="11" t="s">
        <v>40</v>
      </c>
      <c r="H478" s="23">
        <v>52</v>
      </c>
      <c r="I478" s="23">
        <v>73</v>
      </c>
      <c r="J478" s="23">
        <v>39</v>
      </c>
      <c r="K478" s="23">
        <v>46</v>
      </c>
      <c r="L478" s="23">
        <v>59</v>
      </c>
      <c r="M478" s="23">
        <v>50</v>
      </c>
      <c r="N478" s="23">
        <v>34</v>
      </c>
      <c r="O478" s="30">
        <v>45</v>
      </c>
      <c r="P478" s="31"/>
      <c r="Q478" s="11">
        <v>398</v>
      </c>
      <c r="S478" s="18">
        <f t="shared" si="14"/>
        <v>0</v>
      </c>
      <c r="T478" s="18">
        <f t="shared" si="15"/>
        <v>0</v>
      </c>
    </row>
    <row r="479" spans="5:20">
      <c r="E479" s="21" t="s">
        <v>62</v>
      </c>
      <c r="F479" s="21"/>
      <c r="G479" s="11" t="s">
        <v>63</v>
      </c>
      <c r="H479" s="23">
        <v>100</v>
      </c>
      <c r="I479" s="23">
        <v>100</v>
      </c>
      <c r="J479" s="23">
        <v>100</v>
      </c>
      <c r="K479" s="23">
        <v>100</v>
      </c>
      <c r="L479" s="23">
        <v>100</v>
      </c>
      <c r="M479" s="23">
        <v>100</v>
      </c>
      <c r="N479" s="23">
        <v>50</v>
      </c>
      <c r="O479" s="30">
        <v>50</v>
      </c>
      <c r="P479" s="31"/>
      <c r="Q479" s="11">
        <v>700</v>
      </c>
      <c r="S479" s="18" t="str">
        <f t="shared" si="14"/>
        <v>Dr. B.B. Hegde First Grade College, Kundapura, Udupi.</v>
      </c>
      <c r="T479" s="18" t="str">
        <f t="shared" si="15"/>
        <v/>
      </c>
    </row>
    <row r="480" spans="5:20">
      <c r="E480" s="32" t="s">
        <v>339</v>
      </c>
      <c r="F480" s="31"/>
      <c r="G480" s="11" t="s">
        <v>65</v>
      </c>
      <c r="H480" s="23" t="s">
        <v>138</v>
      </c>
      <c r="I480" s="23" t="s">
        <v>68</v>
      </c>
      <c r="J480" s="23"/>
      <c r="K480" s="23" t="s">
        <v>127</v>
      </c>
      <c r="L480" s="23" t="s">
        <v>103</v>
      </c>
      <c r="M480" s="23" t="s">
        <v>138</v>
      </c>
      <c r="N480" s="23" t="s">
        <v>66</v>
      </c>
      <c r="O480" s="30" t="s">
        <v>71</v>
      </c>
      <c r="P480" s="31"/>
      <c r="Q480" s="11" t="s">
        <v>37</v>
      </c>
      <c r="S480" s="18" t="str">
        <f t="shared" si="14"/>
        <v>00033</v>
      </c>
      <c r="T480" s="18" t="str">
        <f t="shared" si="15"/>
        <v>Total</v>
      </c>
    </row>
    <row r="481" spans="5:20">
      <c r="E481" s="15" t="s">
        <v>72</v>
      </c>
      <c r="F481" s="15" t="s">
        <v>393</v>
      </c>
      <c r="G481" s="11" t="s">
        <v>74</v>
      </c>
      <c r="H481" s="23" t="s">
        <v>75</v>
      </c>
      <c r="I481" s="23" t="s">
        <v>75</v>
      </c>
      <c r="J481" s="23" t="s">
        <v>263</v>
      </c>
      <c r="K481" s="23" t="s">
        <v>75</v>
      </c>
      <c r="L481" s="23" t="s">
        <v>75</v>
      </c>
      <c r="M481" s="23" t="s">
        <v>75</v>
      </c>
      <c r="N481" s="23" t="s">
        <v>75</v>
      </c>
      <c r="O481" s="30" t="s">
        <v>75</v>
      </c>
      <c r="P481" s="31"/>
      <c r="Q481" s="11" t="s">
        <v>37</v>
      </c>
      <c r="S481" s="18" t="str">
        <f t="shared" si="14"/>
        <v>USN</v>
      </c>
      <c r="T481" s="18" t="str">
        <f t="shared" si="15"/>
        <v/>
      </c>
    </row>
    <row r="482" spans="5:20">
      <c r="E482" s="16" t="s">
        <v>37</v>
      </c>
      <c r="F482" s="16" t="s">
        <v>37</v>
      </c>
      <c r="G482" s="16" t="s">
        <v>37</v>
      </c>
      <c r="H482" s="24" t="s">
        <v>37</v>
      </c>
      <c r="I482" s="24" t="s">
        <v>37</v>
      </c>
      <c r="J482" s="24" t="s">
        <v>37</v>
      </c>
      <c r="K482" s="24" t="s">
        <v>37</v>
      </c>
      <c r="L482" s="24" t="s">
        <v>37</v>
      </c>
      <c r="M482" s="24" t="s">
        <v>37</v>
      </c>
      <c r="N482" s="24" t="s">
        <v>37</v>
      </c>
      <c r="O482" s="41" t="s">
        <v>37</v>
      </c>
      <c r="P482" s="28"/>
      <c r="Q482" s="24" t="s">
        <v>37</v>
      </c>
      <c r="S482" s="18" t="str">
        <f t="shared" si="14"/>
        <v>AKSHITHA</v>
      </c>
      <c r="T482" s="18" t="str">
        <f t="shared" si="15"/>
        <v/>
      </c>
    </row>
    <row r="483" spans="5:20" ht="0" hidden="1" customHeight="1">
      <c r="S483" s="18">
        <f t="shared" si="14"/>
        <v>0</v>
      </c>
      <c r="T483" s="18">
        <f t="shared" si="15"/>
        <v>0</v>
      </c>
    </row>
    <row r="484" spans="5:20" ht="0.6" customHeight="1">
      <c r="S484" s="18">
        <f t="shared" si="14"/>
        <v>0</v>
      </c>
      <c r="T484" s="18">
        <f t="shared" si="15"/>
        <v>25</v>
      </c>
    </row>
    <row r="485" spans="5:20">
      <c r="E485" s="38" t="s">
        <v>35</v>
      </c>
      <c r="F485" s="31"/>
      <c r="G485" s="19" t="s">
        <v>36</v>
      </c>
      <c r="H485" s="20" t="s">
        <v>37</v>
      </c>
      <c r="I485" s="20" t="s">
        <v>37</v>
      </c>
      <c r="J485" s="20" t="s">
        <v>37</v>
      </c>
      <c r="K485" s="20" t="s">
        <v>37</v>
      </c>
      <c r="L485" s="20" t="s">
        <v>37</v>
      </c>
      <c r="M485" s="20" t="s">
        <v>37</v>
      </c>
      <c r="N485" s="20" t="s">
        <v>37</v>
      </c>
      <c r="O485" s="39" t="s">
        <v>37</v>
      </c>
      <c r="P485" s="28"/>
      <c r="Q485" s="20" t="s">
        <v>37</v>
      </c>
      <c r="S485" s="18" t="str">
        <f t="shared" si="14"/>
        <v>SGPA</v>
      </c>
      <c r="T485" s="18" t="str">
        <f t="shared" si="15"/>
        <v/>
      </c>
    </row>
    <row r="486" spans="5:20" ht="21">
      <c r="E486" s="32" t="s">
        <v>394</v>
      </c>
      <c r="F486" s="31"/>
      <c r="G486" s="22" t="s">
        <v>39</v>
      </c>
      <c r="H486" s="22" t="s">
        <v>19</v>
      </c>
      <c r="I486" s="22" t="s">
        <v>9</v>
      </c>
      <c r="J486" s="22" t="s">
        <v>21</v>
      </c>
      <c r="K486" s="22" t="s">
        <v>11</v>
      </c>
      <c r="L486" s="22" t="s">
        <v>17</v>
      </c>
      <c r="M486" s="22" t="s">
        <v>27</v>
      </c>
      <c r="N486" s="22" t="s">
        <v>7</v>
      </c>
      <c r="O486" s="40" t="s">
        <v>33</v>
      </c>
      <c r="P486" s="31"/>
      <c r="Q486" s="22" t="s">
        <v>40</v>
      </c>
      <c r="S486" s="18" t="str">
        <f t="shared" si="14"/>
        <v>CGPA</v>
      </c>
      <c r="T486" s="18">
        <f t="shared" si="15"/>
        <v>240.5</v>
      </c>
    </row>
    <row r="487" spans="5:20" ht="22.5">
      <c r="E487" s="21" t="s">
        <v>41</v>
      </c>
      <c r="F487" s="21" t="s">
        <v>395</v>
      </c>
      <c r="G487" s="11" t="s">
        <v>43</v>
      </c>
      <c r="H487" s="23" t="s">
        <v>396</v>
      </c>
      <c r="I487" s="23" t="s">
        <v>82</v>
      </c>
      <c r="J487" s="23" t="s">
        <v>183</v>
      </c>
      <c r="K487" s="23" t="s">
        <v>397</v>
      </c>
      <c r="L487" s="23" t="s">
        <v>223</v>
      </c>
      <c r="M487" s="23" t="s">
        <v>79</v>
      </c>
      <c r="N487" s="23" t="s">
        <v>209</v>
      </c>
      <c r="O487" s="30" t="s">
        <v>51</v>
      </c>
      <c r="P487" s="31"/>
      <c r="Q487" s="11" t="s">
        <v>37</v>
      </c>
      <c r="S487" s="18" t="str">
        <f t="shared" si="14"/>
        <v>Result: PASS</v>
      </c>
      <c r="T487" s="18">
        <f t="shared" si="15"/>
        <v>653</v>
      </c>
    </row>
    <row r="488" spans="5:20">
      <c r="E488" s="32" t="s">
        <v>398</v>
      </c>
      <c r="F488" s="33"/>
      <c r="G488" s="11" t="s">
        <v>53</v>
      </c>
      <c r="H488" s="23" t="s">
        <v>51</v>
      </c>
      <c r="I488" s="23" t="s">
        <v>51</v>
      </c>
      <c r="J488" s="23" t="s">
        <v>51</v>
      </c>
      <c r="K488" s="23" t="s">
        <v>51</v>
      </c>
      <c r="L488" s="23" t="s">
        <v>51</v>
      </c>
      <c r="M488" s="23" t="s">
        <v>51</v>
      </c>
      <c r="N488" s="23" t="s">
        <v>51</v>
      </c>
      <c r="O488" s="30" t="s">
        <v>125</v>
      </c>
      <c r="P488" s="31"/>
      <c r="Q488" s="11" t="s">
        <v>37</v>
      </c>
      <c r="S488" s="18" t="str">
        <f t="shared" si="14"/>
        <v>Class</v>
      </c>
      <c r="T488" s="18">
        <f t="shared" si="15"/>
        <v>700</v>
      </c>
    </row>
    <row r="489" spans="5:20">
      <c r="E489" s="34"/>
      <c r="F489" s="35"/>
      <c r="G489" s="11" t="s">
        <v>55</v>
      </c>
      <c r="H489" s="23" t="s">
        <v>37</v>
      </c>
      <c r="I489" s="23" t="s">
        <v>37</v>
      </c>
      <c r="J489" s="23" t="s">
        <v>37</v>
      </c>
      <c r="K489" s="23" t="s">
        <v>37</v>
      </c>
      <c r="L489" s="23" t="s">
        <v>37</v>
      </c>
      <c r="M489" s="23" t="s">
        <v>37</v>
      </c>
      <c r="N489" s="23" t="s">
        <v>37</v>
      </c>
      <c r="O489" s="30" t="s">
        <v>37</v>
      </c>
      <c r="P489" s="31"/>
      <c r="Q489" s="11">
        <v>0</v>
      </c>
      <c r="S489" s="18" t="str">
        <f t="shared" si="14"/>
        <v>Term Grade: OO+</v>
      </c>
      <c r="T489" s="18" t="str">
        <f t="shared" si="15"/>
        <v/>
      </c>
    </row>
    <row r="490" spans="5:20">
      <c r="E490" s="36"/>
      <c r="F490" s="37"/>
      <c r="G490" s="11" t="s">
        <v>56</v>
      </c>
      <c r="H490" s="23">
        <v>4</v>
      </c>
      <c r="I490" s="23">
        <v>4</v>
      </c>
      <c r="J490" s="23">
        <v>4</v>
      </c>
      <c r="K490" s="23">
        <v>3</v>
      </c>
      <c r="L490" s="23">
        <v>3</v>
      </c>
      <c r="M490" s="23">
        <v>3</v>
      </c>
      <c r="N490" s="23">
        <v>2</v>
      </c>
      <c r="O490" s="30">
        <v>2</v>
      </c>
      <c r="P490" s="31"/>
      <c r="Q490" s="11">
        <v>25</v>
      </c>
      <c r="S490" s="18" t="str">
        <f t="shared" si="14"/>
        <v>M.C.No</v>
      </c>
      <c r="T490" s="18" t="str">
        <f t="shared" si="15"/>
        <v/>
      </c>
    </row>
    <row r="491" spans="5:20">
      <c r="E491" s="21" t="s">
        <v>57</v>
      </c>
      <c r="F491" s="21">
        <v>9.6199999999999992</v>
      </c>
      <c r="G491" s="11" t="s">
        <v>58</v>
      </c>
      <c r="H491" s="23">
        <v>9.5</v>
      </c>
      <c r="I491" s="23">
        <v>10</v>
      </c>
      <c r="J491" s="23">
        <v>9.5</v>
      </c>
      <c r="K491" s="23">
        <v>9</v>
      </c>
      <c r="L491" s="23">
        <v>9.5</v>
      </c>
      <c r="M491" s="23">
        <v>10</v>
      </c>
      <c r="N491" s="23">
        <v>10</v>
      </c>
      <c r="O491" s="30">
        <v>9.5</v>
      </c>
      <c r="P491" s="31"/>
      <c r="Q491" s="11" t="s">
        <v>37</v>
      </c>
      <c r="S491" s="18" t="str">
        <f t="shared" si="14"/>
        <v/>
      </c>
      <c r="T491" s="18" t="str">
        <f t="shared" si="15"/>
        <v/>
      </c>
    </row>
    <row r="492" spans="5:20">
      <c r="E492" s="21" t="s">
        <v>59</v>
      </c>
      <c r="F492" s="14">
        <v>9.6199999999999992</v>
      </c>
      <c r="G492" s="11" t="s">
        <v>60</v>
      </c>
      <c r="H492" s="23">
        <v>38</v>
      </c>
      <c r="I492" s="23">
        <v>40</v>
      </c>
      <c r="J492" s="23">
        <v>38</v>
      </c>
      <c r="K492" s="23">
        <v>27</v>
      </c>
      <c r="L492" s="23">
        <v>28.5</v>
      </c>
      <c r="M492" s="23">
        <v>30</v>
      </c>
      <c r="N492" s="23">
        <v>20</v>
      </c>
      <c r="O492" s="30">
        <v>19</v>
      </c>
      <c r="P492" s="31"/>
      <c r="Q492" s="11">
        <v>240.5</v>
      </c>
      <c r="S492" s="18">
        <f t="shared" si="14"/>
        <v>0</v>
      </c>
      <c r="T492" s="18">
        <f t="shared" si="15"/>
        <v>0</v>
      </c>
    </row>
    <row r="493" spans="5:20">
      <c r="E493" s="32" t="s">
        <v>61</v>
      </c>
      <c r="F493" s="31"/>
      <c r="G493" s="11" t="s">
        <v>40</v>
      </c>
      <c r="H493" s="23">
        <v>92</v>
      </c>
      <c r="I493" s="23">
        <v>98</v>
      </c>
      <c r="J493" s="23">
        <v>94</v>
      </c>
      <c r="K493" s="23">
        <v>85</v>
      </c>
      <c r="L493" s="23">
        <v>93</v>
      </c>
      <c r="M493" s="23">
        <v>95</v>
      </c>
      <c r="N493" s="23">
        <v>50</v>
      </c>
      <c r="O493" s="30">
        <v>46</v>
      </c>
      <c r="P493" s="31"/>
      <c r="Q493" s="11">
        <v>653</v>
      </c>
      <c r="S493" s="18">
        <f t="shared" si="14"/>
        <v>0</v>
      </c>
      <c r="T493" s="18">
        <f t="shared" si="15"/>
        <v>0</v>
      </c>
    </row>
    <row r="494" spans="5:20">
      <c r="E494" s="21" t="s">
        <v>62</v>
      </c>
      <c r="F494" s="21"/>
      <c r="G494" s="11" t="s">
        <v>63</v>
      </c>
      <c r="H494" s="23">
        <v>100</v>
      </c>
      <c r="I494" s="23">
        <v>100</v>
      </c>
      <c r="J494" s="23">
        <v>100</v>
      </c>
      <c r="K494" s="23">
        <v>100</v>
      </c>
      <c r="L494" s="23">
        <v>100</v>
      </c>
      <c r="M494" s="23">
        <v>100</v>
      </c>
      <c r="N494" s="23">
        <v>50</v>
      </c>
      <c r="O494" s="30">
        <v>50</v>
      </c>
      <c r="P494" s="31"/>
      <c r="Q494" s="11">
        <v>700</v>
      </c>
      <c r="S494" s="18" t="str">
        <f t="shared" si="14"/>
        <v>Dr. B.B. Hegde First Grade College, Kundapura, Udupi.</v>
      </c>
      <c r="T494" s="18" t="str">
        <f t="shared" si="15"/>
        <v/>
      </c>
    </row>
    <row r="495" spans="5:20">
      <c r="E495" s="32" t="s">
        <v>399</v>
      </c>
      <c r="F495" s="31"/>
      <c r="G495" s="11" t="s">
        <v>65</v>
      </c>
      <c r="H495" s="23" t="s">
        <v>71</v>
      </c>
      <c r="I495" s="23" t="s">
        <v>88</v>
      </c>
      <c r="J495" s="23" t="s">
        <v>71</v>
      </c>
      <c r="K495" s="23" t="s">
        <v>67</v>
      </c>
      <c r="L495" s="23" t="s">
        <v>71</v>
      </c>
      <c r="M495" s="23" t="s">
        <v>88</v>
      </c>
      <c r="N495" s="23" t="s">
        <v>88</v>
      </c>
      <c r="O495" s="30" t="s">
        <v>71</v>
      </c>
      <c r="P495" s="31"/>
      <c r="Q495" s="11" t="s">
        <v>37</v>
      </c>
      <c r="S495" s="18" t="str">
        <f t="shared" si="14"/>
        <v>00034</v>
      </c>
      <c r="T495" s="18" t="str">
        <f t="shared" si="15"/>
        <v>Total</v>
      </c>
    </row>
    <row r="496" spans="5:20">
      <c r="E496" s="15" t="s">
        <v>72</v>
      </c>
      <c r="F496" s="15" t="s">
        <v>400</v>
      </c>
      <c r="G496" s="11" t="s">
        <v>74</v>
      </c>
      <c r="H496" s="23" t="s">
        <v>75</v>
      </c>
      <c r="I496" s="23" t="s">
        <v>75</v>
      </c>
      <c r="J496" s="23" t="s">
        <v>75</v>
      </c>
      <c r="K496" s="23" t="s">
        <v>75</v>
      </c>
      <c r="L496" s="23" t="s">
        <v>75</v>
      </c>
      <c r="M496" s="23" t="s">
        <v>75</v>
      </c>
      <c r="N496" s="23" t="s">
        <v>75</v>
      </c>
      <c r="O496" s="30" t="s">
        <v>75</v>
      </c>
      <c r="P496" s="31"/>
      <c r="Q496" s="11" t="s">
        <v>37</v>
      </c>
      <c r="S496" s="18" t="str">
        <f t="shared" si="14"/>
        <v>USN</v>
      </c>
      <c r="T496" s="18" t="str">
        <f t="shared" si="15"/>
        <v/>
      </c>
    </row>
    <row r="497" spans="5:20">
      <c r="E497" s="16" t="s">
        <v>37</v>
      </c>
      <c r="F497" s="16" t="s">
        <v>37</v>
      </c>
      <c r="G497" s="16" t="s">
        <v>37</v>
      </c>
      <c r="H497" s="24" t="s">
        <v>37</v>
      </c>
      <c r="I497" s="24" t="s">
        <v>37</v>
      </c>
      <c r="J497" s="24" t="s">
        <v>37</v>
      </c>
      <c r="K497" s="24" t="s">
        <v>37</v>
      </c>
      <c r="L497" s="24" t="s">
        <v>37</v>
      </c>
      <c r="M497" s="24" t="s">
        <v>37</v>
      </c>
      <c r="N497" s="24" t="s">
        <v>37</v>
      </c>
      <c r="O497" s="41" t="s">
        <v>37</v>
      </c>
      <c r="P497" s="28"/>
      <c r="Q497" s="24" t="s">
        <v>37</v>
      </c>
      <c r="S497" s="18" t="str">
        <f t="shared" si="14"/>
        <v>SAI CHARAN J S</v>
      </c>
      <c r="T497" s="18" t="str">
        <f t="shared" si="15"/>
        <v/>
      </c>
    </row>
    <row r="498" spans="5:20" ht="0" hidden="1" customHeight="1">
      <c r="S498" s="18">
        <f t="shared" si="14"/>
        <v>0</v>
      </c>
      <c r="T498" s="18">
        <f t="shared" si="15"/>
        <v>5</v>
      </c>
    </row>
    <row r="499" spans="5:20" ht="0.6" customHeight="1">
      <c r="S499" s="18">
        <f t="shared" si="14"/>
        <v>0</v>
      </c>
      <c r="T499" s="18">
        <f t="shared" si="15"/>
        <v>25</v>
      </c>
    </row>
    <row r="500" spans="5:20">
      <c r="E500" s="38" t="s">
        <v>35</v>
      </c>
      <c r="F500" s="31"/>
      <c r="G500" s="19" t="s">
        <v>36</v>
      </c>
      <c r="H500" s="20" t="s">
        <v>37</v>
      </c>
      <c r="I500" s="20" t="s">
        <v>37</v>
      </c>
      <c r="J500" s="20" t="s">
        <v>37</v>
      </c>
      <c r="K500" s="20" t="s">
        <v>37</v>
      </c>
      <c r="L500" s="20" t="s">
        <v>37</v>
      </c>
      <c r="M500" s="20" t="s">
        <v>37</v>
      </c>
      <c r="N500" s="20" t="s">
        <v>37</v>
      </c>
      <c r="O500" s="39" t="s">
        <v>37</v>
      </c>
      <c r="P500" s="28"/>
      <c r="Q500" s="20" t="s">
        <v>37</v>
      </c>
      <c r="S500" s="18" t="str">
        <f t="shared" si="14"/>
        <v>SGPA</v>
      </c>
      <c r="T500" s="18" t="str">
        <f t="shared" si="15"/>
        <v/>
      </c>
    </row>
    <row r="501" spans="5:20" ht="21">
      <c r="E501" s="32" t="s">
        <v>401</v>
      </c>
      <c r="F501" s="31"/>
      <c r="G501" s="22" t="s">
        <v>39</v>
      </c>
      <c r="H501" s="22" t="s">
        <v>19</v>
      </c>
      <c r="I501" s="22" t="s">
        <v>9</v>
      </c>
      <c r="J501" s="22" t="s">
        <v>21</v>
      </c>
      <c r="K501" s="22" t="s">
        <v>11</v>
      </c>
      <c r="L501" s="22" t="s">
        <v>17</v>
      </c>
      <c r="M501" s="22" t="s">
        <v>27</v>
      </c>
      <c r="N501" s="22" t="s">
        <v>7</v>
      </c>
      <c r="O501" s="40" t="s">
        <v>33</v>
      </c>
      <c r="P501" s="31"/>
      <c r="Q501" s="22" t="s">
        <v>40</v>
      </c>
      <c r="S501" s="18" t="str">
        <f t="shared" si="14"/>
        <v>CGPA</v>
      </c>
      <c r="T501" s="18">
        <f t="shared" si="15"/>
        <v>172</v>
      </c>
    </row>
    <row r="502" spans="5:20" ht="22.5">
      <c r="E502" s="21" t="s">
        <v>41</v>
      </c>
      <c r="F502" s="21" t="s">
        <v>402</v>
      </c>
      <c r="G502" s="11" t="s">
        <v>43</v>
      </c>
      <c r="H502" s="23" t="s">
        <v>268</v>
      </c>
      <c r="I502" s="23" t="s">
        <v>403</v>
      </c>
      <c r="J502" s="23" t="s">
        <v>404</v>
      </c>
      <c r="K502" s="23" t="s">
        <v>405</v>
      </c>
      <c r="L502" s="23" t="s">
        <v>406</v>
      </c>
      <c r="M502" s="23" t="s">
        <v>407</v>
      </c>
      <c r="N502" s="23" t="s">
        <v>408</v>
      </c>
      <c r="O502" s="30" t="s">
        <v>51</v>
      </c>
      <c r="P502" s="31"/>
      <c r="Q502" s="11" t="s">
        <v>37</v>
      </c>
      <c r="S502" s="18" t="str">
        <f t="shared" si="14"/>
        <v>Result: PASS</v>
      </c>
      <c r="T502" s="18">
        <f t="shared" si="15"/>
        <v>452</v>
      </c>
    </row>
    <row r="503" spans="5:20">
      <c r="E503" s="32" t="s">
        <v>409</v>
      </c>
      <c r="F503" s="33"/>
      <c r="G503" s="11" t="s">
        <v>53</v>
      </c>
      <c r="H503" s="23" t="s">
        <v>51</v>
      </c>
      <c r="I503" s="23" t="s">
        <v>51</v>
      </c>
      <c r="J503" s="23" t="s">
        <v>51</v>
      </c>
      <c r="K503" s="23" t="s">
        <v>51</v>
      </c>
      <c r="L503" s="23" t="s">
        <v>51</v>
      </c>
      <c r="M503" s="23" t="s">
        <v>51</v>
      </c>
      <c r="N503" s="23" t="s">
        <v>51</v>
      </c>
      <c r="O503" s="30" t="s">
        <v>125</v>
      </c>
      <c r="P503" s="31"/>
      <c r="Q503" s="11" t="s">
        <v>37</v>
      </c>
      <c r="S503" s="18" t="str">
        <f t="shared" si="14"/>
        <v>Class</v>
      </c>
      <c r="T503" s="18">
        <f t="shared" si="15"/>
        <v>700</v>
      </c>
    </row>
    <row r="504" spans="5:20">
      <c r="E504" s="34"/>
      <c r="F504" s="35"/>
      <c r="G504" s="11" t="s">
        <v>55</v>
      </c>
      <c r="H504" s="23" t="s">
        <v>37</v>
      </c>
      <c r="I504" s="23" t="s">
        <v>37</v>
      </c>
      <c r="J504" s="23">
        <v>5</v>
      </c>
      <c r="K504" s="23" t="s">
        <v>37</v>
      </c>
      <c r="L504" s="23" t="s">
        <v>37</v>
      </c>
      <c r="M504" s="23" t="s">
        <v>37</v>
      </c>
      <c r="N504" s="23" t="s">
        <v>37</v>
      </c>
      <c r="O504" s="30" t="s">
        <v>37</v>
      </c>
      <c r="P504" s="31"/>
      <c r="Q504" s="11">
        <v>5</v>
      </c>
      <c r="S504" s="18" t="str">
        <f t="shared" si="14"/>
        <v>Term Grade: AB+</v>
      </c>
      <c r="T504" s="18" t="str">
        <f t="shared" si="15"/>
        <v/>
      </c>
    </row>
    <row r="505" spans="5:20">
      <c r="E505" s="36"/>
      <c r="F505" s="37"/>
      <c r="G505" s="11" t="s">
        <v>56</v>
      </c>
      <c r="H505" s="23">
        <v>4</v>
      </c>
      <c r="I505" s="23">
        <v>4</v>
      </c>
      <c r="J505" s="23">
        <v>4</v>
      </c>
      <c r="K505" s="23">
        <v>3</v>
      </c>
      <c r="L505" s="23">
        <v>3</v>
      </c>
      <c r="M505" s="23">
        <v>3</v>
      </c>
      <c r="N505" s="23">
        <v>2</v>
      </c>
      <c r="O505" s="30">
        <v>2</v>
      </c>
      <c r="P505" s="31"/>
      <c r="Q505" s="11">
        <v>25</v>
      </c>
      <c r="S505" s="18" t="str">
        <f t="shared" si="14"/>
        <v>M.C.No</v>
      </c>
      <c r="T505" s="18" t="str">
        <f t="shared" si="15"/>
        <v/>
      </c>
    </row>
    <row r="506" spans="5:20">
      <c r="E506" s="21" t="s">
        <v>57</v>
      </c>
      <c r="F506" s="21">
        <v>6.88</v>
      </c>
      <c r="G506" s="11" t="s">
        <v>58</v>
      </c>
      <c r="H506" s="23">
        <v>6.5</v>
      </c>
      <c r="I506" s="23">
        <v>8</v>
      </c>
      <c r="J506" s="23">
        <v>5.5</v>
      </c>
      <c r="K506" s="23">
        <v>6.5</v>
      </c>
      <c r="L506" s="23">
        <v>5</v>
      </c>
      <c r="M506" s="23">
        <v>6.5</v>
      </c>
      <c r="N506" s="23">
        <v>9.5</v>
      </c>
      <c r="O506" s="30">
        <v>9.5</v>
      </c>
      <c r="P506" s="31"/>
      <c r="Q506" s="11" t="s">
        <v>37</v>
      </c>
      <c r="S506" s="18" t="str">
        <f t="shared" si="14"/>
        <v/>
      </c>
      <c r="T506" s="18" t="str">
        <f t="shared" si="15"/>
        <v/>
      </c>
    </row>
    <row r="507" spans="5:20">
      <c r="E507" s="21" t="s">
        <v>59</v>
      </c>
      <c r="F507" s="14">
        <v>6.88</v>
      </c>
      <c r="G507" s="11" t="s">
        <v>60</v>
      </c>
      <c r="H507" s="23">
        <v>26</v>
      </c>
      <c r="I507" s="23">
        <v>32</v>
      </c>
      <c r="J507" s="23">
        <v>22</v>
      </c>
      <c r="K507" s="23">
        <v>19.5</v>
      </c>
      <c r="L507" s="23">
        <v>15</v>
      </c>
      <c r="M507" s="23">
        <v>19.5</v>
      </c>
      <c r="N507" s="23">
        <v>19</v>
      </c>
      <c r="O507" s="30">
        <v>19</v>
      </c>
      <c r="P507" s="31"/>
      <c r="Q507" s="11">
        <v>172</v>
      </c>
      <c r="S507" s="18">
        <f t="shared" si="14"/>
        <v>0</v>
      </c>
      <c r="T507" s="18">
        <f t="shared" si="15"/>
        <v>0</v>
      </c>
    </row>
    <row r="508" spans="5:20">
      <c r="E508" s="32" t="s">
        <v>61</v>
      </c>
      <c r="F508" s="31"/>
      <c r="G508" s="11" t="s">
        <v>40</v>
      </c>
      <c r="H508" s="23">
        <v>60</v>
      </c>
      <c r="I508" s="23">
        <v>75</v>
      </c>
      <c r="J508" s="23">
        <v>51</v>
      </c>
      <c r="K508" s="23">
        <v>64</v>
      </c>
      <c r="L508" s="23">
        <v>48</v>
      </c>
      <c r="M508" s="23">
        <v>62</v>
      </c>
      <c r="N508" s="23">
        <v>46</v>
      </c>
      <c r="O508" s="30">
        <v>46</v>
      </c>
      <c r="P508" s="31"/>
      <c r="Q508" s="11">
        <v>452</v>
      </c>
      <c r="S508" s="18">
        <f t="shared" si="14"/>
        <v>0</v>
      </c>
      <c r="T508" s="18">
        <f t="shared" si="15"/>
        <v>0</v>
      </c>
    </row>
    <row r="509" spans="5:20">
      <c r="E509" s="21" t="s">
        <v>62</v>
      </c>
      <c r="F509" s="21"/>
      <c r="G509" s="11" t="s">
        <v>63</v>
      </c>
      <c r="H509" s="23">
        <v>100</v>
      </c>
      <c r="I509" s="23">
        <v>100</v>
      </c>
      <c r="J509" s="23">
        <v>100</v>
      </c>
      <c r="K509" s="23">
        <v>100</v>
      </c>
      <c r="L509" s="23">
        <v>100</v>
      </c>
      <c r="M509" s="23">
        <v>100</v>
      </c>
      <c r="N509" s="23">
        <v>50</v>
      </c>
      <c r="O509" s="30">
        <v>50</v>
      </c>
      <c r="P509" s="31"/>
      <c r="Q509" s="11">
        <v>700</v>
      </c>
      <c r="S509" s="18" t="str">
        <f t="shared" si="14"/>
        <v>Dr. B.B. Hegde First Grade College, Kundapura, Udupi.</v>
      </c>
      <c r="T509" s="18" t="str">
        <f t="shared" si="15"/>
        <v/>
      </c>
    </row>
    <row r="510" spans="5:20">
      <c r="E510" s="32" t="s">
        <v>126</v>
      </c>
      <c r="F510" s="31"/>
      <c r="G510" s="11" t="s">
        <v>65</v>
      </c>
      <c r="H510" s="23" t="s">
        <v>69</v>
      </c>
      <c r="I510" s="23" t="s">
        <v>102</v>
      </c>
      <c r="J510" s="23" t="s">
        <v>138</v>
      </c>
      <c r="K510" s="23" t="s">
        <v>69</v>
      </c>
      <c r="L510" s="23" t="s">
        <v>127</v>
      </c>
      <c r="M510" s="23" t="s">
        <v>69</v>
      </c>
      <c r="N510" s="23" t="s">
        <v>71</v>
      </c>
      <c r="O510" s="30" t="s">
        <v>71</v>
      </c>
      <c r="P510" s="31"/>
      <c r="Q510" s="11" t="s">
        <v>37</v>
      </c>
      <c r="S510" s="18" t="str">
        <f t="shared" si="14"/>
        <v>00035</v>
      </c>
      <c r="T510" s="18" t="str">
        <f t="shared" si="15"/>
        <v>Total</v>
      </c>
    </row>
    <row r="511" spans="5:20">
      <c r="E511" s="15" t="s">
        <v>72</v>
      </c>
      <c r="F511" s="15" t="s">
        <v>410</v>
      </c>
      <c r="G511" s="11" t="s">
        <v>74</v>
      </c>
      <c r="H511" s="23" t="s">
        <v>75</v>
      </c>
      <c r="I511" s="23" t="s">
        <v>75</v>
      </c>
      <c r="J511" s="23" t="s">
        <v>75</v>
      </c>
      <c r="K511" s="23" t="s">
        <v>75</v>
      </c>
      <c r="L511" s="23" t="s">
        <v>75</v>
      </c>
      <c r="M511" s="23" t="s">
        <v>75</v>
      </c>
      <c r="N511" s="23" t="s">
        <v>75</v>
      </c>
      <c r="O511" s="30" t="s">
        <v>75</v>
      </c>
      <c r="P511" s="31"/>
      <c r="Q511" s="11" t="s">
        <v>37</v>
      </c>
      <c r="S511" s="18" t="str">
        <f t="shared" si="14"/>
        <v>USN</v>
      </c>
      <c r="T511" s="18" t="str">
        <f t="shared" si="15"/>
        <v/>
      </c>
    </row>
    <row r="512" spans="5:20">
      <c r="E512" s="16" t="s">
        <v>37</v>
      </c>
      <c r="F512" s="16" t="s">
        <v>37</v>
      </c>
      <c r="G512" s="16" t="s">
        <v>37</v>
      </c>
      <c r="H512" s="24" t="s">
        <v>37</v>
      </c>
      <c r="I512" s="24" t="s">
        <v>37</v>
      </c>
      <c r="J512" s="24" t="s">
        <v>37</v>
      </c>
      <c r="K512" s="24" t="s">
        <v>37</v>
      </c>
      <c r="L512" s="24" t="s">
        <v>37</v>
      </c>
      <c r="M512" s="24" t="s">
        <v>37</v>
      </c>
      <c r="N512" s="24" t="s">
        <v>37</v>
      </c>
      <c r="O512" s="41" t="s">
        <v>37</v>
      </c>
      <c r="P512" s="28"/>
      <c r="Q512" s="24" t="s">
        <v>37</v>
      </c>
      <c r="S512" s="18" t="str">
        <f t="shared" si="14"/>
        <v>NITHESH</v>
      </c>
      <c r="T512" s="18" t="str">
        <f t="shared" si="15"/>
        <v/>
      </c>
    </row>
    <row r="513" spans="5:20" ht="0" hidden="1" customHeight="1">
      <c r="S513" s="18">
        <f t="shared" si="14"/>
        <v>0</v>
      </c>
      <c r="T513" s="18">
        <f t="shared" si="15"/>
        <v>0</v>
      </c>
    </row>
    <row r="514" spans="5:20" ht="0.6" customHeight="1">
      <c r="S514" s="18">
        <f t="shared" si="14"/>
        <v>0</v>
      </c>
      <c r="T514" s="18">
        <f t="shared" si="15"/>
        <v>21</v>
      </c>
    </row>
    <row r="515" spans="5:20">
      <c r="E515" s="38" t="s">
        <v>35</v>
      </c>
      <c r="F515" s="31"/>
      <c r="G515" s="19" t="s">
        <v>36</v>
      </c>
      <c r="H515" s="20" t="s">
        <v>37</v>
      </c>
      <c r="I515" s="20" t="s">
        <v>37</v>
      </c>
      <c r="J515" s="20" t="s">
        <v>37</v>
      </c>
      <c r="K515" s="20" t="s">
        <v>37</v>
      </c>
      <c r="L515" s="20" t="s">
        <v>37</v>
      </c>
      <c r="M515" s="20" t="s">
        <v>37</v>
      </c>
      <c r="N515" s="20" t="s">
        <v>37</v>
      </c>
      <c r="O515" s="39" t="s">
        <v>37</v>
      </c>
      <c r="P515" s="28"/>
      <c r="Q515" s="20" t="s">
        <v>37</v>
      </c>
      <c r="S515" s="18" t="str">
        <f t="shared" si="14"/>
        <v>SGPA</v>
      </c>
      <c r="T515" s="18" t="str">
        <f t="shared" si="15"/>
        <v/>
      </c>
    </row>
    <row r="516" spans="5:20" ht="21">
      <c r="E516" s="32" t="s">
        <v>411</v>
      </c>
      <c r="F516" s="31"/>
      <c r="G516" s="22" t="s">
        <v>39</v>
      </c>
      <c r="H516" s="22" t="s">
        <v>19</v>
      </c>
      <c r="I516" s="22" t="s">
        <v>9</v>
      </c>
      <c r="J516" s="22" t="s">
        <v>21</v>
      </c>
      <c r="K516" s="22" t="s">
        <v>11</v>
      </c>
      <c r="L516" s="22" t="s">
        <v>17</v>
      </c>
      <c r="M516" s="22" t="s">
        <v>27</v>
      </c>
      <c r="N516" s="22" t="s">
        <v>7</v>
      </c>
      <c r="O516" s="40" t="s">
        <v>29</v>
      </c>
      <c r="P516" s="31"/>
      <c r="Q516" s="22" t="s">
        <v>40</v>
      </c>
      <c r="S516" s="18" t="str">
        <f t="shared" si="14"/>
        <v>CGPA</v>
      </c>
      <c r="T516" s="18">
        <f t="shared" si="15"/>
        <v>132.5</v>
      </c>
    </row>
    <row r="517" spans="5:20" ht="22.5">
      <c r="E517" s="21" t="s">
        <v>41</v>
      </c>
      <c r="F517" s="21" t="s">
        <v>412</v>
      </c>
      <c r="G517" s="11" t="s">
        <v>43</v>
      </c>
      <c r="H517" s="23" t="s">
        <v>413</v>
      </c>
      <c r="I517" s="23" t="s">
        <v>414</v>
      </c>
      <c r="J517" s="23" t="s">
        <v>415</v>
      </c>
      <c r="K517" s="23" t="s">
        <v>297</v>
      </c>
      <c r="L517" s="23" t="s">
        <v>416</v>
      </c>
      <c r="M517" s="23" t="s">
        <v>417</v>
      </c>
      <c r="N517" s="23" t="s">
        <v>418</v>
      </c>
      <c r="O517" s="30" t="s">
        <v>51</v>
      </c>
      <c r="P517" s="31"/>
      <c r="Q517" s="11" t="s">
        <v>37</v>
      </c>
      <c r="S517" s="18" t="str">
        <f t="shared" si="14"/>
        <v>Result: FAIL</v>
      </c>
      <c r="T517" s="18">
        <f t="shared" si="15"/>
        <v>385</v>
      </c>
    </row>
    <row r="518" spans="5:20">
      <c r="E518" s="32" t="s">
        <v>419</v>
      </c>
      <c r="F518" s="33"/>
      <c r="G518" s="11" t="s">
        <v>53</v>
      </c>
      <c r="H518" s="23" t="s">
        <v>51</v>
      </c>
      <c r="I518" s="23" t="s">
        <v>51</v>
      </c>
      <c r="J518" s="23" t="s">
        <v>51</v>
      </c>
      <c r="K518" s="23" t="s">
        <v>51</v>
      </c>
      <c r="L518" s="23" t="s">
        <v>51</v>
      </c>
      <c r="M518" s="23" t="s">
        <v>51</v>
      </c>
      <c r="N518" s="23" t="s">
        <v>51</v>
      </c>
      <c r="O518" s="30" t="s">
        <v>178</v>
      </c>
      <c r="P518" s="31"/>
      <c r="Q518" s="11" t="s">
        <v>37</v>
      </c>
      <c r="S518" s="18" t="str">
        <f t="shared" si="14"/>
        <v>Class</v>
      </c>
      <c r="T518" s="18">
        <f t="shared" si="15"/>
        <v>700</v>
      </c>
    </row>
    <row r="519" spans="5:20">
      <c r="E519" s="34"/>
      <c r="F519" s="35"/>
      <c r="G519" s="11" t="s">
        <v>55</v>
      </c>
      <c r="H519" s="23" t="s">
        <v>37</v>
      </c>
      <c r="I519" s="23" t="s">
        <v>37</v>
      </c>
      <c r="J519" s="23" t="s">
        <v>37</v>
      </c>
      <c r="K519" s="23" t="s">
        <v>37</v>
      </c>
      <c r="L519" s="23" t="s">
        <v>37</v>
      </c>
      <c r="M519" s="23" t="s">
        <v>37</v>
      </c>
      <c r="N519" s="23" t="s">
        <v>37</v>
      </c>
      <c r="O519" s="30" t="s">
        <v>37</v>
      </c>
      <c r="P519" s="31"/>
      <c r="Q519" s="11">
        <v>0</v>
      </c>
      <c r="S519" s="18" t="str">
        <f t="shared" si="14"/>
        <v>Term Grade: BB</v>
      </c>
      <c r="T519" s="18" t="str">
        <f t="shared" si="15"/>
        <v/>
      </c>
    </row>
    <row r="520" spans="5:20">
      <c r="E520" s="36"/>
      <c r="F520" s="37"/>
      <c r="G520" s="11" t="s">
        <v>56</v>
      </c>
      <c r="H520" s="23">
        <v>4</v>
      </c>
      <c r="I520" s="23">
        <v>4</v>
      </c>
      <c r="J520" s="23">
        <v>4</v>
      </c>
      <c r="K520" s="23">
        <v>3</v>
      </c>
      <c r="L520" s="23">
        <v>3</v>
      </c>
      <c r="M520" s="23">
        <v>3</v>
      </c>
      <c r="N520" s="23">
        <v>2</v>
      </c>
      <c r="O520" s="30">
        <v>2</v>
      </c>
      <c r="P520" s="31"/>
      <c r="Q520" s="11">
        <v>21</v>
      </c>
      <c r="S520" s="18" t="str">
        <f t="shared" si="14"/>
        <v>M.C.No</v>
      </c>
      <c r="T520" s="18" t="str">
        <f t="shared" si="15"/>
        <v/>
      </c>
    </row>
    <row r="521" spans="5:20">
      <c r="E521" s="21" t="s">
        <v>57</v>
      </c>
      <c r="F521" s="21">
        <v>5.3</v>
      </c>
      <c r="G521" s="11" t="s">
        <v>58</v>
      </c>
      <c r="H521" s="23">
        <v>5.5</v>
      </c>
      <c r="I521" s="23">
        <v>6.5</v>
      </c>
      <c r="J521" s="23"/>
      <c r="K521" s="23">
        <v>4.5</v>
      </c>
      <c r="L521" s="23">
        <v>6</v>
      </c>
      <c r="M521" s="23">
        <v>7</v>
      </c>
      <c r="N521" s="23">
        <v>6.5</v>
      </c>
      <c r="O521" s="30">
        <v>9.5</v>
      </c>
      <c r="P521" s="31"/>
      <c r="Q521" s="11" t="s">
        <v>37</v>
      </c>
      <c r="S521" s="18" t="str">
        <f t="shared" si="14"/>
        <v/>
      </c>
      <c r="T521" s="18" t="str">
        <f t="shared" si="15"/>
        <v/>
      </c>
    </row>
    <row r="522" spans="5:20">
      <c r="E522" s="21" t="s">
        <v>59</v>
      </c>
      <c r="F522" s="21"/>
      <c r="G522" s="11" t="s">
        <v>60</v>
      </c>
      <c r="H522" s="23">
        <v>22</v>
      </c>
      <c r="I522" s="23">
        <v>26</v>
      </c>
      <c r="J522" s="23"/>
      <c r="K522" s="23">
        <v>13.5</v>
      </c>
      <c r="L522" s="23">
        <v>18</v>
      </c>
      <c r="M522" s="23">
        <v>21</v>
      </c>
      <c r="N522" s="23">
        <v>13</v>
      </c>
      <c r="O522" s="30">
        <v>19</v>
      </c>
      <c r="P522" s="31"/>
      <c r="Q522" s="11">
        <v>132.5</v>
      </c>
      <c r="S522" s="18">
        <f t="shared" si="14"/>
        <v>0</v>
      </c>
      <c r="T522" s="18">
        <f t="shared" si="15"/>
        <v>0</v>
      </c>
    </row>
    <row r="523" spans="5:20">
      <c r="E523" s="32" t="s">
        <v>260</v>
      </c>
      <c r="F523" s="31"/>
      <c r="G523" s="11" t="s">
        <v>40</v>
      </c>
      <c r="H523" s="23">
        <v>52</v>
      </c>
      <c r="I523" s="23">
        <v>62</v>
      </c>
      <c r="J523" s="23">
        <v>22</v>
      </c>
      <c r="K523" s="23">
        <v>44</v>
      </c>
      <c r="L523" s="23">
        <v>59</v>
      </c>
      <c r="M523" s="23">
        <v>68</v>
      </c>
      <c r="N523" s="23">
        <v>31</v>
      </c>
      <c r="O523" s="30">
        <v>47</v>
      </c>
      <c r="P523" s="31"/>
      <c r="Q523" s="11">
        <v>385</v>
      </c>
      <c r="S523" s="18">
        <f t="shared" si="14"/>
        <v>0</v>
      </c>
      <c r="T523" s="18">
        <f t="shared" si="15"/>
        <v>0</v>
      </c>
    </row>
    <row r="524" spans="5:20">
      <c r="E524" s="21" t="s">
        <v>62</v>
      </c>
      <c r="F524" s="21"/>
      <c r="G524" s="11" t="s">
        <v>63</v>
      </c>
      <c r="H524" s="23">
        <v>100</v>
      </c>
      <c r="I524" s="23">
        <v>100</v>
      </c>
      <c r="J524" s="23">
        <v>100</v>
      </c>
      <c r="K524" s="23">
        <v>100</v>
      </c>
      <c r="L524" s="23">
        <v>100</v>
      </c>
      <c r="M524" s="23">
        <v>100</v>
      </c>
      <c r="N524" s="23">
        <v>50</v>
      </c>
      <c r="O524" s="30">
        <v>50</v>
      </c>
      <c r="P524" s="31"/>
      <c r="Q524" s="11">
        <v>700</v>
      </c>
      <c r="S524" s="18" t="str">
        <f t="shared" ref="S524:S587" si="16">$E530</f>
        <v>Dr. B.B. Hegde First Grade College, Kundapura, Udupi.</v>
      </c>
      <c r="T524" s="18" t="str">
        <f t="shared" ref="T524:T587" si="17">$Q530</f>
        <v/>
      </c>
    </row>
    <row r="525" spans="5:20">
      <c r="E525" s="32" t="s">
        <v>339</v>
      </c>
      <c r="F525" s="31"/>
      <c r="G525" s="11" t="s">
        <v>65</v>
      </c>
      <c r="H525" s="23" t="s">
        <v>138</v>
      </c>
      <c r="I525" s="23" t="s">
        <v>69</v>
      </c>
      <c r="J525" s="23"/>
      <c r="K525" s="23" t="s">
        <v>303</v>
      </c>
      <c r="L525" s="23" t="s">
        <v>103</v>
      </c>
      <c r="M525" s="23" t="s">
        <v>66</v>
      </c>
      <c r="N525" s="23" t="s">
        <v>69</v>
      </c>
      <c r="O525" s="30" t="s">
        <v>71</v>
      </c>
      <c r="P525" s="31"/>
      <c r="Q525" s="11" t="s">
        <v>37</v>
      </c>
      <c r="S525" s="18" t="str">
        <f t="shared" si="16"/>
        <v>00036</v>
      </c>
      <c r="T525" s="18" t="str">
        <f t="shared" si="17"/>
        <v>Total</v>
      </c>
    </row>
    <row r="526" spans="5:20">
      <c r="E526" s="15" t="s">
        <v>72</v>
      </c>
      <c r="F526" s="15" t="s">
        <v>420</v>
      </c>
      <c r="G526" s="11" t="s">
        <v>74</v>
      </c>
      <c r="H526" s="23" t="s">
        <v>75</v>
      </c>
      <c r="I526" s="23" t="s">
        <v>75</v>
      </c>
      <c r="J526" s="23" t="s">
        <v>263</v>
      </c>
      <c r="K526" s="23" t="s">
        <v>75</v>
      </c>
      <c r="L526" s="23" t="s">
        <v>75</v>
      </c>
      <c r="M526" s="23" t="s">
        <v>75</v>
      </c>
      <c r="N526" s="23" t="s">
        <v>75</v>
      </c>
      <c r="O526" s="30" t="s">
        <v>75</v>
      </c>
      <c r="P526" s="31"/>
      <c r="Q526" s="11" t="s">
        <v>37</v>
      </c>
      <c r="S526" s="18" t="str">
        <f t="shared" si="16"/>
        <v>USN</v>
      </c>
      <c r="T526" s="18" t="str">
        <f t="shared" si="17"/>
        <v/>
      </c>
    </row>
    <row r="527" spans="5:20">
      <c r="E527" s="16" t="s">
        <v>37</v>
      </c>
      <c r="F527" s="16" t="s">
        <v>37</v>
      </c>
      <c r="G527" s="16" t="s">
        <v>37</v>
      </c>
      <c r="H527" s="24" t="s">
        <v>37</v>
      </c>
      <c r="I527" s="24" t="s">
        <v>37</v>
      </c>
      <c r="J527" s="24" t="s">
        <v>37</v>
      </c>
      <c r="K527" s="24" t="s">
        <v>37</v>
      </c>
      <c r="L527" s="24" t="s">
        <v>37</v>
      </c>
      <c r="M527" s="24" t="s">
        <v>37</v>
      </c>
      <c r="N527" s="24" t="s">
        <v>37</v>
      </c>
      <c r="O527" s="41" t="s">
        <v>37</v>
      </c>
      <c r="P527" s="28"/>
      <c r="Q527" s="24" t="s">
        <v>37</v>
      </c>
      <c r="S527" s="18" t="str">
        <f t="shared" si="16"/>
        <v>RASHMITHA NARAYANA THOLAR</v>
      </c>
      <c r="T527" s="18" t="str">
        <f t="shared" si="17"/>
        <v/>
      </c>
    </row>
    <row r="528" spans="5:20" ht="0" hidden="1" customHeight="1">
      <c r="S528" s="18">
        <f t="shared" si="16"/>
        <v>0</v>
      </c>
      <c r="T528" s="18">
        <f t="shared" si="17"/>
        <v>0</v>
      </c>
    </row>
    <row r="529" spans="5:20" ht="0.6" customHeight="1">
      <c r="S529" s="18">
        <f t="shared" si="16"/>
        <v>0</v>
      </c>
      <c r="T529" s="18">
        <f t="shared" si="17"/>
        <v>25</v>
      </c>
    </row>
    <row r="530" spans="5:20">
      <c r="E530" s="38" t="s">
        <v>35</v>
      </c>
      <c r="F530" s="31"/>
      <c r="G530" s="19" t="s">
        <v>36</v>
      </c>
      <c r="H530" s="20" t="s">
        <v>37</v>
      </c>
      <c r="I530" s="20" t="s">
        <v>37</v>
      </c>
      <c r="J530" s="20" t="s">
        <v>37</v>
      </c>
      <c r="K530" s="20" t="s">
        <v>37</v>
      </c>
      <c r="L530" s="20" t="s">
        <v>37</v>
      </c>
      <c r="M530" s="20" t="s">
        <v>37</v>
      </c>
      <c r="N530" s="20" t="s">
        <v>37</v>
      </c>
      <c r="O530" s="39" t="s">
        <v>37</v>
      </c>
      <c r="P530" s="28"/>
      <c r="Q530" s="20" t="s">
        <v>37</v>
      </c>
      <c r="S530" s="18" t="str">
        <f t="shared" si="16"/>
        <v>SGPA</v>
      </c>
      <c r="T530" s="18" t="str">
        <f t="shared" si="17"/>
        <v/>
      </c>
    </row>
    <row r="531" spans="5:20" ht="21">
      <c r="E531" s="32" t="s">
        <v>421</v>
      </c>
      <c r="F531" s="31"/>
      <c r="G531" s="22" t="s">
        <v>39</v>
      </c>
      <c r="H531" s="22" t="s">
        <v>19</v>
      </c>
      <c r="I531" s="22" t="s">
        <v>9</v>
      </c>
      <c r="J531" s="22" t="s">
        <v>21</v>
      </c>
      <c r="K531" s="22" t="s">
        <v>11</v>
      </c>
      <c r="L531" s="22" t="s">
        <v>17</v>
      </c>
      <c r="M531" s="22" t="s">
        <v>27</v>
      </c>
      <c r="N531" s="22" t="s">
        <v>7</v>
      </c>
      <c r="O531" s="40" t="s">
        <v>25</v>
      </c>
      <c r="P531" s="31"/>
      <c r="Q531" s="22" t="s">
        <v>40</v>
      </c>
      <c r="S531" s="18" t="str">
        <f t="shared" si="16"/>
        <v>CGPA</v>
      </c>
      <c r="T531" s="18">
        <f t="shared" si="17"/>
        <v>213.5</v>
      </c>
    </row>
    <row r="532" spans="5:20" ht="22.5">
      <c r="E532" s="21" t="s">
        <v>41</v>
      </c>
      <c r="F532" s="21" t="s">
        <v>422</v>
      </c>
      <c r="G532" s="11" t="s">
        <v>43</v>
      </c>
      <c r="H532" s="23" t="s">
        <v>423</v>
      </c>
      <c r="I532" s="23" t="s">
        <v>424</v>
      </c>
      <c r="J532" s="23" t="s">
        <v>425</v>
      </c>
      <c r="K532" s="23" t="s">
        <v>92</v>
      </c>
      <c r="L532" s="23" t="s">
        <v>426</v>
      </c>
      <c r="M532" s="23" t="s">
        <v>427</v>
      </c>
      <c r="N532" s="23" t="s">
        <v>84</v>
      </c>
      <c r="O532" s="30" t="s">
        <v>51</v>
      </c>
      <c r="P532" s="31"/>
      <c r="Q532" s="11" t="s">
        <v>37</v>
      </c>
      <c r="S532" s="18" t="str">
        <f t="shared" si="16"/>
        <v>Result: PASS</v>
      </c>
      <c r="T532" s="18">
        <f t="shared" si="17"/>
        <v>575</v>
      </c>
    </row>
    <row r="533" spans="5:20">
      <c r="E533" s="32" t="s">
        <v>428</v>
      </c>
      <c r="F533" s="33"/>
      <c r="G533" s="11" t="s">
        <v>53</v>
      </c>
      <c r="H533" s="23" t="s">
        <v>51</v>
      </c>
      <c r="I533" s="23" t="s">
        <v>51</v>
      </c>
      <c r="J533" s="23" t="s">
        <v>51</v>
      </c>
      <c r="K533" s="23" t="s">
        <v>51</v>
      </c>
      <c r="L533" s="23" t="s">
        <v>51</v>
      </c>
      <c r="M533" s="23" t="s">
        <v>51</v>
      </c>
      <c r="N533" s="23" t="s">
        <v>51</v>
      </c>
      <c r="O533" s="30" t="s">
        <v>54</v>
      </c>
      <c r="P533" s="31"/>
      <c r="Q533" s="11" t="s">
        <v>37</v>
      </c>
      <c r="S533" s="18" t="str">
        <f t="shared" si="16"/>
        <v>Class</v>
      </c>
      <c r="T533" s="18">
        <f t="shared" si="17"/>
        <v>700</v>
      </c>
    </row>
    <row r="534" spans="5:20">
      <c r="E534" s="34"/>
      <c r="F534" s="35"/>
      <c r="G534" s="11" t="s">
        <v>55</v>
      </c>
      <c r="H534" s="23" t="s">
        <v>37</v>
      </c>
      <c r="I534" s="23" t="s">
        <v>37</v>
      </c>
      <c r="J534" s="23" t="s">
        <v>37</v>
      </c>
      <c r="K534" s="23" t="s">
        <v>37</v>
      </c>
      <c r="L534" s="23" t="s">
        <v>37</v>
      </c>
      <c r="M534" s="23" t="s">
        <v>37</v>
      </c>
      <c r="N534" s="23" t="s">
        <v>37</v>
      </c>
      <c r="O534" s="30" t="s">
        <v>37</v>
      </c>
      <c r="P534" s="31"/>
      <c r="Q534" s="11">
        <v>0</v>
      </c>
      <c r="S534" s="18" t="str">
        <f t="shared" si="16"/>
        <v>Term Grade: OA+</v>
      </c>
      <c r="T534" s="18" t="str">
        <f t="shared" si="17"/>
        <v/>
      </c>
    </row>
    <row r="535" spans="5:20">
      <c r="E535" s="36"/>
      <c r="F535" s="37"/>
      <c r="G535" s="11" t="s">
        <v>56</v>
      </c>
      <c r="H535" s="23">
        <v>4</v>
      </c>
      <c r="I535" s="23">
        <v>4</v>
      </c>
      <c r="J535" s="23">
        <v>4</v>
      </c>
      <c r="K535" s="23">
        <v>3</v>
      </c>
      <c r="L535" s="23">
        <v>3</v>
      </c>
      <c r="M535" s="23">
        <v>3</v>
      </c>
      <c r="N535" s="23">
        <v>2</v>
      </c>
      <c r="O535" s="30">
        <v>2</v>
      </c>
      <c r="P535" s="31"/>
      <c r="Q535" s="11">
        <v>25</v>
      </c>
      <c r="S535" s="18" t="str">
        <f t="shared" si="16"/>
        <v>M.C.No</v>
      </c>
      <c r="T535" s="18" t="str">
        <f t="shared" si="17"/>
        <v/>
      </c>
    </row>
    <row r="536" spans="5:20">
      <c r="E536" s="21" t="s">
        <v>57</v>
      </c>
      <c r="F536" s="21">
        <v>8.5399999999999991</v>
      </c>
      <c r="G536" s="11" t="s">
        <v>58</v>
      </c>
      <c r="H536" s="23">
        <v>8</v>
      </c>
      <c r="I536" s="23">
        <v>8.5</v>
      </c>
      <c r="J536" s="23">
        <v>8</v>
      </c>
      <c r="K536" s="23">
        <v>7.5</v>
      </c>
      <c r="L536" s="23">
        <v>9</v>
      </c>
      <c r="M536" s="23">
        <v>9</v>
      </c>
      <c r="N536" s="23">
        <v>10</v>
      </c>
      <c r="O536" s="30">
        <v>9.5</v>
      </c>
      <c r="P536" s="31"/>
      <c r="Q536" s="11" t="s">
        <v>37</v>
      </c>
      <c r="S536" s="18" t="str">
        <f t="shared" si="16"/>
        <v/>
      </c>
      <c r="T536" s="18" t="str">
        <f t="shared" si="17"/>
        <v/>
      </c>
    </row>
    <row r="537" spans="5:20">
      <c r="E537" s="21" t="s">
        <v>59</v>
      </c>
      <c r="F537" s="14">
        <v>8.5399999999999991</v>
      </c>
      <c r="G537" s="11" t="s">
        <v>60</v>
      </c>
      <c r="H537" s="23">
        <v>32</v>
      </c>
      <c r="I537" s="23">
        <v>34</v>
      </c>
      <c r="J537" s="23">
        <v>32</v>
      </c>
      <c r="K537" s="23">
        <v>22.5</v>
      </c>
      <c r="L537" s="23">
        <v>27</v>
      </c>
      <c r="M537" s="23">
        <v>27</v>
      </c>
      <c r="N537" s="23">
        <v>20</v>
      </c>
      <c r="O537" s="30">
        <v>19</v>
      </c>
      <c r="P537" s="31"/>
      <c r="Q537" s="11">
        <v>213.5</v>
      </c>
      <c r="S537" s="18">
        <f t="shared" si="16"/>
        <v>0</v>
      </c>
      <c r="T537" s="18">
        <f t="shared" si="17"/>
        <v>0</v>
      </c>
    </row>
    <row r="538" spans="5:20">
      <c r="E538" s="32" t="s">
        <v>61</v>
      </c>
      <c r="F538" s="31"/>
      <c r="G538" s="11" t="s">
        <v>40</v>
      </c>
      <c r="H538" s="23">
        <v>76</v>
      </c>
      <c r="I538" s="23">
        <v>82</v>
      </c>
      <c r="J538" s="23">
        <v>76</v>
      </c>
      <c r="K538" s="23">
        <v>72</v>
      </c>
      <c r="L538" s="23">
        <v>89</v>
      </c>
      <c r="M538" s="23">
        <v>87</v>
      </c>
      <c r="N538" s="23">
        <v>48</v>
      </c>
      <c r="O538" s="30">
        <v>45</v>
      </c>
      <c r="P538" s="31"/>
      <c r="Q538" s="11">
        <v>575</v>
      </c>
      <c r="S538" s="18">
        <f t="shared" si="16"/>
        <v>0</v>
      </c>
      <c r="T538" s="18">
        <f t="shared" si="17"/>
        <v>0</v>
      </c>
    </row>
    <row r="539" spans="5:20">
      <c r="E539" s="21" t="s">
        <v>62</v>
      </c>
      <c r="F539" s="21"/>
      <c r="G539" s="11" t="s">
        <v>63</v>
      </c>
      <c r="H539" s="23">
        <v>100</v>
      </c>
      <c r="I539" s="23">
        <v>100</v>
      </c>
      <c r="J539" s="23">
        <v>100</v>
      </c>
      <c r="K539" s="23">
        <v>100</v>
      </c>
      <c r="L539" s="23">
        <v>100</v>
      </c>
      <c r="M539" s="23">
        <v>100</v>
      </c>
      <c r="N539" s="23">
        <v>50</v>
      </c>
      <c r="O539" s="30">
        <v>50</v>
      </c>
      <c r="P539" s="31"/>
      <c r="Q539" s="11">
        <v>700</v>
      </c>
      <c r="S539" s="18" t="str">
        <f t="shared" si="16"/>
        <v>Dr. B.B. Hegde First Grade College, Kundapura, Udupi.</v>
      </c>
      <c r="T539" s="18" t="str">
        <f t="shared" si="17"/>
        <v/>
      </c>
    </row>
    <row r="540" spans="5:20">
      <c r="E540" s="32" t="s">
        <v>188</v>
      </c>
      <c r="F540" s="31"/>
      <c r="G540" s="11" t="s">
        <v>65</v>
      </c>
      <c r="H540" s="23" t="s">
        <v>102</v>
      </c>
      <c r="I540" s="23" t="s">
        <v>70</v>
      </c>
      <c r="J540" s="23" t="s">
        <v>102</v>
      </c>
      <c r="K540" s="23" t="s">
        <v>68</v>
      </c>
      <c r="L540" s="23" t="s">
        <v>67</v>
      </c>
      <c r="M540" s="23" t="s">
        <v>67</v>
      </c>
      <c r="N540" s="23" t="s">
        <v>88</v>
      </c>
      <c r="O540" s="30" t="s">
        <v>71</v>
      </c>
      <c r="P540" s="31"/>
      <c r="Q540" s="11" t="s">
        <v>37</v>
      </c>
      <c r="S540" s="18" t="str">
        <f t="shared" si="16"/>
        <v>00037</v>
      </c>
      <c r="T540" s="18" t="str">
        <f t="shared" si="17"/>
        <v>Total</v>
      </c>
    </row>
    <row r="541" spans="5:20">
      <c r="E541" s="15" t="s">
        <v>72</v>
      </c>
      <c r="F541" s="15" t="s">
        <v>429</v>
      </c>
      <c r="G541" s="11" t="s">
        <v>74</v>
      </c>
      <c r="H541" s="23" t="s">
        <v>75</v>
      </c>
      <c r="I541" s="23" t="s">
        <v>75</v>
      </c>
      <c r="J541" s="23" t="s">
        <v>75</v>
      </c>
      <c r="K541" s="23" t="s">
        <v>75</v>
      </c>
      <c r="L541" s="23" t="s">
        <v>75</v>
      </c>
      <c r="M541" s="23" t="s">
        <v>75</v>
      </c>
      <c r="N541" s="23" t="s">
        <v>75</v>
      </c>
      <c r="O541" s="30" t="s">
        <v>75</v>
      </c>
      <c r="P541" s="31"/>
      <c r="Q541" s="11" t="s">
        <v>37</v>
      </c>
      <c r="S541" s="18" t="str">
        <f t="shared" si="16"/>
        <v>USN</v>
      </c>
      <c r="T541" s="18" t="str">
        <f t="shared" si="17"/>
        <v/>
      </c>
    </row>
    <row r="542" spans="5:20">
      <c r="E542" s="16" t="s">
        <v>37</v>
      </c>
      <c r="F542" s="16" t="s">
        <v>37</v>
      </c>
      <c r="G542" s="16" t="s">
        <v>37</v>
      </c>
      <c r="H542" s="24" t="s">
        <v>37</v>
      </c>
      <c r="I542" s="24" t="s">
        <v>37</v>
      </c>
      <c r="J542" s="24" t="s">
        <v>37</v>
      </c>
      <c r="K542" s="24" t="s">
        <v>37</v>
      </c>
      <c r="L542" s="24" t="s">
        <v>37</v>
      </c>
      <c r="M542" s="24" t="s">
        <v>37</v>
      </c>
      <c r="N542" s="24" t="s">
        <v>37</v>
      </c>
      <c r="O542" s="41" t="s">
        <v>37</v>
      </c>
      <c r="P542" s="28"/>
      <c r="Q542" s="24" t="s">
        <v>37</v>
      </c>
      <c r="S542" s="18" t="str">
        <f t="shared" si="16"/>
        <v>RISHMITHA</v>
      </c>
      <c r="T542" s="18" t="str">
        <f t="shared" si="17"/>
        <v/>
      </c>
    </row>
    <row r="543" spans="5:20" ht="0" hidden="1" customHeight="1">
      <c r="S543" s="18">
        <f t="shared" si="16"/>
        <v>0</v>
      </c>
      <c r="T543" s="18">
        <f t="shared" si="17"/>
        <v>0</v>
      </c>
    </row>
    <row r="544" spans="5:20" ht="0.6" customHeight="1">
      <c r="S544" s="18">
        <f t="shared" si="16"/>
        <v>0</v>
      </c>
      <c r="T544" s="18">
        <f t="shared" si="17"/>
        <v>25</v>
      </c>
    </row>
    <row r="545" spans="5:20">
      <c r="E545" s="38" t="s">
        <v>35</v>
      </c>
      <c r="F545" s="31"/>
      <c r="G545" s="19" t="s">
        <v>36</v>
      </c>
      <c r="H545" s="20" t="s">
        <v>37</v>
      </c>
      <c r="I545" s="20" t="s">
        <v>37</v>
      </c>
      <c r="J545" s="20" t="s">
        <v>37</v>
      </c>
      <c r="K545" s="20" t="s">
        <v>37</v>
      </c>
      <c r="L545" s="20" t="s">
        <v>37</v>
      </c>
      <c r="M545" s="20" t="s">
        <v>37</v>
      </c>
      <c r="N545" s="20" t="s">
        <v>37</v>
      </c>
      <c r="O545" s="39" t="s">
        <v>37</v>
      </c>
      <c r="P545" s="28"/>
      <c r="Q545" s="20" t="s">
        <v>37</v>
      </c>
      <c r="S545" s="18" t="str">
        <f t="shared" si="16"/>
        <v>SGPA</v>
      </c>
      <c r="T545" s="18" t="str">
        <f t="shared" si="17"/>
        <v/>
      </c>
    </row>
    <row r="546" spans="5:20" ht="21">
      <c r="E546" s="32" t="s">
        <v>430</v>
      </c>
      <c r="F546" s="31"/>
      <c r="G546" s="22" t="s">
        <v>39</v>
      </c>
      <c r="H546" s="22" t="s">
        <v>19</v>
      </c>
      <c r="I546" s="22" t="s">
        <v>9</v>
      </c>
      <c r="J546" s="22" t="s">
        <v>21</v>
      </c>
      <c r="K546" s="22" t="s">
        <v>11</v>
      </c>
      <c r="L546" s="22" t="s">
        <v>17</v>
      </c>
      <c r="M546" s="22" t="s">
        <v>27</v>
      </c>
      <c r="N546" s="22" t="s">
        <v>7</v>
      </c>
      <c r="O546" s="40" t="s">
        <v>33</v>
      </c>
      <c r="P546" s="31"/>
      <c r="Q546" s="22" t="s">
        <v>40</v>
      </c>
      <c r="S546" s="18" t="str">
        <f t="shared" si="16"/>
        <v>CGPA</v>
      </c>
      <c r="T546" s="18">
        <f t="shared" si="17"/>
        <v>198.5</v>
      </c>
    </row>
    <row r="547" spans="5:20" ht="22.5">
      <c r="E547" s="21" t="s">
        <v>41</v>
      </c>
      <c r="F547" s="21" t="s">
        <v>431</v>
      </c>
      <c r="G547" s="11" t="s">
        <v>43</v>
      </c>
      <c r="H547" s="23" t="s">
        <v>299</v>
      </c>
      <c r="I547" s="23" t="s">
        <v>121</v>
      </c>
      <c r="J547" s="23" t="s">
        <v>432</v>
      </c>
      <c r="K547" s="23" t="s">
        <v>135</v>
      </c>
      <c r="L547" s="23" t="s">
        <v>287</v>
      </c>
      <c r="M547" s="23" t="s">
        <v>433</v>
      </c>
      <c r="N547" s="23" t="s">
        <v>434</v>
      </c>
      <c r="O547" s="30" t="s">
        <v>51</v>
      </c>
      <c r="P547" s="31"/>
      <c r="Q547" s="11" t="s">
        <v>37</v>
      </c>
      <c r="S547" s="18" t="str">
        <f t="shared" si="16"/>
        <v>Result: PASS</v>
      </c>
      <c r="T547" s="18">
        <f t="shared" si="17"/>
        <v>533</v>
      </c>
    </row>
    <row r="548" spans="5:20">
      <c r="E548" s="32" t="s">
        <v>435</v>
      </c>
      <c r="F548" s="33"/>
      <c r="G548" s="11" t="s">
        <v>53</v>
      </c>
      <c r="H548" s="23" t="s">
        <v>51</v>
      </c>
      <c r="I548" s="23" t="s">
        <v>51</v>
      </c>
      <c r="J548" s="23" t="s">
        <v>51</v>
      </c>
      <c r="K548" s="23" t="s">
        <v>51</v>
      </c>
      <c r="L548" s="23" t="s">
        <v>51</v>
      </c>
      <c r="M548" s="23" t="s">
        <v>51</v>
      </c>
      <c r="N548" s="23" t="s">
        <v>51</v>
      </c>
      <c r="O548" s="30" t="s">
        <v>125</v>
      </c>
      <c r="P548" s="31"/>
      <c r="Q548" s="11" t="s">
        <v>37</v>
      </c>
      <c r="S548" s="18" t="str">
        <f t="shared" si="16"/>
        <v>Class</v>
      </c>
      <c r="T548" s="18">
        <f t="shared" si="17"/>
        <v>700</v>
      </c>
    </row>
    <row r="549" spans="5:20">
      <c r="E549" s="34"/>
      <c r="F549" s="35"/>
      <c r="G549" s="11" t="s">
        <v>55</v>
      </c>
      <c r="H549" s="23" t="s">
        <v>37</v>
      </c>
      <c r="I549" s="23" t="s">
        <v>37</v>
      </c>
      <c r="J549" s="23" t="s">
        <v>37</v>
      </c>
      <c r="K549" s="23" t="s">
        <v>37</v>
      </c>
      <c r="L549" s="23" t="s">
        <v>37</v>
      </c>
      <c r="M549" s="23" t="s">
        <v>37</v>
      </c>
      <c r="N549" s="23" t="s">
        <v>37</v>
      </c>
      <c r="O549" s="30" t="s">
        <v>37</v>
      </c>
      <c r="P549" s="31"/>
      <c r="Q549" s="11">
        <v>0</v>
      </c>
      <c r="S549" s="18" t="str">
        <f t="shared" si="16"/>
        <v>Term Grade: AA+</v>
      </c>
      <c r="T549" s="18" t="str">
        <f t="shared" si="17"/>
        <v/>
      </c>
    </row>
    <row r="550" spans="5:20">
      <c r="E550" s="36"/>
      <c r="F550" s="37"/>
      <c r="G550" s="11" t="s">
        <v>56</v>
      </c>
      <c r="H550" s="23">
        <v>4</v>
      </c>
      <c r="I550" s="23">
        <v>4</v>
      </c>
      <c r="J550" s="23">
        <v>4</v>
      </c>
      <c r="K550" s="23">
        <v>3</v>
      </c>
      <c r="L550" s="23">
        <v>3</v>
      </c>
      <c r="M550" s="23">
        <v>3</v>
      </c>
      <c r="N550" s="23">
        <v>2</v>
      </c>
      <c r="O550" s="30">
        <v>2</v>
      </c>
      <c r="P550" s="31"/>
      <c r="Q550" s="11">
        <v>25</v>
      </c>
      <c r="S550" s="18" t="str">
        <f t="shared" si="16"/>
        <v>M.C.No</v>
      </c>
      <c r="T550" s="18" t="str">
        <f t="shared" si="17"/>
        <v/>
      </c>
    </row>
    <row r="551" spans="5:20">
      <c r="E551" s="21" t="s">
        <v>57</v>
      </c>
      <c r="F551" s="21">
        <v>7.94</v>
      </c>
      <c r="G551" s="11" t="s">
        <v>58</v>
      </c>
      <c r="H551" s="23">
        <v>7.5</v>
      </c>
      <c r="I551" s="23">
        <v>7</v>
      </c>
      <c r="J551" s="23">
        <v>8</v>
      </c>
      <c r="K551" s="23">
        <v>6</v>
      </c>
      <c r="L551" s="23">
        <v>9</v>
      </c>
      <c r="M551" s="23">
        <v>8.5</v>
      </c>
      <c r="N551" s="23">
        <v>9.5</v>
      </c>
      <c r="O551" s="30">
        <v>9.5</v>
      </c>
      <c r="P551" s="31"/>
      <c r="Q551" s="11" t="s">
        <v>37</v>
      </c>
      <c r="S551" s="18" t="str">
        <f t="shared" si="16"/>
        <v/>
      </c>
      <c r="T551" s="18" t="str">
        <f t="shared" si="17"/>
        <v/>
      </c>
    </row>
    <row r="552" spans="5:20">
      <c r="E552" s="21" t="s">
        <v>59</v>
      </c>
      <c r="F552" s="14">
        <v>7.94</v>
      </c>
      <c r="G552" s="11" t="s">
        <v>60</v>
      </c>
      <c r="H552" s="23">
        <v>30</v>
      </c>
      <c r="I552" s="23">
        <v>28</v>
      </c>
      <c r="J552" s="23">
        <v>32</v>
      </c>
      <c r="K552" s="23">
        <v>18</v>
      </c>
      <c r="L552" s="23">
        <v>27</v>
      </c>
      <c r="M552" s="23">
        <v>25.5</v>
      </c>
      <c r="N552" s="23">
        <v>19</v>
      </c>
      <c r="O552" s="30">
        <v>19</v>
      </c>
      <c r="P552" s="31"/>
      <c r="Q552" s="11">
        <v>198.5</v>
      </c>
      <c r="S552" s="18">
        <f t="shared" si="16"/>
        <v>0</v>
      </c>
      <c r="T552" s="18">
        <f t="shared" si="17"/>
        <v>0</v>
      </c>
    </row>
    <row r="553" spans="5:20">
      <c r="E553" s="32" t="s">
        <v>61</v>
      </c>
      <c r="F553" s="31"/>
      <c r="G553" s="11" t="s">
        <v>40</v>
      </c>
      <c r="H553" s="23">
        <v>73</v>
      </c>
      <c r="I553" s="23">
        <v>65</v>
      </c>
      <c r="J553" s="23">
        <v>78</v>
      </c>
      <c r="K553" s="23">
        <v>56</v>
      </c>
      <c r="L553" s="23">
        <v>88</v>
      </c>
      <c r="M553" s="23">
        <v>82</v>
      </c>
      <c r="N553" s="23">
        <v>45</v>
      </c>
      <c r="O553" s="30">
        <v>46</v>
      </c>
      <c r="P553" s="31"/>
      <c r="Q553" s="11">
        <v>533</v>
      </c>
      <c r="S553" s="18">
        <f t="shared" si="16"/>
        <v>0</v>
      </c>
      <c r="T553" s="18">
        <f t="shared" si="17"/>
        <v>0</v>
      </c>
    </row>
    <row r="554" spans="5:20">
      <c r="E554" s="21" t="s">
        <v>62</v>
      </c>
      <c r="F554" s="21"/>
      <c r="G554" s="11" t="s">
        <v>63</v>
      </c>
      <c r="H554" s="23">
        <v>100</v>
      </c>
      <c r="I554" s="23">
        <v>100</v>
      </c>
      <c r="J554" s="23">
        <v>100</v>
      </c>
      <c r="K554" s="23">
        <v>100</v>
      </c>
      <c r="L554" s="23">
        <v>100</v>
      </c>
      <c r="M554" s="23">
        <v>100</v>
      </c>
      <c r="N554" s="23">
        <v>50</v>
      </c>
      <c r="O554" s="30">
        <v>50</v>
      </c>
      <c r="P554" s="31"/>
      <c r="Q554" s="11">
        <v>700</v>
      </c>
      <c r="S554" s="18" t="str">
        <f t="shared" si="16"/>
        <v>Dr. B.B. Hegde First Grade College, Kundapura, Udupi.</v>
      </c>
      <c r="T554" s="18" t="str">
        <f t="shared" si="17"/>
        <v/>
      </c>
    </row>
    <row r="555" spans="5:20">
      <c r="E555" s="32" t="s">
        <v>64</v>
      </c>
      <c r="F555" s="31"/>
      <c r="G555" s="11" t="s">
        <v>65</v>
      </c>
      <c r="H555" s="23" t="s">
        <v>68</v>
      </c>
      <c r="I555" s="23" t="s">
        <v>66</v>
      </c>
      <c r="J555" s="23" t="s">
        <v>102</v>
      </c>
      <c r="K555" s="23" t="s">
        <v>103</v>
      </c>
      <c r="L555" s="23" t="s">
        <v>67</v>
      </c>
      <c r="M555" s="23" t="s">
        <v>70</v>
      </c>
      <c r="N555" s="23" t="s">
        <v>71</v>
      </c>
      <c r="O555" s="30" t="s">
        <v>71</v>
      </c>
      <c r="P555" s="31"/>
      <c r="Q555" s="11" t="s">
        <v>37</v>
      </c>
      <c r="S555" s="18" t="str">
        <f t="shared" si="16"/>
        <v>00038</v>
      </c>
      <c r="T555" s="18" t="str">
        <f t="shared" si="17"/>
        <v>Total</v>
      </c>
    </row>
    <row r="556" spans="5:20">
      <c r="E556" s="15" t="s">
        <v>72</v>
      </c>
      <c r="F556" s="15" t="s">
        <v>436</v>
      </c>
      <c r="G556" s="11" t="s">
        <v>74</v>
      </c>
      <c r="H556" s="23" t="s">
        <v>75</v>
      </c>
      <c r="I556" s="23" t="s">
        <v>75</v>
      </c>
      <c r="J556" s="23" t="s">
        <v>75</v>
      </c>
      <c r="K556" s="23" t="s">
        <v>75</v>
      </c>
      <c r="L556" s="23" t="s">
        <v>75</v>
      </c>
      <c r="M556" s="23" t="s">
        <v>75</v>
      </c>
      <c r="N556" s="23" t="s">
        <v>75</v>
      </c>
      <c r="O556" s="30" t="s">
        <v>75</v>
      </c>
      <c r="P556" s="31"/>
      <c r="Q556" s="11" t="s">
        <v>37</v>
      </c>
      <c r="S556" s="18" t="str">
        <f t="shared" si="16"/>
        <v>USN</v>
      </c>
      <c r="T556" s="18" t="str">
        <f t="shared" si="17"/>
        <v/>
      </c>
    </row>
    <row r="557" spans="5:20">
      <c r="E557" s="16" t="s">
        <v>37</v>
      </c>
      <c r="F557" s="16" t="s">
        <v>37</v>
      </c>
      <c r="G557" s="16" t="s">
        <v>37</v>
      </c>
      <c r="H557" s="24" t="s">
        <v>37</v>
      </c>
      <c r="I557" s="24" t="s">
        <v>37</v>
      </c>
      <c r="J557" s="24" t="s">
        <v>37</v>
      </c>
      <c r="K557" s="24" t="s">
        <v>37</v>
      </c>
      <c r="L557" s="24" t="s">
        <v>37</v>
      </c>
      <c r="M557" s="24" t="s">
        <v>37</v>
      </c>
      <c r="N557" s="24" t="s">
        <v>37</v>
      </c>
      <c r="O557" s="41" t="s">
        <v>37</v>
      </c>
      <c r="P557" s="28"/>
      <c r="Q557" s="24" t="s">
        <v>37</v>
      </c>
      <c r="S557" s="18" t="str">
        <f t="shared" si="16"/>
        <v>SAMPANNA</v>
      </c>
      <c r="T557" s="18" t="str">
        <f t="shared" si="17"/>
        <v/>
      </c>
    </row>
    <row r="558" spans="5:20" ht="0" hidden="1" customHeight="1">
      <c r="S558" s="18">
        <f t="shared" si="16"/>
        <v>0</v>
      </c>
      <c r="T558" s="18">
        <f t="shared" si="17"/>
        <v>0</v>
      </c>
    </row>
    <row r="559" spans="5:20" ht="0.6" customHeight="1">
      <c r="S559" s="18">
        <f t="shared" si="16"/>
        <v>0</v>
      </c>
      <c r="T559" s="18">
        <f t="shared" si="17"/>
        <v>25</v>
      </c>
    </row>
    <row r="560" spans="5:20">
      <c r="E560" s="38" t="s">
        <v>35</v>
      </c>
      <c r="F560" s="31"/>
      <c r="G560" s="19" t="s">
        <v>36</v>
      </c>
      <c r="H560" s="20" t="s">
        <v>37</v>
      </c>
      <c r="I560" s="20" t="s">
        <v>37</v>
      </c>
      <c r="J560" s="20" t="s">
        <v>37</v>
      </c>
      <c r="K560" s="20" t="s">
        <v>37</v>
      </c>
      <c r="L560" s="20" t="s">
        <v>37</v>
      </c>
      <c r="M560" s="20" t="s">
        <v>37</v>
      </c>
      <c r="N560" s="20" t="s">
        <v>37</v>
      </c>
      <c r="O560" s="39" t="s">
        <v>37</v>
      </c>
      <c r="P560" s="28"/>
      <c r="Q560" s="20" t="s">
        <v>37</v>
      </c>
      <c r="S560" s="18" t="str">
        <f t="shared" si="16"/>
        <v>SGPA</v>
      </c>
      <c r="T560" s="18" t="str">
        <f t="shared" si="17"/>
        <v/>
      </c>
    </row>
    <row r="561" spans="5:20" ht="21">
      <c r="E561" s="32" t="s">
        <v>437</v>
      </c>
      <c r="F561" s="31"/>
      <c r="G561" s="22" t="s">
        <v>39</v>
      </c>
      <c r="H561" s="22" t="s">
        <v>19</v>
      </c>
      <c r="I561" s="22" t="s">
        <v>9</v>
      </c>
      <c r="J561" s="22" t="s">
        <v>21</v>
      </c>
      <c r="K561" s="22" t="s">
        <v>11</v>
      </c>
      <c r="L561" s="22" t="s">
        <v>17</v>
      </c>
      <c r="M561" s="22" t="s">
        <v>27</v>
      </c>
      <c r="N561" s="22" t="s">
        <v>7</v>
      </c>
      <c r="O561" s="40" t="s">
        <v>29</v>
      </c>
      <c r="P561" s="31"/>
      <c r="Q561" s="22" t="s">
        <v>40</v>
      </c>
      <c r="S561" s="18" t="str">
        <f t="shared" si="16"/>
        <v>CGPA</v>
      </c>
      <c r="T561" s="18">
        <f t="shared" si="17"/>
        <v>168.5</v>
      </c>
    </row>
    <row r="562" spans="5:20" ht="22.5">
      <c r="E562" s="21" t="s">
        <v>41</v>
      </c>
      <c r="F562" s="21" t="s">
        <v>438</v>
      </c>
      <c r="G562" s="11" t="s">
        <v>43</v>
      </c>
      <c r="H562" s="23" t="s">
        <v>439</v>
      </c>
      <c r="I562" s="23" t="s">
        <v>132</v>
      </c>
      <c r="J562" s="23" t="s">
        <v>133</v>
      </c>
      <c r="K562" s="23" t="s">
        <v>440</v>
      </c>
      <c r="L562" s="23" t="s">
        <v>226</v>
      </c>
      <c r="M562" s="23" t="s">
        <v>441</v>
      </c>
      <c r="N562" s="23" t="s">
        <v>442</v>
      </c>
      <c r="O562" s="30" t="s">
        <v>51</v>
      </c>
      <c r="P562" s="31"/>
      <c r="Q562" s="11" t="s">
        <v>37</v>
      </c>
      <c r="S562" s="18" t="str">
        <f t="shared" si="16"/>
        <v>Result: PASS</v>
      </c>
      <c r="T562" s="18">
        <f t="shared" si="17"/>
        <v>452</v>
      </c>
    </row>
    <row r="563" spans="5:20">
      <c r="E563" s="32" t="s">
        <v>443</v>
      </c>
      <c r="F563" s="33"/>
      <c r="G563" s="11" t="s">
        <v>53</v>
      </c>
      <c r="H563" s="23" t="s">
        <v>51</v>
      </c>
      <c r="I563" s="23" t="s">
        <v>51</v>
      </c>
      <c r="J563" s="23" t="s">
        <v>51</v>
      </c>
      <c r="K563" s="23" t="s">
        <v>51</v>
      </c>
      <c r="L563" s="23" t="s">
        <v>51</v>
      </c>
      <c r="M563" s="23" t="s">
        <v>51</v>
      </c>
      <c r="N563" s="23" t="s">
        <v>51</v>
      </c>
      <c r="O563" s="30" t="s">
        <v>54</v>
      </c>
      <c r="P563" s="31"/>
      <c r="Q563" s="11" t="s">
        <v>37</v>
      </c>
      <c r="S563" s="18" t="str">
        <f t="shared" si="16"/>
        <v>Class</v>
      </c>
      <c r="T563" s="18">
        <f t="shared" si="17"/>
        <v>700</v>
      </c>
    </row>
    <row r="564" spans="5:20">
      <c r="E564" s="34"/>
      <c r="F564" s="35"/>
      <c r="G564" s="11" t="s">
        <v>55</v>
      </c>
      <c r="H564" s="23" t="s">
        <v>37</v>
      </c>
      <c r="I564" s="23" t="s">
        <v>37</v>
      </c>
      <c r="J564" s="23" t="s">
        <v>37</v>
      </c>
      <c r="K564" s="23" t="s">
        <v>37</v>
      </c>
      <c r="L564" s="23" t="s">
        <v>37</v>
      </c>
      <c r="M564" s="23" t="s">
        <v>37</v>
      </c>
      <c r="N564" s="23" t="s">
        <v>37</v>
      </c>
      <c r="O564" s="30" t="s">
        <v>37</v>
      </c>
      <c r="P564" s="31"/>
      <c r="Q564" s="11">
        <v>0</v>
      </c>
      <c r="S564" s="18" t="str">
        <f t="shared" si="16"/>
        <v>Term Grade: AB+</v>
      </c>
      <c r="T564" s="18" t="str">
        <f t="shared" si="17"/>
        <v/>
      </c>
    </row>
    <row r="565" spans="5:20">
      <c r="E565" s="36"/>
      <c r="F565" s="37"/>
      <c r="G565" s="11" t="s">
        <v>56</v>
      </c>
      <c r="H565" s="23">
        <v>4</v>
      </c>
      <c r="I565" s="23">
        <v>4</v>
      </c>
      <c r="J565" s="23">
        <v>4</v>
      </c>
      <c r="K565" s="23">
        <v>3</v>
      </c>
      <c r="L565" s="23">
        <v>3</v>
      </c>
      <c r="M565" s="23">
        <v>3</v>
      </c>
      <c r="N565" s="23">
        <v>2</v>
      </c>
      <c r="O565" s="30">
        <v>2</v>
      </c>
      <c r="P565" s="31"/>
      <c r="Q565" s="11">
        <v>25</v>
      </c>
      <c r="S565" s="18" t="str">
        <f t="shared" si="16"/>
        <v>M.C.No</v>
      </c>
      <c r="T565" s="18" t="str">
        <f t="shared" si="17"/>
        <v/>
      </c>
    </row>
    <row r="566" spans="5:20">
      <c r="E566" s="21" t="s">
        <v>57</v>
      </c>
      <c r="F566" s="21">
        <v>6.74</v>
      </c>
      <c r="G566" s="11" t="s">
        <v>58</v>
      </c>
      <c r="H566" s="23">
        <v>6</v>
      </c>
      <c r="I566" s="23">
        <v>7.5</v>
      </c>
      <c r="J566" s="23">
        <v>5.5</v>
      </c>
      <c r="K566" s="23">
        <v>5.5</v>
      </c>
      <c r="L566" s="23">
        <v>7</v>
      </c>
      <c r="M566" s="23">
        <v>6</v>
      </c>
      <c r="N566" s="23">
        <v>9</v>
      </c>
      <c r="O566" s="30">
        <v>9.5</v>
      </c>
      <c r="P566" s="31"/>
      <c r="Q566" s="11" t="s">
        <v>37</v>
      </c>
      <c r="S566" s="18" t="str">
        <f t="shared" si="16"/>
        <v/>
      </c>
      <c r="T566" s="18" t="str">
        <f t="shared" si="17"/>
        <v/>
      </c>
    </row>
    <row r="567" spans="5:20">
      <c r="E567" s="21" t="s">
        <v>59</v>
      </c>
      <c r="F567" s="14">
        <v>6.74</v>
      </c>
      <c r="G567" s="11" t="s">
        <v>60</v>
      </c>
      <c r="H567" s="23">
        <v>24</v>
      </c>
      <c r="I567" s="23">
        <v>30</v>
      </c>
      <c r="J567" s="23">
        <v>22</v>
      </c>
      <c r="K567" s="23">
        <v>16.5</v>
      </c>
      <c r="L567" s="23">
        <v>21</v>
      </c>
      <c r="M567" s="23">
        <v>18</v>
      </c>
      <c r="N567" s="23">
        <v>18</v>
      </c>
      <c r="O567" s="30">
        <v>19</v>
      </c>
      <c r="P567" s="31"/>
      <c r="Q567" s="11">
        <v>168.5</v>
      </c>
      <c r="S567" s="18">
        <f t="shared" si="16"/>
        <v>0</v>
      </c>
      <c r="T567" s="18">
        <f t="shared" si="17"/>
        <v>0</v>
      </c>
    </row>
    <row r="568" spans="5:20">
      <c r="E568" s="32" t="s">
        <v>61</v>
      </c>
      <c r="F568" s="31"/>
      <c r="G568" s="11" t="s">
        <v>40</v>
      </c>
      <c r="H568" s="23">
        <v>59</v>
      </c>
      <c r="I568" s="23">
        <v>73</v>
      </c>
      <c r="J568" s="23">
        <v>52</v>
      </c>
      <c r="K568" s="23">
        <v>53</v>
      </c>
      <c r="L568" s="23">
        <v>69</v>
      </c>
      <c r="M568" s="23">
        <v>58</v>
      </c>
      <c r="N568" s="23">
        <v>43</v>
      </c>
      <c r="O568" s="30">
        <v>45</v>
      </c>
      <c r="P568" s="31"/>
      <c r="Q568" s="11">
        <v>452</v>
      </c>
      <c r="S568" s="18">
        <f t="shared" si="16"/>
        <v>0</v>
      </c>
      <c r="T568" s="18">
        <f t="shared" si="17"/>
        <v>0</v>
      </c>
    </row>
    <row r="569" spans="5:20">
      <c r="E569" s="21" t="s">
        <v>62</v>
      </c>
      <c r="F569" s="21"/>
      <c r="G569" s="11" t="s">
        <v>63</v>
      </c>
      <c r="H569" s="23">
        <v>100</v>
      </c>
      <c r="I569" s="23">
        <v>100</v>
      </c>
      <c r="J569" s="23">
        <v>100</v>
      </c>
      <c r="K569" s="23">
        <v>100</v>
      </c>
      <c r="L569" s="23">
        <v>100</v>
      </c>
      <c r="M569" s="23">
        <v>100</v>
      </c>
      <c r="N569" s="23">
        <v>50</v>
      </c>
      <c r="O569" s="30">
        <v>50</v>
      </c>
      <c r="P569" s="31"/>
      <c r="Q569" s="11">
        <v>700</v>
      </c>
      <c r="S569" s="18" t="str">
        <f t="shared" si="16"/>
        <v>Dr. B.B. Hegde First Grade College, Kundapura, Udupi.</v>
      </c>
      <c r="T569" s="18" t="str">
        <f t="shared" si="17"/>
        <v/>
      </c>
    </row>
    <row r="570" spans="5:20">
      <c r="E570" s="32" t="s">
        <v>126</v>
      </c>
      <c r="F570" s="31"/>
      <c r="G570" s="11" t="s">
        <v>65</v>
      </c>
      <c r="H570" s="23" t="s">
        <v>103</v>
      </c>
      <c r="I570" s="23" t="s">
        <v>68</v>
      </c>
      <c r="J570" s="23" t="s">
        <v>138</v>
      </c>
      <c r="K570" s="23" t="s">
        <v>138</v>
      </c>
      <c r="L570" s="23" t="s">
        <v>66</v>
      </c>
      <c r="M570" s="23" t="s">
        <v>103</v>
      </c>
      <c r="N570" s="23" t="s">
        <v>67</v>
      </c>
      <c r="O570" s="30" t="s">
        <v>71</v>
      </c>
      <c r="P570" s="31"/>
      <c r="Q570" s="11" t="s">
        <v>37</v>
      </c>
      <c r="S570" s="18" t="str">
        <f t="shared" si="16"/>
        <v>00039</v>
      </c>
      <c r="T570" s="18" t="str">
        <f t="shared" si="17"/>
        <v>Total</v>
      </c>
    </row>
    <row r="571" spans="5:20">
      <c r="E571" s="15" t="s">
        <v>72</v>
      </c>
      <c r="F571" s="15" t="s">
        <v>444</v>
      </c>
      <c r="G571" s="11" t="s">
        <v>74</v>
      </c>
      <c r="H571" s="23" t="s">
        <v>75</v>
      </c>
      <c r="I571" s="23" t="s">
        <v>75</v>
      </c>
      <c r="J571" s="23" t="s">
        <v>75</v>
      </c>
      <c r="K571" s="23" t="s">
        <v>75</v>
      </c>
      <c r="L571" s="23" t="s">
        <v>75</v>
      </c>
      <c r="M571" s="23" t="s">
        <v>75</v>
      </c>
      <c r="N571" s="23" t="s">
        <v>75</v>
      </c>
      <c r="O571" s="30" t="s">
        <v>75</v>
      </c>
      <c r="P571" s="31"/>
      <c r="Q571" s="11" t="s">
        <v>37</v>
      </c>
      <c r="S571" s="18" t="str">
        <f t="shared" si="16"/>
        <v>USN</v>
      </c>
      <c r="T571" s="18" t="str">
        <f t="shared" si="17"/>
        <v/>
      </c>
    </row>
    <row r="572" spans="5:20">
      <c r="E572" s="16" t="s">
        <v>37</v>
      </c>
      <c r="F572" s="16" t="s">
        <v>37</v>
      </c>
      <c r="G572" s="16" t="s">
        <v>37</v>
      </c>
      <c r="H572" s="24" t="s">
        <v>37</v>
      </c>
      <c r="I572" s="24" t="s">
        <v>37</v>
      </c>
      <c r="J572" s="24" t="s">
        <v>37</v>
      </c>
      <c r="K572" s="24" t="s">
        <v>37</v>
      </c>
      <c r="L572" s="24" t="s">
        <v>37</v>
      </c>
      <c r="M572" s="24" t="s">
        <v>37</v>
      </c>
      <c r="N572" s="24" t="s">
        <v>37</v>
      </c>
      <c r="O572" s="41" t="s">
        <v>37</v>
      </c>
      <c r="P572" s="28"/>
      <c r="Q572" s="24" t="s">
        <v>37</v>
      </c>
      <c r="S572" s="18" t="str">
        <f t="shared" si="16"/>
        <v>MANJUNATH</v>
      </c>
      <c r="T572" s="18" t="str">
        <f t="shared" si="17"/>
        <v/>
      </c>
    </row>
    <row r="573" spans="5:20" ht="0" hidden="1" customHeight="1">
      <c r="S573" s="18">
        <f t="shared" si="16"/>
        <v>0</v>
      </c>
      <c r="T573" s="18">
        <f t="shared" si="17"/>
        <v>0</v>
      </c>
    </row>
    <row r="574" spans="5:20" ht="0.6" customHeight="1">
      <c r="S574" s="18">
        <f t="shared" si="16"/>
        <v>0</v>
      </c>
      <c r="T574" s="18">
        <f t="shared" si="17"/>
        <v>25</v>
      </c>
    </row>
    <row r="575" spans="5:20">
      <c r="E575" s="38" t="s">
        <v>35</v>
      </c>
      <c r="F575" s="31"/>
      <c r="G575" s="19" t="s">
        <v>36</v>
      </c>
      <c r="H575" s="20" t="s">
        <v>37</v>
      </c>
      <c r="I575" s="20" t="s">
        <v>37</v>
      </c>
      <c r="J575" s="20" t="s">
        <v>37</v>
      </c>
      <c r="K575" s="20" t="s">
        <v>37</v>
      </c>
      <c r="L575" s="20" t="s">
        <v>37</v>
      </c>
      <c r="M575" s="20" t="s">
        <v>37</v>
      </c>
      <c r="N575" s="20" t="s">
        <v>37</v>
      </c>
      <c r="O575" s="39" t="s">
        <v>37</v>
      </c>
      <c r="P575" s="28"/>
      <c r="Q575" s="20" t="s">
        <v>37</v>
      </c>
      <c r="S575" s="18" t="str">
        <f t="shared" si="16"/>
        <v>SGPA</v>
      </c>
      <c r="T575" s="18" t="str">
        <f t="shared" si="17"/>
        <v/>
      </c>
    </row>
    <row r="576" spans="5:20" ht="21">
      <c r="E576" s="32" t="s">
        <v>445</v>
      </c>
      <c r="F576" s="31"/>
      <c r="G576" s="22" t="s">
        <v>39</v>
      </c>
      <c r="H576" s="22" t="s">
        <v>19</v>
      </c>
      <c r="I576" s="22" t="s">
        <v>9</v>
      </c>
      <c r="J576" s="22" t="s">
        <v>21</v>
      </c>
      <c r="K576" s="22" t="s">
        <v>11</v>
      </c>
      <c r="L576" s="22" t="s">
        <v>17</v>
      </c>
      <c r="M576" s="22" t="s">
        <v>27</v>
      </c>
      <c r="N576" s="22" t="s">
        <v>7</v>
      </c>
      <c r="O576" s="40" t="s">
        <v>29</v>
      </c>
      <c r="P576" s="31"/>
      <c r="Q576" s="22" t="s">
        <v>40</v>
      </c>
      <c r="S576" s="18" t="str">
        <f t="shared" si="16"/>
        <v>CGPA</v>
      </c>
      <c r="T576" s="18">
        <f t="shared" si="17"/>
        <v>203</v>
      </c>
    </row>
    <row r="577" spans="5:20" ht="22.5">
      <c r="E577" s="21" t="s">
        <v>41</v>
      </c>
      <c r="F577" s="21" t="s">
        <v>446</v>
      </c>
      <c r="G577" s="11" t="s">
        <v>43</v>
      </c>
      <c r="H577" s="23" t="s">
        <v>447</v>
      </c>
      <c r="I577" s="23" t="s">
        <v>448</v>
      </c>
      <c r="J577" s="23" t="s">
        <v>107</v>
      </c>
      <c r="K577" s="23" t="s">
        <v>449</v>
      </c>
      <c r="L577" s="23" t="s">
        <v>245</v>
      </c>
      <c r="M577" s="23" t="s">
        <v>280</v>
      </c>
      <c r="N577" s="23" t="s">
        <v>218</v>
      </c>
      <c r="O577" s="30" t="s">
        <v>51</v>
      </c>
      <c r="P577" s="31"/>
      <c r="Q577" s="11" t="s">
        <v>37</v>
      </c>
      <c r="S577" s="18" t="str">
        <f t="shared" si="16"/>
        <v>Result: PASS</v>
      </c>
      <c r="T577" s="18">
        <f t="shared" si="17"/>
        <v>548</v>
      </c>
    </row>
    <row r="578" spans="5:20">
      <c r="E578" s="32" t="s">
        <v>450</v>
      </c>
      <c r="F578" s="33"/>
      <c r="G578" s="11" t="s">
        <v>53</v>
      </c>
      <c r="H578" s="23" t="s">
        <v>51</v>
      </c>
      <c r="I578" s="23" t="s">
        <v>51</v>
      </c>
      <c r="J578" s="23" t="s">
        <v>51</v>
      </c>
      <c r="K578" s="23" t="s">
        <v>51</v>
      </c>
      <c r="L578" s="23" t="s">
        <v>51</v>
      </c>
      <c r="M578" s="23" t="s">
        <v>51</v>
      </c>
      <c r="N578" s="23" t="s">
        <v>51</v>
      </c>
      <c r="O578" s="30" t="s">
        <v>125</v>
      </c>
      <c r="P578" s="31"/>
      <c r="Q578" s="11" t="s">
        <v>37</v>
      </c>
      <c r="S578" s="18" t="str">
        <f t="shared" si="16"/>
        <v>Class</v>
      </c>
      <c r="T578" s="18">
        <f t="shared" si="17"/>
        <v>700</v>
      </c>
    </row>
    <row r="579" spans="5:20">
      <c r="E579" s="34"/>
      <c r="F579" s="35"/>
      <c r="G579" s="11" t="s">
        <v>55</v>
      </c>
      <c r="H579" s="23" t="s">
        <v>37</v>
      </c>
      <c r="I579" s="23" t="s">
        <v>37</v>
      </c>
      <c r="J579" s="23" t="s">
        <v>37</v>
      </c>
      <c r="K579" s="23" t="s">
        <v>37</v>
      </c>
      <c r="L579" s="23" t="s">
        <v>37</v>
      </c>
      <c r="M579" s="23" t="s">
        <v>37</v>
      </c>
      <c r="N579" s="23" t="s">
        <v>37</v>
      </c>
      <c r="O579" s="30" t="s">
        <v>37</v>
      </c>
      <c r="P579" s="31"/>
      <c r="Q579" s="11">
        <v>0</v>
      </c>
      <c r="S579" s="18" t="str">
        <f t="shared" si="16"/>
        <v>Term Grade: OA</v>
      </c>
      <c r="T579" s="18" t="str">
        <f t="shared" si="17"/>
        <v/>
      </c>
    </row>
    <row r="580" spans="5:20">
      <c r="E580" s="36"/>
      <c r="F580" s="37"/>
      <c r="G580" s="11" t="s">
        <v>56</v>
      </c>
      <c r="H580" s="23">
        <v>4</v>
      </c>
      <c r="I580" s="23">
        <v>4</v>
      </c>
      <c r="J580" s="23">
        <v>4</v>
      </c>
      <c r="K580" s="23">
        <v>3</v>
      </c>
      <c r="L580" s="23">
        <v>3</v>
      </c>
      <c r="M580" s="23">
        <v>3</v>
      </c>
      <c r="N580" s="23">
        <v>2</v>
      </c>
      <c r="O580" s="30">
        <v>2</v>
      </c>
      <c r="P580" s="31"/>
      <c r="Q580" s="11">
        <v>25</v>
      </c>
      <c r="S580" s="18" t="str">
        <f t="shared" si="16"/>
        <v>M.C.No</v>
      </c>
      <c r="T580" s="18" t="str">
        <f t="shared" si="17"/>
        <v/>
      </c>
    </row>
    <row r="581" spans="5:20">
      <c r="E581" s="21" t="s">
        <v>57</v>
      </c>
      <c r="F581" s="21">
        <v>8.1199999999999992</v>
      </c>
      <c r="G581" s="11" t="s">
        <v>58</v>
      </c>
      <c r="H581" s="23">
        <v>7.5</v>
      </c>
      <c r="I581" s="23">
        <v>8</v>
      </c>
      <c r="J581" s="23">
        <v>7</v>
      </c>
      <c r="K581" s="23">
        <v>7.5</v>
      </c>
      <c r="L581" s="23">
        <v>8.5</v>
      </c>
      <c r="M581" s="23">
        <v>9</v>
      </c>
      <c r="N581" s="23">
        <v>9.5</v>
      </c>
      <c r="O581" s="30">
        <v>9.5</v>
      </c>
      <c r="P581" s="31"/>
      <c r="Q581" s="11" t="s">
        <v>37</v>
      </c>
      <c r="S581" s="18" t="str">
        <f t="shared" si="16"/>
        <v/>
      </c>
      <c r="T581" s="18" t="str">
        <f t="shared" si="17"/>
        <v/>
      </c>
    </row>
    <row r="582" spans="5:20">
      <c r="E582" s="21" t="s">
        <v>59</v>
      </c>
      <c r="F582" s="14">
        <v>8.1199999999999992</v>
      </c>
      <c r="G582" s="11" t="s">
        <v>60</v>
      </c>
      <c r="H582" s="23">
        <v>30</v>
      </c>
      <c r="I582" s="23">
        <v>32</v>
      </c>
      <c r="J582" s="23">
        <v>28</v>
      </c>
      <c r="K582" s="23">
        <v>22.5</v>
      </c>
      <c r="L582" s="23">
        <v>25.5</v>
      </c>
      <c r="M582" s="23">
        <v>27</v>
      </c>
      <c r="N582" s="23">
        <v>19</v>
      </c>
      <c r="O582" s="30">
        <v>19</v>
      </c>
      <c r="P582" s="31"/>
      <c r="Q582" s="11">
        <v>203</v>
      </c>
      <c r="S582" s="18">
        <f t="shared" si="16"/>
        <v>0</v>
      </c>
      <c r="T582" s="18">
        <f t="shared" si="17"/>
        <v>0</v>
      </c>
    </row>
    <row r="583" spans="5:20">
      <c r="E583" s="32" t="s">
        <v>61</v>
      </c>
      <c r="F583" s="31"/>
      <c r="G583" s="11" t="s">
        <v>40</v>
      </c>
      <c r="H583" s="23">
        <v>73</v>
      </c>
      <c r="I583" s="23">
        <v>77</v>
      </c>
      <c r="J583" s="23">
        <v>69</v>
      </c>
      <c r="K583" s="23">
        <v>70</v>
      </c>
      <c r="L583" s="23">
        <v>80</v>
      </c>
      <c r="M583" s="23">
        <v>86</v>
      </c>
      <c r="N583" s="23">
        <v>47</v>
      </c>
      <c r="O583" s="30">
        <v>46</v>
      </c>
      <c r="P583" s="31"/>
      <c r="Q583" s="11">
        <v>548</v>
      </c>
      <c r="S583" s="18" t="str">
        <f t="shared" si="16"/>
        <v>Dr. B.B. Hegde First Grade College, Kundapura, Udupi.</v>
      </c>
      <c r="T583" s="18" t="str">
        <f t="shared" si="17"/>
        <v/>
      </c>
    </row>
    <row r="584" spans="5:20">
      <c r="E584" s="21" t="s">
        <v>62</v>
      </c>
      <c r="F584" s="21"/>
      <c r="G584" s="11" t="s">
        <v>63</v>
      </c>
      <c r="H584" s="23">
        <v>100</v>
      </c>
      <c r="I584" s="23">
        <v>100</v>
      </c>
      <c r="J584" s="23">
        <v>100</v>
      </c>
      <c r="K584" s="23">
        <v>100</v>
      </c>
      <c r="L584" s="23">
        <v>100</v>
      </c>
      <c r="M584" s="23">
        <v>100</v>
      </c>
      <c r="N584" s="23">
        <v>50</v>
      </c>
      <c r="O584" s="30">
        <v>50</v>
      </c>
      <c r="P584" s="31"/>
      <c r="Q584" s="11">
        <v>700</v>
      </c>
      <c r="S584" s="18" t="str">
        <f t="shared" si="16"/>
        <v>00040</v>
      </c>
      <c r="T584" s="18" t="str">
        <f t="shared" si="17"/>
        <v>Total</v>
      </c>
    </row>
    <row r="585" spans="5:20">
      <c r="E585" s="32" t="s">
        <v>200</v>
      </c>
      <c r="F585" s="31"/>
      <c r="G585" s="11" t="s">
        <v>65</v>
      </c>
      <c r="H585" s="23" t="s">
        <v>68</v>
      </c>
      <c r="I585" s="23" t="s">
        <v>102</v>
      </c>
      <c r="J585" s="23" t="s">
        <v>66</v>
      </c>
      <c r="K585" s="23" t="s">
        <v>68</v>
      </c>
      <c r="L585" s="23" t="s">
        <v>70</v>
      </c>
      <c r="M585" s="23" t="s">
        <v>67</v>
      </c>
      <c r="N585" s="23" t="s">
        <v>71</v>
      </c>
      <c r="O585" s="30" t="s">
        <v>71</v>
      </c>
      <c r="P585" s="31"/>
      <c r="Q585" s="11" t="s">
        <v>37</v>
      </c>
      <c r="S585" s="18" t="str">
        <f t="shared" si="16"/>
        <v>USN</v>
      </c>
      <c r="T585" s="18" t="str">
        <f t="shared" si="17"/>
        <v/>
      </c>
    </row>
    <row r="586" spans="5:20">
      <c r="E586" s="15" t="s">
        <v>72</v>
      </c>
      <c r="F586" s="15" t="s">
        <v>451</v>
      </c>
      <c r="G586" s="11" t="s">
        <v>74</v>
      </c>
      <c r="H586" s="23" t="s">
        <v>75</v>
      </c>
      <c r="I586" s="23" t="s">
        <v>75</v>
      </c>
      <c r="J586" s="23" t="s">
        <v>75</v>
      </c>
      <c r="K586" s="23" t="s">
        <v>75</v>
      </c>
      <c r="L586" s="23" t="s">
        <v>75</v>
      </c>
      <c r="M586" s="23" t="s">
        <v>75</v>
      </c>
      <c r="N586" s="23" t="s">
        <v>75</v>
      </c>
      <c r="O586" s="30" t="s">
        <v>75</v>
      </c>
      <c r="P586" s="31"/>
      <c r="Q586" s="11" t="s">
        <v>37</v>
      </c>
      <c r="S586" s="18" t="str">
        <f t="shared" si="16"/>
        <v>BHOOMIKA R</v>
      </c>
      <c r="T586" s="18" t="str">
        <f t="shared" si="17"/>
        <v/>
      </c>
    </row>
    <row r="587" spans="5:20">
      <c r="E587" s="16" t="s">
        <v>37</v>
      </c>
      <c r="F587" s="16" t="s">
        <v>37</v>
      </c>
      <c r="G587" s="16" t="s">
        <v>37</v>
      </c>
      <c r="H587" s="24" t="s">
        <v>37</v>
      </c>
      <c r="I587" s="24" t="s">
        <v>37</v>
      </c>
      <c r="J587" s="24" t="s">
        <v>37</v>
      </c>
      <c r="K587" s="24" t="s">
        <v>37</v>
      </c>
      <c r="L587" s="24" t="s">
        <v>37</v>
      </c>
      <c r="M587" s="24" t="s">
        <v>37</v>
      </c>
      <c r="N587" s="24" t="s">
        <v>37</v>
      </c>
      <c r="O587" s="41" t="s">
        <v>37</v>
      </c>
      <c r="P587" s="28"/>
      <c r="Q587" s="24" t="s">
        <v>37</v>
      </c>
      <c r="S587" s="18">
        <f t="shared" si="16"/>
        <v>0</v>
      </c>
      <c r="T587" s="18">
        <f t="shared" si="17"/>
        <v>0</v>
      </c>
    </row>
    <row r="588" spans="5:20" ht="0.6" customHeight="1">
      <c r="S588" s="18">
        <f t="shared" ref="S588:S651" si="18">$E594</f>
        <v>0</v>
      </c>
      <c r="T588" s="18">
        <f t="shared" ref="T588:T651" si="19">$Q594</f>
        <v>25</v>
      </c>
    </row>
    <row r="589" spans="5:20">
      <c r="E589" s="38" t="s">
        <v>35</v>
      </c>
      <c r="F589" s="31"/>
      <c r="G589" s="19" t="s">
        <v>36</v>
      </c>
      <c r="H589" s="20" t="s">
        <v>37</v>
      </c>
      <c r="I589" s="20" t="s">
        <v>37</v>
      </c>
      <c r="J589" s="20" t="s">
        <v>37</v>
      </c>
      <c r="K589" s="20" t="s">
        <v>37</v>
      </c>
      <c r="L589" s="20" t="s">
        <v>37</v>
      </c>
      <c r="M589" s="20" t="s">
        <v>37</v>
      </c>
      <c r="N589" s="20" t="s">
        <v>37</v>
      </c>
      <c r="O589" s="39" t="s">
        <v>37</v>
      </c>
      <c r="P589" s="28"/>
      <c r="Q589" s="20" t="s">
        <v>37</v>
      </c>
      <c r="S589" s="18" t="str">
        <f t="shared" si="18"/>
        <v>SGPA</v>
      </c>
      <c r="T589" s="18" t="str">
        <f t="shared" si="19"/>
        <v/>
      </c>
    </row>
    <row r="590" spans="5:20" ht="21">
      <c r="E590" s="32" t="s">
        <v>452</v>
      </c>
      <c r="F590" s="31"/>
      <c r="G590" s="22" t="s">
        <v>39</v>
      </c>
      <c r="H590" s="22" t="s">
        <v>19</v>
      </c>
      <c r="I590" s="22" t="s">
        <v>9</v>
      </c>
      <c r="J590" s="22" t="s">
        <v>21</v>
      </c>
      <c r="K590" s="22" t="s">
        <v>11</v>
      </c>
      <c r="L590" s="22" t="s">
        <v>17</v>
      </c>
      <c r="M590" s="22" t="s">
        <v>27</v>
      </c>
      <c r="N590" s="22" t="s">
        <v>7</v>
      </c>
      <c r="O590" s="40" t="s">
        <v>29</v>
      </c>
      <c r="P590" s="31"/>
      <c r="Q590" s="22" t="s">
        <v>40</v>
      </c>
      <c r="S590" s="18" t="str">
        <f t="shared" si="18"/>
        <v>CGPA</v>
      </c>
      <c r="T590" s="18">
        <f t="shared" si="19"/>
        <v>223.5</v>
      </c>
    </row>
    <row r="591" spans="5:20" ht="22.5">
      <c r="E591" s="21" t="s">
        <v>41</v>
      </c>
      <c r="F591" s="21" t="s">
        <v>453</v>
      </c>
      <c r="G591" s="11" t="s">
        <v>43</v>
      </c>
      <c r="H591" s="23" t="s">
        <v>45</v>
      </c>
      <c r="I591" s="23" t="s">
        <v>287</v>
      </c>
      <c r="J591" s="23" t="s">
        <v>427</v>
      </c>
      <c r="K591" s="23" t="s">
        <v>454</v>
      </c>
      <c r="L591" s="23" t="s">
        <v>287</v>
      </c>
      <c r="M591" s="23" t="s">
        <v>455</v>
      </c>
      <c r="N591" s="23" t="s">
        <v>209</v>
      </c>
      <c r="O591" s="30" t="s">
        <v>51</v>
      </c>
      <c r="P591" s="31"/>
      <c r="Q591" s="11" t="s">
        <v>37</v>
      </c>
      <c r="S591" s="18" t="str">
        <f t="shared" si="18"/>
        <v>Result: PASS</v>
      </c>
      <c r="T591" s="18">
        <f t="shared" si="19"/>
        <v>609</v>
      </c>
    </row>
    <row r="592" spans="5:20">
      <c r="E592" s="32" t="s">
        <v>456</v>
      </c>
      <c r="F592" s="33"/>
      <c r="G592" s="11" t="s">
        <v>53</v>
      </c>
      <c r="H592" s="23" t="s">
        <v>51</v>
      </c>
      <c r="I592" s="23" t="s">
        <v>51</v>
      </c>
      <c r="J592" s="23" t="s">
        <v>51</v>
      </c>
      <c r="K592" s="23" t="s">
        <v>51</v>
      </c>
      <c r="L592" s="23" t="s">
        <v>51</v>
      </c>
      <c r="M592" s="23" t="s">
        <v>51</v>
      </c>
      <c r="N592" s="23" t="s">
        <v>51</v>
      </c>
      <c r="O592" s="30" t="s">
        <v>125</v>
      </c>
      <c r="P592" s="31"/>
      <c r="Q592" s="11" t="s">
        <v>37</v>
      </c>
      <c r="S592" s="18" t="str">
        <f t="shared" si="18"/>
        <v>Class</v>
      </c>
      <c r="T592" s="18">
        <f t="shared" si="19"/>
        <v>700</v>
      </c>
    </row>
    <row r="593" spans="5:20">
      <c r="E593" s="34"/>
      <c r="F593" s="35"/>
      <c r="G593" s="11" t="s">
        <v>55</v>
      </c>
      <c r="H593" s="23" t="s">
        <v>37</v>
      </c>
      <c r="I593" s="23" t="s">
        <v>37</v>
      </c>
      <c r="J593" s="23" t="s">
        <v>37</v>
      </c>
      <c r="K593" s="23" t="s">
        <v>37</v>
      </c>
      <c r="L593" s="23" t="s">
        <v>37</v>
      </c>
      <c r="M593" s="23" t="s">
        <v>37</v>
      </c>
      <c r="N593" s="23" t="s">
        <v>37</v>
      </c>
      <c r="O593" s="30" t="s">
        <v>37</v>
      </c>
      <c r="P593" s="31"/>
      <c r="Q593" s="11">
        <v>0</v>
      </c>
      <c r="S593" s="18" t="str">
        <f t="shared" si="18"/>
        <v>Term Grade: OA+</v>
      </c>
      <c r="T593" s="18" t="str">
        <f t="shared" si="19"/>
        <v/>
      </c>
    </row>
    <row r="594" spans="5:20">
      <c r="E594" s="36"/>
      <c r="F594" s="37"/>
      <c r="G594" s="11" t="s">
        <v>56</v>
      </c>
      <c r="H594" s="23">
        <v>4</v>
      </c>
      <c r="I594" s="23">
        <v>4</v>
      </c>
      <c r="J594" s="23">
        <v>4</v>
      </c>
      <c r="K594" s="23">
        <v>3</v>
      </c>
      <c r="L594" s="23">
        <v>3</v>
      </c>
      <c r="M594" s="23">
        <v>3</v>
      </c>
      <c r="N594" s="23">
        <v>2</v>
      </c>
      <c r="O594" s="30">
        <v>2</v>
      </c>
      <c r="P594" s="31"/>
      <c r="Q594" s="11">
        <v>25</v>
      </c>
      <c r="S594" s="18" t="str">
        <f t="shared" si="18"/>
        <v>M.C.No</v>
      </c>
      <c r="T594" s="18" t="str">
        <f t="shared" si="19"/>
        <v/>
      </c>
    </row>
    <row r="595" spans="5:20">
      <c r="E595" s="21" t="s">
        <v>57</v>
      </c>
      <c r="F595" s="21">
        <v>8.94</v>
      </c>
      <c r="G595" s="11" t="s">
        <v>58</v>
      </c>
      <c r="H595" s="23">
        <v>9</v>
      </c>
      <c r="I595" s="23">
        <v>9</v>
      </c>
      <c r="J595" s="23">
        <v>9</v>
      </c>
      <c r="K595" s="23">
        <v>8</v>
      </c>
      <c r="L595" s="23">
        <v>9</v>
      </c>
      <c r="M595" s="23">
        <v>8.5</v>
      </c>
      <c r="N595" s="23">
        <v>10</v>
      </c>
      <c r="O595" s="30">
        <v>9.5</v>
      </c>
      <c r="P595" s="31"/>
      <c r="Q595" s="11" t="s">
        <v>37</v>
      </c>
      <c r="S595" s="18" t="str">
        <f t="shared" si="18"/>
        <v/>
      </c>
      <c r="T595" s="18" t="str">
        <f t="shared" si="19"/>
        <v/>
      </c>
    </row>
    <row r="596" spans="5:20">
      <c r="E596" s="21" t="s">
        <v>59</v>
      </c>
      <c r="F596" s="14">
        <v>8.94</v>
      </c>
      <c r="G596" s="11" t="s">
        <v>60</v>
      </c>
      <c r="H596" s="23">
        <v>36</v>
      </c>
      <c r="I596" s="23">
        <v>36</v>
      </c>
      <c r="J596" s="23">
        <v>36</v>
      </c>
      <c r="K596" s="23">
        <v>24</v>
      </c>
      <c r="L596" s="23">
        <v>27</v>
      </c>
      <c r="M596" s="23">
        <v>25.5</v>
      </c>
      <c r="N596" s="23">
        <v>20</v>
      </c>
      <c r="O596" s="30">
        <v>19</v>
      </c>
      <c r="P596" s="31"/>
      <c r="Q596" s="11">
        <v>223.5</v>
      </c>
      <c r="S596" s="18">
        <f t="shared" si="18"/>
        <v>0</v>
      </c>
      <c r="T596" s="18">
        <f t="shared" si="19"/>
        <v>0</v>
      </c>
    </row>
    <row r="597" spans="5:20">
      <c r="E597" s="32" t="s">
        <v>61</v>
      </c>
      <c r="F597" s="31"/>
      <c r="G597" s="11" t="s">
        <v>40</v>
      </c>
      <c r="H597" s="23">
        <v>89</v>
      </c>
      <c r="I597" s="23">
        <v>88</v>
      </c>
      <c r="J597" s="23">
        <v>87</v>
      </c>
      <c r="K597" s="23">
        <v>77</v>
      </c>
      <c r="L597" s="23">
        <v>88</v>
      </c>
      <c r="M597" s="23">
        <v>84</v>
      </c>
      <c r="N597" s="23">
        <v>50</v>
      </c>
      <c r="O597" s="30">
        <v>46</v>
      </c>
      <c r="P597" s="31"/>
      <c r="Q597" s="11">
        <v>609</v>
      </c>
      <c r="S597" s="18">
        <f t="shared" si="18"/>
        <v>0</v>
      </c>
      <c r="T597" s="18">
        <f t="shared" si="19"/>
        <v>0</v>
      </c>
    </row>
    <row r="598" spans="5:20">
      <c r="E598" s="21" t="s">
        <v>62</v>
      </c>
      <c r="F598" s="21"/>
      <c r="G598" s="11" t="s">
        <v>63</v>
      </c>
      <c r="H598" s="23">
        <v>100</v>
      </c>
      <c r="I598" s="23">
        <v>100</v>
      </c>
      <c r="J598" s="23">
        <v>100</v>
      </c>
      <c r="K598" s="23">
        <v>100</v>
      </c>
      <c r="L598" s="23">
        <v>100</v>
      </c>
      <c r="M598" s="23">
        <v>100</v>
      </c>
      <c r="N598" s="23">
        <v>50</v>
      </c>
      <c r="O598" s="30">
        <v>50</v>
      </c>
      <c r="P598" s="31"/>
      <c r="Q598" s="11">
        <v>700</v>
      </c>
      <c r="S598" s="18" t="str">
        <f t="shared" si="18"/>
        <v>Dr. B.B. Hegde First Grade College, Kundapura, Udupi.</v>
      </c>
      <c r="T598" s="18" t="str">
        <f t="shared" si="19"/>
        <v/>
      </c>
    </row>
    <row r="599" spans="5:20">
      <c r="E599" s="32" t="s">
        <v>188</v>
      </c>
      <c r="F599" s="31"/>
      <c r="G599" s="11" t="s">
        <v>65</v>
      </c>
      <c r="H599" s="23" t="s">
        <v>67</v>
      </c>
      <c r="I599" s="23" t="s">
        <v>67</v>
      </c>
      <c r="J599" s="23" t="s">
        <v>67</v>
      </c>
      <c r="K599" s="23" t="s">
        <v>102</v>
      </c>
      <c r="L599" s="23" t="s">
        <v>67</v>
      </c>
      <c r="M599" s="23" t="s">
        <v>70</v>
      </c>
      <c r="N599" s="23" t="s">
        <v>88</v>
      </c>
      <c r="O599" s="30" t="s">
        <v>71</v>
      </c>
      <c r="P599" s="31"/>
      <c r="Q599" s="11" t="s">
        <v>37</v>
      </c>
      <c r="S599" s="18" t="str">
        <f t="shared" si="18"/>
        <v>00041</v>
      </c>
      <c r="T599" s="18" t="str">
        <f t="shared" si="19"/>
        <v>Total</v>
      </c>
    </row>
    <row r="600" spans="5:20">
      <c r="E600" s="15" t="s">
        <v>72</v>
      </c>
      <c r="F600" s="15" t="s">
        <v>457</v>
      </c>
      <c r="G600" s="11" t="s">
        <v>74</v>
      </c>
      <c r="H600" s="23" t="s">
        <v>75</v>
      </c>
      <c r="I600" s="23" t="s">
        <v>75</v>
      </c>
      <c r="J600" s="23" t="s">
        <v>75</v>
      </c>
      <c r="K600" s="23" t="s">
        <v>75</v>
      </c>
      <c r="L600" s="23" t="s">
        <v>75</v>
      </c>
      <c r="M600" s="23" t="s">
        <v>75</v>
      </c>
      <c r="N600" s="23" t="s">
        <v>75</v>
      </c>
      <c r="O600" s="30" t="s">
        <v>75</v>
      </c>
      <c r="P600" s="31"/>
      <c r="Q600" s="11" t="s">
        <v>37</v>
      </c>
      <c r="S600" s="18" t="str">
        <f t="shared" si="18"/>
        <v>USN</v>
      </c>
      <c r="T600" s="18" t="str">
        <f t="shared" si="19"/>
        <v/>
      </c>
    </row>
    <row r="601" spans="5:20">
      <c r="E601" s="16" t="s">
        <v>37</v>
      </c>
      <c r="F601" s="16" t="s">
        <v>37</v>
      </c>
      <c r="G601" s="16" t="s">
        <v>37</v>
      </c>
      <c r="H601" s="24" t="s">
        <v>37</v>
      </c>
      <c r="I601" s="24" t="s">
        <v>37</v>
      </c>
      <c r="J601" s="24" t="s">
        <v>37</v>
      </c>
      <c r="K601" s="24" t="s">
        <v>37</v>
      </c>
      <c r="L601" s="24" t="s">
        <v>37</v>
      </c>
      <c r="M601" s="24" t="s">
        <v>37</v>
      </c>
      <c r="N601" s="24" t="s">
        <v>37</v>
      </c>
      <c r="O601" s="41" t="s">
        <v>37</v>
      </c>
      <c r="P601" s="28"/>
      <c r="Q601" s="24" t="s">
        <v>37</v>
      </c>
      <c r="S601" s="18" t="str">
        <f t="shared" si="18"/>
        <v>TINCY C S</v>
      </c>
      <c r="T601" s="18" t="str">
        <f t="shared" si="19"/>
        <v/>
      </c>
    </row>
    <row r="602" spans="5:20" ht="0" hidden="1" customHeight="1">
      <c r="S602" s="18">
        <f t="shared" si="18"/>
        <v>0</v>
      </c>
      <c r="T602" s="18">
        <f t="shared" si="19"/>
        <v>0</v>
      </c>
    </row>
    <row r="603" spans="5:20" ht="0.6" customHeight="1">
      <c r="S603" s="18">
        <f t="shared" si="18"/>
        <v>0</v>
      </c>
      <c r="T603" s="18">
        <f t="shared" si="19"/>
        <v>25</v>
      </c>
    </row>
    <row r="604" spans="5:20">
      <c r="E604" s="38" t="s">
        <v>35</v>
      </c>
      <c r="F604" s="31"/>
      <c r="G604" s="19" t="s">
        <v>36</v>
      </c>
      <c r="H604" s="20" t="s">
        <v>37</v>
      </c>
      <c r="I604" s="20" t="s">
        <v>37</v>
      </c>
      <c r="J604" s="20" t="s">
        <v>37</v>
      </c>
      <c r="K604" s="20" t="s">
        <v>37</v>
      </c>
      <c r="L604" s="20" t="s">
        <v>37</v>
      </c>
      <c r="M604" s="20" t="s">
        <v>37</v>
      </c>
      <c r="N604" s="20" t="s">
        <v>37</v>
      </c>
      <c r="O604" s="39" t="s">
        <v>37</v>
      </c>
      <c r="P604" s="28"/>
      <c r="Q604" s="20" t="s">
        <v>37</v>
      </c>
      <c r="S604" s="18" t="str">
        <f t="shared" si="18"/>
        <v>SGPA</v>
      </c>
      <c r="T604" s="18" t="str">
        <f t="shared" si="19"/>
        <v/>
      </c>
    </row>
    <row r="605" spans="5:20" ht="21">
      <c r="E605" s="32" t="s">
        <v>458</v>
      </c>
      <c r="F605" s="31"/>
      <c r="G605" s="22" t="s">
        <v>39</v>
      </c>
      <c r="H605" s="22" t="s">
        <v>19</v>
      </c>
      <c r="I605" s="22" t="s">
        <v>9</v>
      </c>
      <c r="J605" s="22" t="s">
        <v>21</v>
      </c>
      <c r="K605" s="22" t="s">
        <v>11</v>
      </c>
      <c r="L605" s="22" t="s">
        <v>15</v>
      </c>
      <c r="M605" s="22" t="s">
        <v>27</v>
      </c>
      <c r="N605" s="22" t="s">
        <v>7</v>
      </c>
      <c r="O605" s="40" t="s">
        <v>33</v>
      </c>
      <c r="P605" s="31"/>
      <c r="Q605" s="22" t="s">
        <v>40</v>
      </c>
      <c r="S605" s="18" t="str">
        <f t="shared" si="18"/>
        <v>CGPA</v>
      </c>
      <c r="T605" s="18">
        <f t="shared" si="19"/>
        <v>210.5</v>
      </c>
    </row>
    <row r="606" spans="5:20" ht="22.5">
      <c r="E606" s="21" t="s">
        <v>41</v>
      </c>
      <c r="F606" s="21" t="s">
        <v>459</v>
      </c>
      <c r="G606" s="11" t="s">
        <v>43</v>
      </c>
      <c r="H606" s="23" t="s">
        <v>185</v>
      </c>
      <c r="I606" s="23" t="s">
        <v>460</v>
      </c>
      <c r="J606" s="23" t="s">
        <v>461</v>
      </c>
      <c r="K606" s="23" t="s">
        <v>462</v>
      </c>
      <c r="L606" s="23" t="s">
        <v>463</v>
      </c>
      <c r="M606" s="23" t="s">
        <v>132</v>
      </c>
      <c r="N606" s="23" t="s">
        <v>166</v>
      </c>
      <c r="O606" s="30" t="s">
        <v>51</v>
      </c>
      <c r="P606" s="31"/>
      <c r="Q606" s="11" t="s">
        <v>37</v>
      </c>
      <c r="S606" s="18" t="str">
        <f t="shared" si="18"/>
        <v>Result: PASS</v>
      </c>
      <c r="T606" s="18">
        <f t="shared" si="19"/>
        <v>566</v>
      </c>
    </row>
    <row r="607" spans="5:20">
      <c r="E607" s="32" t="s">
        <v>464</v>
      </c>
      <c r="F607" s="33"/>
      <c r="G607" s="11" t="s">
        <v>53</v>
      </c>
      <c r="H607" s="23" t="s">
        <v>51</v>
      </c>
      <c r="I607" s="23" t="s">
        <v>51</v>
      </c>
      <c r="J607" s="23" t="s">
        <v>51</v>
      </c>
      <c r="K607" s="23" t="s">
        <v>51</v>
      </c>
      <c r="L607" s="23" t="s">
        <v>51</v>
      </c>
      <c r="M607" s="23" t="s">
        <v>51</v>
      </c>
      <c r="N607" s="23" t="s">
        <v>51</v>
      </c>
      <c r="O607" s="30" t="s">
        <v>100</v>
      </c>
      <c r="P607" s="31"/>
      <c r="Q607" s="11" t="s">
        <v>37</v>
      </c>
      <c r="S607" s="18" t="str">
        <f t="shared" si="18"/>
        <v>Class</v>
      </c>
      <c r="T607" s="18">
        <f t="shared" si="19"/>
        <v>700</v>
      </c>
    </row>
    <row r="608" spans="5:20">
      <c r="E608" s="34"/>
      <c r="F608" s="35"/>
      <c r="G608" s="11" t="s">
        <v>55</v>
      </c>
      <c r="H608" s="23" t="s">
        <v>37</v>
      </c>
      <c r="I608" s="23" t="s">
        <v>37</v>
      </c>
      <c r="J608" s="23" t="s">
        <v>37</v>
      </c>
      <c r="K608" s="23" t="s">
        <v>37</v>
      </c>
      <c r="L608" s="23" t="s">
        <v>37</v>
      </c>
      <c r="M608" s="23" t="s">
        <v>37</v>
      </c>
      <c r="N608" s="23" t="s">
        <v>37</v>
      </c>
      <c r="O608" s="30" t="s">
        <v>37</v>
      </c>
      <c r="P608" s="31"/>
      <c r="Q608" s="11">
        <v>0</v>
      </c>
      <c r="S608" s="18" t="str">
        <f t="shared" si="18"/>
        <v>Term Grade: OA</v>
      </c>
      <c r="T608" s="18" t="str">
        <f t="shared" si="19"/>
        <v/>
      </c>
    </row>
    <row r="609" spans="5:20">
      <c r="E609" s="36"/>
      <c r="F609" s="37"/>
      <c r="G609" s="11" t="s">
        <v>56</v>
      </c>
      <c r="H609" s="23">
        <v>4</v>
      </c>
      <c r="I609" s="23">
        <v>4</v>
      </c>
      <c r="J609" s="23">
        <v>4</v>
      </c>
      <c r="K609" s="23">
        <v>3</v>
      </c>
      <c r="L609" s="23">
        <v>3</v>
      </c>
      <c r="M609" s="23">
        <v>3</v>
      </c>
      <c r="N609" s="23">
        <v>2</v>
      </c>
      <c r="O609" s="30">
        <v>2</v>
      </c>
      <c r="P609" s="31"/>
      <c r="Q609" s="11">
        <v>25</v>
      </c>
      <c r="S609" s="18" t="str">
        <f t="shared" si="18"/>
        <v>M.C.No</v>
      </c>
      <c r="T609" s="18" t="str">
        <f t="shared" si="19"/>
        <v/>
      </c>
    </row>
    <row r="610" spans="5:20">
      <c r="E610" s="21" t="s">
        <v>57</v>
      </c>
      <c r="F610" s="21">
        <v>8.42</v>
      </c>
      <c r="G610" s="11" t="s">
        <v>58</v>
      </c>
      <c r="H610" s="23">
        <v>8.5</v>
      </c>
      <c r="I610" s="23">
        <v>8.5</v>
      </c>
      <c r="J610" s="23">
        <v>8</v>
      </c>
      <c r="K610" s="23">
        <v>8</v>
      </c>
      <c r="L610" s="23">
        <v>8</v>
      </c>
      <c r="M610" s="23">
        <v>7.5</v>
      </c>
      <c r="N610" s="23">
        <v>10</v>
      </c>
      <c r="O610" s="30">
        <v>10</v>
      </c>
      <c r="P610" s="31"/>
      <c r="Q610" s="11" t="s">
        <v>37</v>
      </c>
      <c r="S610" s="18" t="str">
        <f t="shared" si="18"/>
        <v/>
      </c>
      <c r="T610" s="18" t="str">
        <f t="shared" si="19"/>
        <v/>
      </c>
    </row>
    <row r="611" spans="5:20">
      <c r="E611" s="21" t="s">
        <v>59</v>
      </c>
      <c r="F611" s="14">
        <v>8.42</v>
      </c>
      <c r="G611" s="11" t="s">
        <v>60</v>
      </c>
      <c r="H611" s="23">
        <v>34</v>
      </c>
      <c r="I611" s="23">
        <v>34</v>
      </c>
      <c r="J611" s="23">
        <v>32</v>
      </c>
      <c r="K611" s="23">
        <v>24</v>
      </c>
      <c r="L611" s="23">
        <v>24</v>
      </c>
      <c r="M611" s="23">
        <v>22.5</v>
      </c>
      <c r="N611" s="23">
        <v>20</v>
      </c>
      <c r="O611" s="30">
        <v>20</v>
      </c>
      <c r="P611" s="31"/>
      <c r="Q611" s="11">
        <v>210.5</v>
      </c>
      <c r="S611" s="18">
        <f t="shared" si="18"/>
        <v>0</v>
      </c>
      <c r="T611" s="18">
        <f t="shared" si="19"/>
        <v>0</v>
      </c>
    </row>
    <row r="612" spans="5:20">
      <c r="E612" s="32" t="s">
        <v>61</v>
      </c>
      <c r="F612" s="31"/>
      <c r="G612" s="11" t="s">
        <v>40</v>
      </c>
      <c r="H612" s="23">
        <v>82</v>
      </c>
      <c r="I612" s="23">
        <v>83</v>
      </c>
      <c r="J612" s="23">
        <v>77</v>
      </c>
      <c r="K612" s="23">
        <v>76</v>
      </c>
      <c r="L612" s="23">
        <v>76</v>
      </c>
      <c r="M612" s="23">
        <v>73</v>
      </c>
      <c r="N612" s="23">
        <v>49</v>
      </c>
      <c r="O612" s="30">
        <v>50</v>
      </c>
      <c r="P612" s="31"/>
      <c r="Q612" s="11">
        <v>566</v>
      </c>
      <c r="S612" s="18">
        <f t="shared" si="18"/>
        <v>0</v>
      </c>
      <c r="T612" s="18">
        <f t="shared" si="19"/>
        <v>0</v>
      </c>
    </row>
    <row r="613" spans="5:20">
      <c r="E613" s="21" t="s">
        <v>62</v>
      </c>
      <c r="F613" s="21"/>
      <c r="G613" s="11" t="s">
        <v>63</v>
      </c>
      <c r="H613" s="23">
        <v>100</v>
      </c>
      <c r="I613" s="23">
        <v>100</v>
      </c>
      <c r="J613" s="23">
        <v>100</v>
      </c>
      <c r="K613" s="23">
        <v>100</v>
      </c>
      <c r="L613" s="23">
        <v>100</v>
      </c>
      <c r="M613" s="23">
        <v>100</v>
      </c>
      <c r="N613" s="23">
        <v>50</v>
      </c>
      <c r="O613" s="30">
        <v>50</v>
      </c>
      <c r="P613" s="31"/>
      <c r="Q613" s="11">
        <v>700</v>
      </c>
      <c r="S613" s="18" t="str">
        <f t="shared" si="18"/>
        <v>Dr. B.B. Hegde First Grade College, Kundapura, Udupi.</v>
      </c>
      <c r="T613" s="18" t="str">
        <f t="shared" si="19"/>
        <v/>
      </c>
    </row>
    <row r="614" spans="5:20">
      <c r="E614" s="32" t="s">
        <v>200</v>
      </c>
      <c r="F614" s="31"/>
      <c r="G614" s="11" t="s">
        <v>65</v>
      </c>
      <c r="H614" s="23" t="s">
        <v>70</v>
      </c>
      <c r="I614" s="23" t="s">
        <v>70</v>
      </c>
      <c r="J614" s="23" t="s">
        <v>102</v>
      </c>
      <c r="K614" s="23" t="s">
        <v>102</v>
      </c>
      <c r="L614" s="23" t="s">
        <v>102</v>
      </c>
      <c r="M614" s="23" t="s">
        <v>68</v>
      </c>
      <c r="N614" s="23" t="s">
        <v>88</v>
      </c>
      <c r="O614" s="30" t="s">
        <v>88</v>
      </c>
      <c r="P614" s="31"/>
      <c r="Q614" s="11" t="s">
        <v>37</v>
      </c>
      <c r="S614" s="18" t="str">
        <f t="shared" si="18"/>
        <v>00042</v>
      </c>
      <c r="T614" s="18" t="str">
        <f t="shared" si="19"/>
        <v>Total</v>
      </c>
    </row>
    <row r="615" spans="5:20">
      <c r="E615" s="15" t="s">
        <v>72</v>
      </c>
      <c r="F615" s="15" t="s">
        <v>465</v>
      </c>
      <c r="G615" s="11" t="s">
        <v>74</v>
      </c>
      <c r="H615" s="23" t="s">
        <v>75</v>
      </c>
      <c r="I615" s="23" t="s">
        <v>75</v>
      </c>
      <c r="J615" s="23" t="s">
        <v>75</v>
      </c>
      <c r="K615" s="23" t="s">
        <v>75</v>
      </c>
      <c r="L615" s="23" t="s">
        <v>75</v>
      </c>
      <c r="M615" s="23" t="s">
        <v>75</v>
      </c>
      <c r="N615" s="23" t="s">
        <v>75</v>
      </c>
      <c r="O615" s="30" t="s">
        <v>75</v>
      </c>
      <c r="P615" s="31"/>
      <c r="Q615" s="11" t="s">
        <v>37</v>
      </c>
      <c r="S615" s="18" t="str">
        <f t="shared" si="18"/>
        <v>USN</v>
      </c>
      <c r="T615" s="18" t="str">
        <f t="shared" si="19"/>
        <v/>
      </c>
    </row>
    <row r="616" spans="5:20">
      <c r="E616" s="16" t="s">
        <v>37</v>
      </c>
      <c r="F616" s="16" t="s">
        <v>37</v>
      </c>
      <c r="G616" s="16" t="s">
        <v>37</v>
      </c>
      <c r="H616" s="24" t="s">
        <v>37</v>
      </c>
      <c r="I616" s="24" t="s">
        <v>37</v>
      </c>
      <c r="J616" s="24" t="s">
        <v>37</v>
      </c>
      <c r="K616" s="24" t="s">
        <v>37</v>
      </c>
      <c r="L616" s="24" t="s">
        <v>37</v>
      </c>
      <c r="M616" s="24" t="s">
        <v>37</v>
      </c>
      <c r="N616" s="24" t="s">
        <v>37</v>
      </c>
      <c r="O616" s="41" t="s">
        <v>37</v>
      </c>
      <c r="P616" s="28"/>
      <c r="Q616" s="24" t="s">
        <v>37</v>
      </c>
      <c r="S616" s="18" t="str">
        <f t="shared" si="18"/>
        <v>VISHAL</v>
      </c>
      <c r="T616" s="18" t="str">
        <f t="shared" si="19"/>
        <v/>
      </c>
    </row>
    <row r="617" spans="5:20" ht="0" hidden="1" customHeight="1">
      <c r="S617" s="18">
        <f t="shared" si="18"/>
        <v>0</v>
      </c>
      <c r="T617" s="18">
        <f t="shared" si="19"/>
        <v>0</v>
      </c>
    </row>
    <row r="618" spans="5:20" ht="0.6" customHeight="1">
      <c r="S618" s="18">
        <f t="shared" si="18"/>
        <v>0</v>
      </c>
      <c r="T618" s="18">
        <f t="shared" si="19"/>
        <v>25</v>
      </c>
    </row>
    <row r="619" spans="5:20">
      <c r="E619" s="38" t="s">
        <v>35</v>
      </c>
      <c r="F619" s="31"/>
      <c r="G619" s="19" t="s">
        <v>36</v>
      </c>
      <c r="H619" s="20" t="s">
        <v>37</v>
      </c>
      <c r="I619" s="20" t="s">
        <v>37</v>
      </c>
      <c r="J619" s="20" t="s">
        <v>37</v>
      </c>
      <c r="K619" s="20" t="s">
        <v>37</v>
      </c>
      <c r="L619" s="20" t="s">
        <v>37</v>
      </c>
      <c r="M619" s="20" t="s">
        <v>37</v>
      </c>
      <c r="N619" s="20" t="s">
        <v>37</v>
      </c>
      <c r="O619" s="39" t="s">
        <v>37</v>
      </c>
      <c r="P619" s="28"/>
      <c r="Q619" s="20" t="s">
        <v>37</v>
      </c>
      <c r="S619" s="18" t="str">
        <f t="shared" si="18"/>
        <v>SGPA</v>
      </c>
      <c r="T619" s="18" t="str">
        <f t="shared" si="19"/>
        <v/>
      </c>
    </row>
    <row r="620" spans="5:20" ht="21">
      <c r="E620" s="32" t="s">
        <v>466</v>
      </c>
      <c r="F620" s="31"/>
      <c r="G620" s="22" t="s">
        <v>39</v>
      </c>
      <c r="H620" s="22" t="s">
        <v>19</v>
      </c>
      <c r="I620" s="22" t="s">
        <v>9</v>
      </c>
      <c r="J620" s="22" t="s">
        <v>21</v>
      </c>
      <c r="K620" s="22" t="s">
        <v>11</v>
      </c>
      <c r="L620" s="22" t="s">
        <v>17</v>
      </c>
      <c r="M620" s="22" t="s">
        <v>27</v>
      </c>
      <c r="N620" s="22" t="s">
        <v>7</v>
      </c>
      <c r="O620" s="40" t="s">
        <v>29</v>
      </c>
      <c r="P620" s="31"/>
      <c r="Q620" s="22" t="s">
        <v>40</v>
      </c>
      <c r="S620" s="18" t="str">
        <f t="shared" si="18"/>
        <v>CGPA</v>
      </c>
      <c r="T620" s="18">
        <f t="shared" si="19"/>
        <v>182.5</v>
      </c>
    </row>
    <row r="621" spans="5:20" ht="22.5">
      <c r="E621" s="21" t="s">
        <v>41</v>
      </c>
      <c r="F621" s="21" t="s">
        <v>467</v>
      </c>
      <c r="G621" s="11" t="s">
        <v>43</v>
      </c>
      <c r="H621" s="23" t="s">
        <v>47</v>
      </c>
      <c r="I621" s="23" t="s">
        <v>468</v>
      </c>
      <c r="J621" s="23" t="s">
        <v>469</v>
      </c>
      <c r="K621" s="23" t="s">
        <v>470</v>
      </c>
      <c r="L621" s="23" t="s">
        <v>425</v>
      </c>
      <c r="M621" s="23" t="s">
        <v>471</v>
      </c>
      <c r="N621" s="23" t="s">
        <v>389</v>
      </c>
      <c r="O621" s="30" t="s">
        <v>51</v>
      </c>
      <c r="P621" s="31"/>
      <c r="Q621" s="11" t="s">
        <v>37</v>
      </c>
      <c r="S621" s="18" t="str">
        <f t="shared" si="18"/>
        <v>Result: PASS</v>
      </c>
      <c r="T621" s="18">
        <f t="shared" si="19"/>
        <v>483</v>
      </c>
    </row>
    <row r="622" spans="5:20">
      <c r="E622" s="32" t="s">
        <v>472</v>
      </c>
      <c r="F622" s="33"/>
      <c r="G622" s="11" t="s">
        <v>53</v>
      </c>
      <c r="H622" s="23" t="s">
        <v>51</v>
      </c>
      <c r="I622" s="23" t="s">
        <v>51</v>
      </c>
      <c r="J622" s="23" t="s">
        <v>51</v>
      </c>
      <c r="K622" s="23" t="s">
        <v>51</v>
      </c>
      <c r="L622" s="23" t="s">
        <v>51</v>
      </c>
      <c r="M622" s="23" t="s">
        <v>51</v>
      </c>
      <c r="N622" s="23" t="s">
        <v>51</v>
      </c>
      <c r="O622" s="30" t="s">
        <v>125</v>
      </c>
      <c r="P622" s="31"/>
      <c r="Q622" s="11" t="s">
        <v>37</v>
      </c>
      <c r="S622" s="18" t="str">
        <f t="shared" si="18"/>
        <v>Class</v>
      </c>
      <c r="T622" s="18">
        <f t="shared" si="19"/>
        <v>700</v>
      </c>
    </row>
    <row r="623" spans="5:20">
      <c r="E623" s="34"/>
      <c r="F623" s="35"/>
      <c r="G623" s="11" t="s">
        <v>55</v>
      </c>
      <c r="H623" s="23" t="s">
        <v>37</v>
      </c>
      <c r="I623" s="23" t="s">
        <v>37</v>
      </c>
      <c r="J623" s="23" t="s">
        <v>37</v>
      </c>
      <c r="K623" s="23" t="s">
        <v>37</v>
      </c>
      <c r="L623" s="23" t="s">
        <v>37</v>
      </c>
      <c r="M623" s="23" t="s">
        <v>37</v>
      </c>
      <c r="N623" s="23" t="s">
        <v>37</v>
      </c>
      <c r="O623" s="30" t="s">
        <v>37</v>
      </c>
      <c r="P623" s="31"/>
      <c r="Q623" s="11">
        <v>0</v>
      </c>
      <c r="S623" s="18" t="str">
        <f t="shared" si="18"/>
        <v>Term Grade: AA</v>
      </c>
      <c r="T623" s="18" t="str">
        <f t="shared" si="19"/>
        <v/>
      </c>
    </row>
    <row r="624" spans="5:20">
      <c r="E624" s="36"/>
      <c r="F624" s="37"/>
      <c r="G624" s="11" t="s">
        <v>56</v>
      </c>
      <c r="H624" s="23">
        <v>4</v>
      </c>
      <c r="I624" s="23">
        <v>4</v>
      </c>
      <c r="J624" s="23">
        <v>4</v>
      </c>
      <c r="K624" s="23">
        <v>3</v>
      </c>
      <c r="L624" s="23">
        <v>3</v>
      </c>
      <c r="M624" s="23">
        <v>3</v>
      </c>
      <c r="N624" s="23">
        <v>2</v>
      </c>
      <c r="O624" s="30">
        <v>2</v>
      </c>
      <c r="P624" s="31"/>
      <c r="Q624" s="11">
        <v>25</v>
      </c>
      <c r="S624" s="18" t="str">
        <f t="shared" si="18"/>
        <v>M.C.No</v>
      </c>
      <c r="T624" s="18" t="str">
        <f t="shared" si="19"/>
        <v/>
      </c>
    </row>
    <row r="625" spans="5:20">
      <c r="E625" s="21" t="s">
        <v>57</v>
      </c>
      <c r="F625" s="21">
        <v>7.3</v>
      </c>
      <c r="G625" s="11" t="s">
        <v>58</v>
      </c>
      <c r="H625" s="23">
        <v>6.5</v>
      </c>
      <c r="I625" s="23">
        <v>8.5</v>
      </c>
      <c r="J625" s="23">
        <v>6.5</v>
      </c>
      <c r="K625" s="23">
        <v>5.5</v>
      </c>
      <c r="L625" s="23">
        <v>8</v>
      </c>
      <c r="M625" s="23">
        <v>6</v>
      </c>
      <c r="N625" s="23">
        <v>9.5</v>
      </c>
      <c r="O625" s="30">
        <v>9.5</v>
      </c>
      <c r="P625" s="31"/>
      <c r="Q625" s="11" t="s">
        <v>37</v>
      </c>
      <c r="S625" s="18" t="str">
        <f t="shared" si="18"/>
        <v/>
      </c>
      <c r="T625" s="18" t="str">
        <f t="shared" si="19"/>
        <v/>
      </c>
    </row>
    <row r="626" spans="5:20">
      <c r="E626" s="21" t="s">
        <v>59</v>
      </c>
      <c r="F626" s="14">
        <v>7.3</v>
      </c>
      <c r="G626" s="11" t="s">
        <v>60</v>
      </c>
      <c r="H626" s="23">
        <v>26</v>
      </c>
      <c r="I626" s="23">
        <v>34</v>
      </c>
      <c r="J626" s="23">
        <v>26</v>
      </c>
      <c r="K626" s="23">
        <v>16.5</v>
      </c>
      <c r="L626" s="23">
        <v>24</v>
      </c>
      <c r="M626" s="23">
        <v>18</v>
      </c>
      <c r="N626" s="23">
        <v>19</v>
      </c>
      <c r="O626" s="30">
        <v>19</v>
      </c>
      <c r="P626" s="31"/>
      <c r="Q626" s="11">
        <v>182.5</v>
      </c>
      <c r="S626" s="18">
        <f t="shared" si="18"/>
        <v>0</v>
      </c>
      <c r="T626" s="18">
        <f t="shared" si="19"/>
        <v>0</v>
      </c>
    </row>
    <row r="627" spans="5:20">
      <c r="E627" s="32" t="s">
        <v>61</v>
      </c>
      <c r="F627" s="31"/>
      <c r="G627" s="11" t="s">
        <v>40</v>
      </c>
      <c r="H627" s="23">
        <v>60</v>
      </c>
      <c r="I627" s="23">
        <v>81</v>
      </c>
      <c r="J627" s="23">
        <v>63</v>
      </c>
      <c r="K627" s="23">
        <v>52</v>
      </c>
      <c r="L627" s="23">
        <v>76</v>
      </c>
      <c r="M627" s="23">
        <v>59</v>
      </c>
      <c r="N627" s="23">
        <v>46</v>
      </c>
      <c r="O627" s="30">
        <v>46</v>
      </c>
      <c r="P627" s="31"/>
      <c r="Q627" s="11">
        <v>483</v>
      </c>
      <c r="S627" s="18">
        <f t="shared" si="18"/>
        <v>0</v>
      </c>
      <c r="T627" s="18">
        <f t="shared" si="19"/>
        <v>0</v>
      </c>
    </row>
    <row r="628" spans="5:20">
      <c r="E628" s="21" t="s">
        <v>62</v>
      </c>
      <c r="F628" s="21"/>
      <c r="G628" s="11" t="s">
        <v>63</v>
      </c>
      <c r="H628" s="23">
        <v>100</v>
      </c>
      <c r="I628" s="23">
        <v>100</v>
      </c>
      <c r="J628" s="23">
        <v>100</v>
      </c>
      <c r="K628" s="23">
        <v>100</v>
      </c>
      <c r="L628" s="23">
        <v>100</v>
      </c>
      <c r="M628" s="23">
        <v>100</v>
      </c>
      <c r="N628" s="23">
        <v>50</v>
      </c>
      <c r="O628" s="30">
        <v>50</v>
      </c>
      <c r="P628" s="31"/>
      <c r="Q628" s="11">
        <v>700</v>
      </c>
      <c r="S628" s="18" t="str">
        <f t="shared" si="18"/>
        <v>Dr. B.B. Hegde First Grade College, Kundapura, Udupi.</v>
      </c>
      <c r="T628" s="18" t="str">
        <f t="shared" si="19"/>
        <v/>
      </c>
    </row>
    <row r="629" spans="5:20">
      <c r="E629" s="32" t="s">
        <v>101</v>
      </c>
      <c r="F629" s="31"/>
      <c r="G629" s="11" t="s">
        <v>65</v>
      </c>
      <c r="H629" s="23" t="s">
        <v>69</v>
      </c>
      <c r="I629" s="23" t="s">
        <v>70</v>
      </c>
      <c r="J629" s="23" t="s">
        <v>69</v>
      </c>
      <c r="K629" s="23" t="s">
        <v>138</v>
      </c>
      <c r="L629" s="23" t="s">
        <v>102</v>
      </c>
      <c r="M629" s="23" t="s">
        <v>103</v>
      </c>
      <c r="N629" s="23" t="s">
        <v>71</v>
      </c>
      <c r="O629" s="30" t="s">
        <v>71</v>
      </c>
      <c r="P629" s="31"/>
      <c r="Q629" s="11" t="s">
        <v>37</v>
      </c>
      <c r="S629" s="18" t="str">
        <f t="shared" si="18"/>
        <v>00043</v>
      </c>
      <c r="T629" s="18" t="str">
        <f t="shared" si="19"/>
        <v>Total</v>
      </c>
    </row>
    <row r="630" spans="5:20">
      <c r="E630" s="15" t="s">
        <v>72</v>
      </c>
      <c r="F630" s="15" t="s">
        <v>473</v>
      </c>
      <c r="G630" s="11" t="s">
        <v>74</v>
      </c>
      <c r="H630" s="23" t="s">
        <v>75</v>
      </c>
      <c r="I630" s="23" t="s">
        <v>75</v>
      </c>
      <c r="J630" s="23" t="s">
        <v>75</v>
      </c>
      <c r="K630" s="23" t="s">
        <v>75</v>
      </c>
      <c r="L630" s="23" t="s">
        <v>75</v>
      </c>
      <c r="M630" s="23" t="s">
        <v>75</v>
      </c>
      <c r="N630" s="23" t="s">
        <v>75</v>
      </c>
      <c r="O630" s="30" t="s">
        <v>75</v>
      </c>
      <c r="P630" s="31"/>
      <c r="Q630" s="11" t="s">
        <v>37</v>
      </c>
      <c r="S630" s="18" t="str">
        <f t="shared" si="18"/>
        <v>USN</v>
      </c>
      <c r="T630" s="18" t="str">
        <f t="shared" si="19"/>
        <v/>
      </c>
    </row>
    <row r="631" spans="5:20">
      <c r="E631" s="16" t="s">
        <v>37</v>
      </c>
      <c r="F631" s="16" t="s">
        <v>37</v>
      </c>
      <c r="G631" s="16" t="s">
        <v>37</v>
      </c>
      <c r="H631" s="24" t="s">
        <v>37</v>
      </c>
      <c r="I631" s="24" t="s">
        <v>37</v>
      </c>
      <c r="J631" s="24" t="s">
        <v>37</v>
      </c>
      <c r="K631" s="24" t="s">
        <v>37</v>
      </c>
      <c r="L631" s="24" t="s">
        <v>37</v>
      </c>
      <c r="M631" s="24" t="s">
        <v>37</v>
      </c>
      <c r="N631" s="24" t="s">
        <v>37</v>
      </c>
      <c r="O631" s="41" t="s">
        <v>37</v>
      </c>
      <c r="P631" s="28"/>
      <c r="Q631" s="24" t="s">
        <v>37</v>
      </c>
      <c r="S631" s="18" t="str">
        <f t="shared" si="18"/>
        <v>YUVARAJA</v>
      </c>
      <c r="T631" s="18" t="str">
        <f t="shared" si="19"/>
        <v/>
      </c>
    </row>
    <row r="632" spans="5:20" ht="0" hidden="1" customHeight="1">
      <c r="S632" s="18">
        <f t="shared" si="18"/>
        <v>0</v>
      </c>
      <c r="T632" s="18">
        <f t="shared" si="19"/>
        <v>0</v>
      </c>
    </row>
    <row r="633" spans="5:20" ht="0.6" customHeight="1">
      <c r="S633" s="18">
        <f t="shared" si="18"/>
        <v>0</v>
      </c>
      <c r="T633" s="18">
        <f t="shared" si="19"/>
        <v>25</v>
      </c>
    </row>
    <row r="634" spans="5:20">
      <c r="E634" s="38" t="s">
        <v>35</v>
      </c>
      <c r="F634" s="31"/>
      <c r="G634" s="19" t="s">
        <v>36</v>
      </c>
      <c r="H634" s="20" t="s">
        <v>37</v>
      </c>
      <c r="I634" s="20" t="s">
        <v>37</v>
      </c>
      <c r="J634" s="20" t="s">
        <v>37</v>
      </c>
      <c r="K634" s="20" t="s">
        <v>37</v>
      </c>
      <c r="L634" s="20" t="s">
        <v>37</v>
      </c>
      <c r="M634" s="20" t="s">
        <v>37</v>
      </c>
      <c r="N634" s="20" t="s">
        <v>37</v>
      </c>
      <c r="O634" s="39" t="s">
        <v>37</v>
      </c>
      <c r="P634" s="28"/>
      <c r="Q634" s="20" t="s">
        <v>37</v>
      </c>
      <c r="S634" s="18" t="str">
        <f t="shared" si="18"/>
        <v>SGPA</v>
      </c>
      <c r="T634" s="18" t="str">
        <f t="shared" si="19"/>
        <v/>
      </c>
    </row>
    <row r="635" spans="5:20" ht="21">
      <c r="E635" s="32" t="s">
        <v>474</v>
      </c>
      <c r="F635" s="31"/>
      <c r="G635" s="22" t="s">
        <v>39</v>
      </c>
      <c r="H635" s="22" t="s">
        <v>19</v>
      </c>
      <c r="I635" s="22" t="s">
        <v>9</v>
      </c>
      <c r="J635" s="22" t="s">
        <v>21</v>
      </c>
      <c r="K635" s="22" t="s">
        <v>11</v>
      </c>
      <c r="L635" s="22" t="s">
        <v>17</v>
      </c>
      <c r="M635" s="22" t="s">
        <v>27</v>
      </c>
      <c r="N635" s="22" t="s">
        <v>7</v>
      </c>
      <c r="O635" s="40" t="s">
        <v>23</v>
      </c>
      <c r="P635" s="31"/>
      <c r="Q635" s="22" t="s">
        <v>40</v>
      </c>
      <c r="S635" s="18" t="str">
        <f t="shared" si="18"/>
        <v>CGPA</v>
      </c>
      <c r="T635" s="18">
        <f t="shared" si="19"/>
        <v>200</v>
      </c>
    </row>
    <row r="636" spans="5:20" ht="22.5">
      <c r="E636" s="21" t="s">
        <v>41</v>
      </c>
      <c r="F636" s="21" t="s">
        <v>475</v>
      </c>
      <c r="G636" s="11" t="s">
        <v>43</v>
      </c>
      <c r="H636" s="23" t="s">
        <v>476</v>
      </c>
      <c r="I636" s="23" t="s">
        <v>477</v>
      </c>
      <c r="J636" s="23" t="s">
        <v>478</v>
      </c>
      <c r="K636" s="23" t="s">
        <v>479</v>
      </c>
      <c r="L636" s="23" t="s">
        <v>184</v>
      </c>
      <c r="M636" s="23" t="s">
        <v>480</v>
      </c>
      <c r="N636" s="23" t="s">
        <v>218</v>
      </c>
      <c r="O636" s="30" t="s">
        <v>51</v>
      </c>
      <c r="P636" s="31"/>
      <c r="Q636" s="11" t="s">
        <v>37</v>
      </c>
      <c r="S636" s="18" t="str">
        <f t="shared" si="18"/>
        <v>Result: PASS</v>
      </c>
      <c r="T636" s="18">
        <f t="shared" si="19"/>
        <v>537</v>
      </c>
    </row>
    <row r="637" spans="5:20">
      <c r="E637" s="32" t="s">
        <v>481</v>
      </c>
      <c r="F637" s="33"/>
      <c r="G637" s="11" t="s">
        <v>53</v>
      </c>
      <c r="H637" s="23" t="s">
        <v>51</v>
      </c>
      <c r="I637" s="23" t="s">
        <v>51</v>
      </c>
      <c r="J637" s="23" t="s">
        <v>51</v>
      </c>
      <c r="K637" s="23" t="s">
        <v>51</v>
      </c>
      <c r="L637" s="23" t="s">
        <v>51</v>
      </c>
      <c r="M637" s="23" t="s">
        <v>51</v>
      </c>
      <c r="N637" s="23" t="s">
        <v>51</v>
      </c>
      <c r="O637" s="30" t="s">
        <v>482</v>
      </c>
      <c r="P637" s="31"/>
      <c r="Q637" s="11" t="s">
        <v>37</v>
      </c>
      <c r="S637" s="18" t="str">
        <f t="shared" si="18"/>
        <v>Class</v>
      </c>
      <c r="T637" s="18">
        <f t="shared" si="19"/>
        <v>700</v>
      </c>
    </row>
    <row r="638" spans="5:20">
      <c r="E638" s="34"/>
      <c r="F638" s="35"/>
      <c r="G638" s="11" t="s">
        <v>55</v>
      </c>
      <c r="H638" s="23" t="s">
        <v>37</v>
      </c>
      <c r="I638" s="23" t="s">
        <v>37</v>
      </c>
      <c r="J638" s="23" t="s">
        <v>37</v>
      </c>
      <c r="K638" s="23" t="s">
        <v>37</v>
      </c>
      <c r="L638" s="23" t="s">
        <v>37</v>
      </c>
      <c r="M638" s="23" t="s">
        <v>37</v>
      </c>
      <c r="N638" s="23" t="s">
        <v>37</v>
      </c>
      <c r="O638" s="30" t="s">
        <v>37</v>
      </c>
      <c r="P638" s="31"/>
      <c r="Q638" s="11">
        <v>0</v>
      </c>
      <c r="S638" s="18" t="str">
        <f t="shared" si="18"/>
        <v>Term Grade: OA</v>
      </c>
      <c r="T638" s="18" t="str">
        <f t="shared" si="19"/>
        <v/>
      </c>
    </row>
    <row r="639" spans="5:20">
      <c r="E639" s="36"/>
      <c r="F639" s="37"/>
      <c r="G639" s="11" t="s">
        <v>56</v>
      </c>
      <c r="H639" s="23">
        <v>4</v>
      </c>
      <c r="I639" s="23">
        <v>4</v>
      </c>
      <c r="J639" s="23">
        <v>4</v>
      </c>
      <c r="K639" s="23">
        <v>3</v>
      </c>
      <c r="L639" s="23">
        <v>3</v>
      </c>
      <c r="M639" s="23">
        <v>3</v>
      </c>
      <c r="N639" s="23">
        <v>2</v>
      </c>
      <c r="O639" s="30">
        <v>2</v>
      </c>
      <c r="P639" s="31"/>
      <c r="Q639" s="11">
        <v>25</v>
      </c>
      <c r="S639" s="18" t="str">
        <f t="shared" si="18"/>
        <v>M.C.No</v>
      </c>
      <c r="T639" s="18" t="str">
        <f t="shared" si="19"/>
        <v/>
      </c>
    </row>
    <row r="640" spans="5:20">
      <c r="E640" s="21" t="s">
        <v>57</v>
      </c>
      <c r="F640" s="21">
        <v>8</v>
      </c>
      <c r="G640" s="11" t="s">
        <v>58</v>
      </c>
      <c r="H640" s="23">
        <v>7.5</v>
      </c>
      <c r="I640" s="23">
        <v>10</v>
      </c>
      <c r="J640" s="23">
        <v>7.5</v>
      </c>
      <c r="K640" s="23">
        <v>5.5</v>
      </c>
      <c r="L640" s="23">
        <v>8</v>
      </c>
      <c r="M640" s="23">
        <v>8.5</v>
      </c>
      <c r="N640" s="23">
        <v>9.5</v>
      </c>
      <c r="O640" s="30">
        <v>7.5</v>
      </c>
      <c r="P640" s="31"/>
      <c r="Q640" s="11" t="s">
        <v>37</v>
      </c>
      <c r="S640" s="18" t="str">
        <f t="shared" si="18"/>
        <v/>
      </c>
      <c r="T640" s="18" t="str">
        <f t="shared" si="19"/>
        <v/>
      </c>
    </row>
    <row r="641" spans="5:20">
      <c r="E641" s="21" t="s">
        <v>59</v>
      </c>
      <c r="F641" s="14">
        <v>8</v>
      </c>
      <c r="G641" s="11" t="s">
        <v>60</v>
      </c>
      <c r="H641" s="23">
        <v>30</v>
      </c>
      <c r="I641" s="23">
        <v>40</v>
      </c>
      <c r="J641" s="23">
        <v>30</v>
      </c>
      <c r="K641" s="23">
        <v>16.5</v>
      </c>
      <c r="L641" s="23">
        <v>24</v>
      </c>
      <c r="M641" s="23">
        <v>25.5</v>
      </c>
      <c r="N641" s="23">
        <v>19</v>
      </c>
      <c r="O641" s="30">
        <v>15</v>
      </c>
      <c r="P641" s="31"/>
      <c r="Q641" s="11">
        <v>200</v>
      </c>
      <c r="S641" s="18">
        <f t="shared" si="18"/>
        <v>0</v>
      </c>
      <c r="T641" s="18">
        <f t="shared" si="19"/>
        <v>0</v>
      </c>
    </row>
    <row r="642" spans="5:20">
      <c r="E642" s="32" t="s">
        <v>61</v>
      </c>
      <c r="F642" s="31"/>
      <c r="G642" s="11" t="s">
        <v>40</v>
      </c>
      <c r="H642" s="23">
        <v>72</v>
      </c>
      <c r="I642" s="23">
        <v>96</v>
      </c>
      <c r="J642" s="23">
        <v>72</v>
      </c>
      <c r="K642" s="23">
        <v>54</v>
      </c>
      <c r="L642" s="23">
        <v>77</v>
      </c>
      <c r="M642" s="23">
        <v>82</v>
      </c>
      <c r="N642" s="23">
        <v>47</v>
      </c>
      <c r="O642" s="30">
        <v>37</v>
      </c>
      <c r="P642" s="31"/>
      <c r="Q642" s="11">
        <v>537</v>
      </c>
      <c r="S642" s="18">
        <f t="shared" si="18"/>
        <v>0</v>
      </c>
      <c r="T642" s="18">
        <f t="shared" si="19"/>
        <v>0</v>
      </c>
    </row>
    <row r="643" spans="5:20">
      <c r="E643" s="21" t="s">
        <v>62</v>
      </c>
      <c r="F643" s="21"/>
      <c r="G643" s="11" t="s">
        <v>63</v>
      </c>
      <c r="H643" s="23">
        <v>100</v>
      </c>
      <c r="I643" s="23">
        <v>100</v>
      </c>
      <c r="J643" s="23">
        <v>100</v>
      </c>
      <c r="K643" s="23">
        <v>100</v>
      </c>
      <c r="L643" s="23">
        <v>100</v>
      </c>
      <c r="M643" s="23">
        <v>100</v>
      </c>
      <c r="N643" s="23">
        <v>50</v>
      </c>
      <c r="O643" s="30">
        <v>50</v>
      </c>
      <c r="P643" s="31"/>
      <c r="Q643" s="11">
        <v>700</v>
      </c>
      <c r="S643" s="18" t="str">
        <f t="shared" si="18"/>
        <v>Dr. B.B. Hegde First Grade College, Kundapura, Udupi.</v>
      </c>
      <c r="T643" s="18" t="str">
        <f t="shared" si="19"/>
        <v/>
      </c>
    </row>
    <row r="644" spans="5:20">
      <c r="E644" s="32" t="s">
        <v>200</v>
      </c>
      <c r="F644" s="31"/>
      <c r="G644" s="11" t="s">
        <v>65</v>
      </c>
      <c r="H644" s="23" t="s">
        <v>68</v>
      </c>
      <c r="I644" s="23" t="s">
        <v>88</v>
      </c>
      <c r="J644" s="23" t="s">
        <v>68</v>
      </c>
      <c r="K644" s="23" t="s">
        <v>138</v>
      </c>
      <c r="L644" s="23" t="s">
        <v>102</v>
      </c>
      <c r="M644" s="23" t="s">
        <v>70</v>
      </c>
      <c r="N644" s="23" t="s">
        <v>71</v>
      </c>
      <c r="O644" s="30" t="s">
        <v>68</v>
      </c>
      <c r="P644" s="31"/>
      <c r="Q644" s="11" t="s">
        <v>37</v>
      </c>
      <c r="S644" s="18" t="str">
        <f t="shared" si="18"/>
        <v>00044</v>
      </c>
      <c r="T644" s="18" t="str">
        <f t="shared" si="19"/>
        <v>Total</v>
      </c>
    </row>
    <row r="645" spans="5:20">
      <c r="E645" s="15" t="s">
        <v>72</v>
      </c>
      <c r="F645" s="15" t="s">
        <v>483</v>
      </c>
      <c r="G645" s="11" t="s">
        <v>74</v>
      </c>
      <c r="H645" s="23" t="s">
        <v>75</v>
      </c>
      <c r="I645" s="23" t="s">
        <v>75</v>
      </c>
      <c r="J645" s="23" t="s">
        <v>75</v>
      </c>
      <c r="K645" s="23" t="s">
        <v>75</v>
      </c>
      <c r="L645" s="23" t="s">
        <v>75</v>
      </c>
      <c r="M645" s="23" t="s">
        <v>75</v>
      </c>
      <c r="N645" s="23" t="s">
        <v>75</v>
      </c>
      <c r="O645" s="30" t="s">
        <v>75</v>
      </c>
      <c r="P645" s="31"/>
      <c r="Q645" s="11" t="s">
        <v>37</v>
      </c>
      <c r="S645" s="18" t="str">
        <f t="shared" si="18"/>
        <v>USN</v>
      </c>
      <c r="T645" s="18" t="str">
        <f t="shared" si="19"/>
        <v/>
      </c>
    </row>
    <row r="646" spans="5:20">
      <c r="E646" s="16" t="s">
        <v>37</v>
      </c>
      <c r="F646" s="16" t="s">
        <v>37</v>
      </c>
      <c r="G646" s="16" t="s">
        <v>37</v>
      </c>
      <c r="H646" s="24" t="s">
        <v>37</v>
      </c>
      <c r="I646" s="24" t="s">
        <v>37</v>
      </c>
      <c r="J646" s="24" t="s">
        <v>37</v>
      </c>
      <c r="K646" s="24" t="s">
        <v>37</v>
      </c>
      <c r="L646" s="24" t="s">
        <v>37</v>
      </c>
      <c r="M646" s="24" t="s">
        <v>37</v>
      </c>
      <c r="N646" s="24" t="s">
        <v>37</v>
      </c>
      <c r="O646" s="41" t="s">
        <v>37</v>
      </c>
      <c r="P646" s="28"/>
      <c r="Q646" s="24" t="s">
        <v>37</v>
      </c>
      <c r="S646" s="18" t="str">
        <f t="shared" si="18"/>
        <v>SUJAN</v>
      </c>
      <c r="T646" s="18" t="str">
        <f t="shared" si="19"/>
        <v/>
      </c>
    </row>
    <row r="647" spans="5:20" ht="0" hidden="1" customHeight="1">
      <c r="S647" s="18">
        <f t="shared" si="18"/>
        <v>0</v>
      </c>
      <c r="T647" s="18">
        <f t="shared" si="19"/>
        <v>0</v>
      </c>
    </row>
    <row r="648" spans="5:20" ht="0.6" customHeight="1">
      <c r="S648" s="18">
        <f t="shared" si="18"/>
        <v>0</v>
      </c>
      <c r="T648" s="18">
        <f t="shared" si="19"/>
        <v>25</v>
      </c>
    </row>
    <row r="649" spans="5:20">
      <c r="E649" s="38" t="s">
        <v>35</v>
      </c>
      <c r="F649" s="31"/>
      <c r="G649" s="19" t="s">
        <v>36</v>
      </c>
      <c r="H649" s="20" t="s">
        <v>37</v>
      </c>
      <c r="I649" s="20" t="s">
        <v>37</v>
      </c>
      <c r="J649" s="20" t="s">
        <v>37</v>
      </c>
      <c r="K649" s="20" t="s">
        <v>37</v>
      </c>
      <c r="L649" s="20" t="s">
        <v>37</v>
      </c>
      <c r="M649" s="20" t="s">
        <v>37</v>
      </c>
      <c r="N649" s="20" t="s">
        <v>37</v>
      </c>
      <c r="O649" s="39" t="s">
        <v>37</v>
      </c>
      <c r="P649" s="28"/>
      <c r="Q649" s="20" t="s">
        <v>37</v>
      </c>
      <c r="S649" s="18" t="str">
        <f t="shared" si="18"/>
        <v>SGPA</v>
      </c>
      <c r="T649" s="18" t="str">
        <f t="shared" si="19"/>
        <v/>
      </c>
    </row>
    <row r="650" spans="5:20" ht="21">
      <c r="E650" s="32" t="s">
        <v>484</v>
      </c>
      <c r="F650" s="31"/>
      <c r="G650" s="22" t="s">
        <v>39</v>
      </c>
      <c r="H650" s="22" t="s">
        <v>19</v>
      </c>
      <c r="I650" s="22" t="s">
        <v>9</v>
      </c>
      <c r="J650" s="22" t="s">
        <v>21</v>
      </c>
      <c r="K650" s="22" t="s">
        <v>11</v>
      </c>
      <c r="L650" s="22" t="s">
        <v>17</v>
      </c>
      <c r="M650" s="22" t="s">
        <v>27</v>
      </c>
      <c r="N650" s="22" t="s">
        <v>7</v>
      </c>
      <c r="O650" s="40" t="s">
        <v>23</v>
      </c>
      <c r="P650" s="31"/>
      <c r="Q650" s="22" t="s">
        <v>40</v>
      </c>
      <c r="S650" s="18" t="str">
        <f t="shared" si="18"/>
        <v>CGPA</v>
      </c>
      <c r="T650" s="18">
        <f t="shared" si="19"/>
        <v>216</v>
      </c>
    </row>
    <row r="651" spans="5:20" ht="22.5">
      <c r="E651" s="21" t="s">
        <v>41</v>
      </c>
      <c r="F651" s="21" t="s">
        <v>485</v>
      </c>
      <c r="G651" s="11" t="s">
        <v>43</v>
      </c>
      <c r="H651" s="23" t="s">
        <v>486</v>
      </c>
      <c r="I651" s="23" t="s">
        <v>477</v>
      </c>
      <c r="J651" s="23" t="s">
        <v>487</v>
      </c>
      <c r="K651" s="23" t="s">
        <v>153</v>
      </c>
      <c r="L651" s="23" t="s">
        <v>488</v>
      </c>
      <c r="M651" s="23" t="s">
        <v>489</v>
      </c>
      <c r="N651" s="23" t="s">
        <v>310</v>
      </c>
      <c r="O651" s="30" t="s">
        <v>51</v>
      </c>
      <c r="P651" s="31"/>
      <c r="Q651" s="11" t="s">
        <v>37</v>
      </c>
      <c r="S651" s="18" t="str">
        <f t="shared" si="18"/>
        <v>Result: PASS</v>
      </c>
      <c r="T651" s="18">
        <f t="shared" si="19"/>
        <v>580</v>
      </c>
    </row>
    <row r="652" spans="5:20">
      <c r="E652" s="32" t="s">
        <v>490</v>
      </c>
      <c r="F652" s="33"/>
      <c r="G652" s="11" t="s">
        <v>53</v>
      </c>
      <c r="H652" s="23" t="s">
        <v>51</v>
      </c>
      <c r="I652" s="23" t="s">
        <v>51</v>
      </c>
      <c r="J652" s="23" t="s">
        <v>51</v>
      </c>
      <c r="K652" s="23" t="s">
        <v>51</v>
      </c>
      <c r="L652" s="23" t="s">
        <v>51</v>
      </c>
      <c r="M652" s="23" t="s">
        <v>51</v>
      </c>
      <c r="N652" s="23" t="s">
        <v>51</v>
      </c>
      <c r="O652" s="30" t="s">
        <v>54</v>
      </c>
      <c r="P652" s="31"/>
      <c r="Q652" s="11" t="s">
        <v>37</v>
      </c>
      <c r="S652" s="18" t="str">
        <f t="shared" ref="S652:S715" si="20">$E658</f>
        <v>Class</v>
      </c>
      <c r="T652" s="18">
        <f t="shared" ref="T652:T715" si="21">$Q658</f>
        <v>700</v>
      </c>
    </row>
    <row r="653" spans="5:20">
      <c r="E653" s="34"/>
      <c r="F653" s="35"/>
      <c r="G653" s="11" t="s">
        <v>55</v>
      </c>
      <c r="H653" s="23" t="s">
        <v>37</v>
      </c>
      <c r="I653" s="23" t="s">
        <v>37</v>
      </c>
      <c r="J653" s="23" t="s">
        <v>37</v>
      </c>
      <c r="K653" s="23" t="s">
        <v>37</v>
      </c>
      <c r="L653" s="23" t="s">
        <v>37</v>
      </c>
      <c r="M653" s="23" t="s">
        <v>37</v>
      </c>
      <c r="N653" s="23" t="s">
        <v>37</v>
      </c>
      <c r="O653" s="30" t="s">
        <v>37</v>
      </c>
      <c r="P653" s="31"/>
      <c r="Q653" s="11">
        <v>0</v>
      </c>
      <c r="S653" s="18" t="str">
        <f t="shared" si="20"/>
        <v>Term Grade: OA+</v>
      </c>
      <c r="T653" s="18" t="str">
        <f t="shared" si="21"/>
        <v/>
      </c>
    </row>
    <row r="654" spans="5:20">
      <c r="E654" s="36"/>
      <c r="F654" s="37"/>
      <c r="G654" s="11" t="s">
        <v>56</v>
      </c>
      <c r="H654" s="23">
        <v>4</v>
      </c>
      <c r="I654" s="23">
        <v>4</v>
      </c>
      <c r="J654" s="23">
        <v>4</v>
      </c>
      <c r="K654" s="23">
        <v>3</v>
      </c>
      <c r="L654" s="23">
        <v>3</v>
      </c>
      <c r="M654" s="23">
        <v>3</v>
      </c>
      <c r="N654" s="23">
        <v>2</v>
      </c>
      <c r="O654" s="30">
        <v>2</v>
      </c>
      <c r="P654" s="31"/>
      <c r="Q654" s="11">
        <v>25</v>
      </c>
      <c r="S654" s="18" t="str">
        <f t="shared" si="20"/>
        <v>M.C.No</v>
      </c>
      <c r="T654" s="18" t="str">
        <f t="shared" si="21"/>
        <v/>
      </c>
    </row>
    <row r="655" spans="5:20">
      <c r="E655" s="21" t="s">
        <v>57</v>
      </c>
      <c r="F655" s="21">
        <v>8.64</v>
      </c>
      <c r="G655" s="11" t="s">
        <v>58</v>
      </c>
      <c r="H655" s="23">
        <v>8</v>
      </c>
      <c r="I655" s="23">
        <v>10</v>
      </c>
      <c r="J655" s="23">
        <v>8.5</v>
      </c>
      <c r="K655" s="23">
        <v>6.5</v>
      </c>
      <c r="L655" s="23">
        <v>9.5</v>
      </c>
      <c r="M655" s="23">
        <v>8</v>
      </c>
      <c r="N655" s="23">
        <v>9.5</v>
      </c>
      <c r="O655" s="30">
        <v>9.5</v>
      </c>
      <c r="P655" s="31"/>
      <c r="Q655" s="11" t="s">
        <v>37</v>
      </c>
      <c r="S655" s="18" t="str">
        <f t="shared" si="20"/>
        <v/>
      </c>
      <c r="T655" s="18" t="str">
        <f t="shared" si="21"/>
        <v/>
      </c>
    </row>
    <row r="656" spans="5:20">
      <c r="E656" s="21" t="s">
        <v>59</v>
      </c>
      <c r="F656" s="14">
        <v>8.64</v>
      </c>
      <c r="G656" s="11" t="s">
        <v>60</v>
      </c>
      <c r="H656" s="23">
        <v>32</v>
      </c>
      <c r="I656" s="23">
        <v>40</v>
      </c>
      <c r="J656" s="23">
        <v>34</v>
      </c>
      <c r="K656" s="23">
        <v>19.5</v>
      </c>
      <c r="L656" s="23">
        <v>28.5</v>
      </c>
      <c r="M656" s="23">
        <v>24</v>
      </c>
      <c r="N656" s="23">
        <v>19</v>
      </c>
      <c r="O656" s="30">
        <v>19</v>
      </c>
      <c r="P656" s="31"/>
      <c r="Q656" s="11">
        <v>216</v>
      </c>
      <c r="S656" s="18">
        <f t="shared" si="20"/>
        <v>0</v>
      </c>
      <c r="T656" s="18">
        <f t="shared" si="21"/>
        <v>0</v>
      </c>
    </row>
    <row r="657" spans="5:20">
      <c r="E657" s="32" t="s">
        <v>61</v>
      </c>
      <c r="F657" s="31"/>
      <c r="G657" s="11" t="s">
        <v>40</v>
      </c>
      <c r="H657" s="23">
        <v>79</v>
      </c>
      <c r="I657" s="23">
        <v>96</v>
      </c>
      <c r="J657" s="23">
        <v>83</v>
      </c>
      <c r="K657" s="23">
        <v>64</v>
      </c>
      <c r="L657" s="23">
        <v>90</v>
      </c>
      <c r="M657" s="23">
        <v>77</v>
      </c>
      <c r="N657" s="23">
        <v>46</v>
      </c>
      <c r="O657" s="30">
        <v>45</v>
      </c>
      <c r="P657" s="31"/>
      <c r="Q657" s="11">
        <v>580</v>
      </c>
      <c r="S657" s="18">
        <f t="shared" si="20"/>
        <v>0</v>
      </c>
      <c r="T657" s="18">
        <f t="shared" si="21"/>
        <v>0</v>
      </c>
    </row>
    <row r="658" spans="5:20">
      <c r="E658" s="21" t="s">
        <v>62</v>
      </c>
      <c r="F658" s="21"/>
      <c r="G658" s="11" t="s">
        <v>63</v>
      </c>
      <c r="H658" s="23">
        <v>100</v>
      </c>
      <c r="I658" s="23">
        <v>100</v>
      </c>
      <c r="J658" s="23">
        <v>100</v>
      </c>
      <c r="K658" s="23">
        <v>100</v>
      </c>
      <c r="L658" s="23">
        <v>100</v>
      </c>
      <c r="M658" s="23">
        <v>100</v>
      </c>
      <c r="N658" s="23">
        <v>50</v>
      </c>
      <c r="O658" s="30">
        <v>50</v>
      </c>
      <c r="P658" s="31"/>
      <c r="Q658" s="11">
        <v>700</v>
      </c>
      <c r="S658" s="18" t="str">
        <f t="shared" si="20"/>
        <v>Dr. B.B. Hegde First Grade College, Kundapura, Udupi.</v>
      </c>
      <c r="T658" s="18" t="str">
        <f t="shared" si="21"/>
        <v/>
      </c>
    </row>
    <row r="659" spans="5:20">
      <c r="E659" s="32" t="s">
        <v>188</v>
      </c>
      <c r="F659" s="31"/>
      <c r="G659" s="11" t="s">
        <v>65</v>
      </c>
      <c r="H659" s="23" t="s">
        <v>102</v>
      </c>
      <c r="I659" s="23" t="s">
        <v>88</v>
      </c>
      <c r="J659" s="23" t="s">
        <v>70</v>
      </c>
      <c r="K659" s="23" t="s">
        <v>69</v>
      </c>
      <c r="L659" s="23" t="s">
        <v>71</v>
      </c>
      <c r="M659" s="23" t="s">
        <v>102</v>
      </c>
      <c r="N659" s="23" t="s">
        <v>71</v>
      </c>
      <c r="O659" s="30" t="s">
        <v>71</v>
      </c>
      <c r="P659" s="31"/>
      <c r="Q659" s="11" t="s">
        <v>37</v>
      </c>
      <c r="S659" s="18" t="str">
        <f t="shared" si="20"/>
        <v>00045</v>
      </c>
      <c r="T659" s="18" t="str">
        <f t="shared" si="21"/>
        <v>Total</v>
      </c>
    </row>
    <row r="660" spans="5:20">
      <c r="E660" s="15" t="s">
        <v>72</v>
      </c>
      <c r="F660" s="15" t="s">
        <v>491</v>
      </c>
      <c r="G660" s="11" t="s">
        <v>74</v>
      </c>
      <c r="H660" s="23" t="s">
        <v>75</v>
      </c>
      <c r="I660" s="23" t="s">
        <v>75</v>
      </c>
      <c r="J660" s="23" t="s">
        <v>75</v>
      </c>
      <c r="K660" s="23" t="s">
        <v>75</v>
      </c>
      <c r="L660" s="23" t="s">
        <v>75</v>
      </c>
      <c r="M660" s="23" t="s">
        <v>75</v>
      </c>
      <c r="N660" s="23" t="s">
        <v>75</v>
      </c>
      <c r="O660" s="30" t="s">
        <v>75</v>
      </c>
      <c r="P660" s="31"/>
      <c r="Q660" s="11" t="s">
        <v>37</v>
      </c>
      <c r="S660" s="18" t="str">
        <f t="shared" si="20"/>
        <v>USN</v>
      </c>
      <c r="T660" s="18" t="str">
        <f t="shared" si="21"/>
        <v/>
      </c>
    </row>
    <row r="661" spans="5:20">
      <c r="E661" s="16" t="s">
        <v>37</v>
      </c>
      <c r="F661" s="16" t="s">
        <v>37</v>
      </c>
      <c r="G661" s="16" t="s">
        <v>37</v>
      </c>
      <c r="H661" s="24" t="s">
        <v>37</v>
      </c>
      <c r="I661" s="24" t="s">
        <v>37</v>
      </c>
      <c r="J661" s="24" t="s">
        <v>37</v>
      </c>
      <c r="K661" s="24" t="s">
        <v>37</v>
      </c>
      <c r="L661" s="24" t="s">
        <v>37</v>
      </c>
      <c r="M661" s="24" t="s">
        <v>37</v>
      </c>
      <c r="N661" s="24" t="s">
        <v>37</v>
      </c>
      <c r="O661" s="41" t="s">
        <v>37</v>
      </c>
      <c r="P661" s="28"/>
      <c r="Q661" s="24" t="s">
        <v>37</v>
      </c>
      <c r="S661" s="18" t="str">
        <f t="shared" si="20"/>
        <v>NAGENDRA B</v>
      </c>
      <c r="T661" s="18" t="str">
        <f t="shared" si="21"/>
        <v/>
      </c>
    </row>
    <row r="662" spans="5:20" ht="0" hidden="1" customHeight="1">
      <c r="S662" s="18">
        <f t="shared" si="20"/>
        <v>0</v>
      </c>
      <c r="T662" s="18">
        <f t="shared" si="21"/>
        <v>0</v>
      </c>
    </row>
    <row r="663" spans="5:20" ht="0.6" customHeight="1">
      <c r="S663" s="18">
        <f t="shared" si="20"/>
        <v>0</v>
      </c>
      <c r="T663" s="18">
        <f t="shared" si="21"/>
        <v>25</v>
      </c>
    </row>
    <row r="664" spans="5:20">
      <c r="E664" s="38" t="s">
        <v>35</v>
      </c>
      <c r="F664" s="31"/>
      <c r="G664" s="19" t="s">
        <v>36</v>
      </c>
      <c r="H664" s="20" t="s">
        <v>37</v>
      </c>
      <c r="I664" s="20" t="s">
        <v>37</v>
      </c>
      <c r="J664" s="20" t="s">
        <v>37</v>
      </c>
      <c r="K664" s="20" t="s">
        <v>37</v>
      </c>
      <c r="L664" s="20" t="s">
        <v>37</v>
      </c>
      <c r="M664" s="20" t="s">
        <v>37</v>
      </c>
      <c r="N664" s="20" t="s">
        <v>37</v>
      </c>
      <c r="O664" s="39" t="s">
        <v>37</v>
      </c>
      <c r="P664" s="28"/>
      <c r="Q664" s="20" t="s">
        <v>37</v>
      </c>
      <c r="S664" s="18" t="str">
        <f t="shared" si="20"/>
        <v>SGPA</v>
      </c>
      <c r="T664" s="18" t="str">
        <f t="shared" si="21"/>
        <v/>
      </c>
    </row>
    <row r="665" spans="5:20" ht="21">
      <c r="E665" s="32" t="s">
        <v>492</v>
      </c>
      <c r="F665" s="31"/>
      <c r="G665" s="22" t="s">
        <v>39</v>
      </c>
      <c r="H665" s="22" t="s">
        <v>19</v>
      </c>
      <c r="I665" s="22" t="s">
        <v>9</v>
      </c>
      <c r="J665" s="22" t="s">
        <v>21</v>
      </c>
      <c r="K665" s="22" t="s">
        <v>11</v>
      </c>
      <c r="L665" s="22" t="s">
        <v>17</v>
      </c>
      <c r="M665" s="22" t="s">
        <v>27</v>
      </c>
      <c r="N665" s="22" t="s">
        <v>7</v>
      </c>
      <c r="O665" s="40" t="s">
        <v>23</v>
      </c>
      <c r="P665" s="31"/>
      <c r="Q665" s="22" t="s">
        <v>40</v>
      </c>
      <c r="S665" s="18" t="str">
        <f t="shared" si="20"/>
        <v>CGPA</v>
      </c>
      <c r="T665" s="18">
        <f t="shared" si="21"/>
        <v>195</v>
      </c>
    </row>
    <row r="666" spans="5:20" ht="22.5">
      <c r="E666" s="21" t="s">
        <v>41</v>
      </c>
      <c r="F666" s="21" t="s">
        <v>493</v>
      </c>
      <c r="G666" s="11" t="s">
        <v>43</v>
      </c>
      <c r="H666" s="23" t="s">
        <v>215</v>
      </c>
      <c r="I666" s="23" t="s">
        <v>45</v>
      </c>
      <c r="J666" s="23" t="s">
        <v>494</v>
      </c>
      <c r="K666" s="23" t="s">
        <v>495</v>
      </c>
      <c r="L666" s="23" t="s">
        <v>432</v>
      </c>
      <c r="M666" s="23" t="s">
        <v>496</v>
      </c>
      <c r="N666" s="23" t="s">
        <v>497</v>
      </c>
      <c r="O666" s="30" t="s">
        <v>51</v>
      </c>
      <c r="P666" s="31"/>
      <c r="Q666" s="11" t="s">
        <v>37</v>
      </c>
      <c r="S666" s="18" t="str">
        <f t="shared" si="20"/>
        <v>Result: PASS</v>
      </c>
      <c r="T666" s="18">
        <f t="shared" si="21"/>
        <v>521</v>
      </c>
    </row>
    <row r="667" spans="5:20">
      <c r="E667" s="32" t="s">
        <v>498</v>
      </c>
      <c r="F667" s="33"/>
      <c r="G667" s="11" t="s">
        <v>53</v>
      </c>
      <c r="H667" s="23" t="s">
        <v>51</v>
      </c>
      <c r="I667" s="23" t="s">
        <v>51</v>
      </c>
      <c r="J667" s="23" t="s">
        <v>51</v>
      </c>
      <c r="K667" s="23" t="s">
        <v>51</v>
      </c>
      <c r="L667" s="23" t="s">
        <v>51</v>
      </c>
      <c r="M667" s="23" t="s">
        <v>51</v>
      </c>
      <c r="N667" s="23" t="s">
        <v>51</v>
      </c>
      <c r="O667" s="30" t="s">
        <v>54</v>
      </c>
      <c r="P667" s="31"/>
      <c r="Q667" s="11" t="s">
        <v>37</v>
      </c>
      <c r="S667" s="18" t="str">
        <f t="shared" si="20"/>
        <v>Class</v>
      </c>
      <c r="T667" s="18">
        <f t="shared" si="21"/>
        <v>700</v>
      </c>
    </row>
    <row r="668" spans="5:20">
      <c r="E668" s="34"/>
      <c r="F668" s="35"/>
      <c r="G668" s="11" t="s">
        <v>55</v>
      </c>
      <c r="H668" s="23" t="s">
        <v>37</v>
      </c>
      <c r="I668" s="23" t="s">
        <v>37</v>
      </c>
      <c r="J668" s="23" t="s">
        <v>37</v>
      </c>
      <c r="K668" s="23" t="s">
        <v>37</v>
      </c>
      <c r="L668" s="23" t="s">
        <v>37</v>
      </c>
      <c r="M668" s="23" t="s">
        <v>37</v>
      </c>
      <c r="N668" s="23" t="s">
        <v>37</v>
      </c>
      <c r="O668" s="30" t="s">
        <v>37</v>
      </c>
      <c r="P668" s="31"/>
      <c r="Q668" s="11">
        <v>0</v>
      </c>
      <c r="S668" s="18" t="str">
        <f t="shared" si="20"/>
        <v>Term Grade: AA+</v>
      </c>
      <c r="T668" s="18" t="str">
        <f t="shared" si="21"/>
        <v/>
      </c>
    </row>
    <row r="669" spans="5:20">
      <c r="E669" s="36"/>
      <c r="F669" s="37"/>
      <c r="G669" s="11" t="s">
        <v>56</v>
      </c>
      <c r="H669" s="23">
        <v>4</v>
      </c>
      <c r="I669" s="23">
        <v>4</v>
      </c>
      <c r="J669" s="23">
        <v>4</v>
      </c>
      <c r="K669" s="23">
        <v>3</v>
      </c>
      <c r="L669" s="23">
        <v>3</v>
      </c>
      <c r="M669" s="23">
        <v>3</v>
      </c>
      <c r="N669" s="23">
        <v>2</v>
      </c>
      <c r="O669" s="30">
        <v>2</v>
      </c>
      <c r="P669" s="31"/>
      <c r="Q669" s="11">
        <v>25</v>
      </c>
      <c r="S669" s="18" t="str">
        <f t="shared" si="20"/>
        <v>M.C.No</v>
      </c>
      <c r="T669" s="18" t="str">
        <f t="shared" si="21"/>
        <v/>
      </c>
    </row>
    <row r="670" spans="5:20">
      <c r="E670" s="21" t="s">
        <v>57</v>
      </c>
      <c r="F670" s="21">
        <v>7.8</v>
      </c>
      <c r="G670" s="11" t="s">
        <v>58</v>
      </c>
      <c r="H670" s="23">
        <v>7</v>
      </c>
      <c r="I670" s="23">
        <v>9</v>
      </c>
      <c r="J670" s="23">
        <v>8</v>
      </c>
      <c r="K670" s="23">
        <v>6</v>
      </c>
      <c r="L670" s="23">
        <v>8</v>
      </c>
      <c r="M670" s="23">
        <v>7</v>
      </c>
      <c r="N670" s="23">
        <v>8.5</v>
      </c>
      <c r="O670" s="30">
        <v>9.5</v>
      </c>
      <c r="P670" s="31"/>
      <c r="Q670" s="11" t="s">
        <v>37</v>
      </c>
      <c r="S670" s="18" t="str">
        <f t="shared" si="20"/>
        <v/>
      </c>
      <c r="T670" s="18" t="str">
        <f t="shared" si="21"/>
        <v/>
      </c>
    </row>
    <row r="671" spans="5:20">
      <c r="E671" s="21" t="s">
        <v>59</v>
      </c>
      <c r="F671" s="14">
        <v>7.8</v>
      </c>
      <c r="G671" s="11" t="s">
        <v>60</v>
      </c>
      <c r="H671" s="23">
        <v>28</v>
      </c>
      <c r="I671" s="23">
        <v>36</v>
      </c>
      <c r="J671" s="23">
        <v>32</v>
      </c>
      <c r="K671" s="23">
        <v>18</v>
      </c>
      <c r="L671" s="23">
        <v>24</v>
      </c>
      <c r="M671" s="23">
        <v>21</v>
      </c>
      <c r="N671" s="23">
        <v>17</v>
      </c>
      <c r="O671" s="30">
        <v>19</v>
      </c>
      <c r="P671" s="31"/>
      <c r="Q671" s="11">
        <v>195</v>
      </c>
      <c r="S671" s="18">
        <f t="shared" si="20"/>
        <v>0</v>
      </c>
      <c r="T671" s="18">
        <f t="shared" si="21"/>
        <v>0</v>
      </c>
    </row>
    <row r="672" spans="5:20">
      <c r="E672" s="32" t="s">
        <v>61</v>
      </c>
      <c r="F672" s="31"/>
      <c r="G672" s="11" t="s">
        <v>40</v>
      </c>
      <c r="H672" s="23">
        <v>68</v>
      </c>
      <c r="I672" s="23">
        <v>89</v>
      </c>
      <c r="J672" s="23">
        <v>76</v>
      </c>
      <c r="K672" s="23">
        <v>58</v>
      </c>
      <c r="L672" s="23">
        <v>78</v>
      </c>
      <c r="M672" s="23">
        <v>67</v>
      </c>
      <c r="N672" s="23">
        <v>40</v>
      </c>
      <c r="O672" s="30">
        <v>45</v>
      </c>
      <c r="P672" s="31"/>
      <c r="Q672" s="11">
        <v>521</v>
      </c>
      <c r="S672" s="18">
        <f t="shared" si="20"/>
        <v>0</v>
      </c>
      <c r="T672" s="18">
        <f t="shared" si="21"/>
        <v>0</v>
      </c>
    </row>
    <row r="673" spans="5:20">
      <c r="E673" s="21" t="s">
        <v>62</v>
      </c>
      <c r="F673" s="21"/>
      <c r="G673" s="11" t="s">
        <v>63</v>
      </c>
      <c r="H673" s="23">
        <v>100</v>
      </c>
      <c r="I673" s="23">
        <v>100</v>
      </c>
      <c r="J673" s="23">
        <v>100</v>
      </c>
      <c r="K673" s="23">
        <v>100</v>
      </c>
      <c r="L673" s="23">
        <v>100</v>
      </c>
      <c r="M673" s="23">
        <v>100</v>
      </c>
      <c r="N673" s="23">
        <v>50</v>
      </c>
      <c r="O673" s="30">
        <v>50</v>
      </c>
      <c r="P673" s="31"/>
      <c r="Q673" s="11">
        <v>700</v>
      </c>
      <c r="S673" s="18" t="str">
        <f t="shared" si="20"/>
        <v>Dr. B.B. Hegde First Grade College, Kundapura, Udupi.</v>
      </c>
      <c r="T673" s="18" t="str">
        <f t="shared" si="21"/>
        <v/>
      </c>
    </row>
    <row r="674" spans="5:20">
      <c r="E674" s="32" t="s">
        <v>64</v>
      </c>
      <c r="F674" s="31"/>
      <c r="G674" s="11" t="s">
        <v>65</v>
      </c>
      <c r="H674" s="23" t="s">
        <v>66</v>
      </c>
      <c r="I674" s="23" t="s">
        <v>67</v>
      </c>
      <c r="J674" s="23" t="s">
        <v>102</v>
      </c>
      <c r="K674" s="23" t="s">
        <v>103</v>
      </c>
      <c r="L674" s="23" t="s">
        <v>102</v>
      </c>
      <c r="M674" s="23" t="s">
        <v>66</v>
      </c>
      <c r="N674" s="23" t="s">
        <v>70</v>
      </c>
      <c r="O674" s="30" t="s">
        <v>71</v>
      </c>
      <c r="P674" s="31"/>
      <c r="Q674" s="11" t="s">
        <v>37</v>
      </c>
      <c r="S674" s="18" t="str">
        <f t="shared" si="20"/>
        <v>00046</v>
      </c>
      <c r="T674" s="18" t="str">
        <f t="shared" si="21"/>
        <v>Total</v>
      </c>
    </row>
    <row r="675" spans="5:20">
      <c r="E675" s="15" t="s">
        <v>72</v>
      </c>
      <c r="F675" s="15" t="s">
        <v>499</v>
      </c>
      <c r="G675" s="11" t="s">
        <v>74</v>
      </c>
      <c r="H675" s="23" t="s">
        <v>75</v>
      </c>
      <c r="I675" s="23" t="s">
        <v>75</v>
      </c>
      <c r="J675" s="23" t="s">
        <v>75</v>
      </c>
      <c r="K675" s="23" t="s">
        <v>75</v>
      </c>
      <c r="L675" s="23" t="s">
        <v>75</v>
      </c>
      <c r="M675" s="23" t="s">
        <v>75</v>
      </c>
      <c r="N675" s="23" t="s">
        <v>75</v>
      </c>
      <c r="O675" s="30" t="s">
        <v>75</v>
      </c>
      <c r="P675" s="31"/>
      <c r="Q675" s="11" t="s">
        <v>37</v>
      </c>
      <c r="S675" s="18" t="str">
        <f t="shared" si="20"/>
        <v>USN</v>
      </c>
      <c r="T675" s="18" t="str">
        <f t="shared" si="21"/>
        <v/>
      </c>
    </row>
    <row r="676" spans="5:20">
      <c r="E676" s="16" t="s">
        <v>37</v>
      </c>
      <c r="F676" s="16" t="s">
        <v>37</v>
      </c>
      <c r="G676" s="16" t="s">
        <v>37</v>
      </c>
      <c r="H676" s="24" t="s">
        <v>37</v>
      </c>
      <c r="I676" s="24" t="s">
        <v>37</v>
      </c>
      <c r="J676" s="24" t="s">
        <v>37</v>
      </c>
      <c r="K676" s="24" t="s">
        <v>37</v>
      </c>
      <c r="L676" s="24" t="s">
        <v>37</v>
      </c>
      <c r="M676" s="24" t="s">
        <v>37</v>
      </c>
      <c r="N676" s="24" t="s">
        <v>37</v>
      </c>
      <c r="O676" s="41" t="s">
        <v>37</v>
      </c>
      <c r="P676" s="28"/>
      <c r="Q676" s="24" t="s">
        <v>37</v>
      </c>
      <c r="S676" s="18" t="str">
        <f t="shared" si="20"/>
        <v>SHREYA</v>
      </c>
      <c r="T676" s="18" t="str">
        <f t="shared" si="21"/>
        <v/>
      </c>
    </row>
    <row r="677" spans="5:20" ht="0" hidden="1" customHeight="1">
      <c r="S677" s="18">
        <f t="shared" si="20"/>
        <v>0</v>
      </c>
      <c r="T677" s="18">
        <f t="shared" si="21"/>
        <v>3</v>
      </c>
    </row>
    <row r="678" spans="5:20" ht="0.6" customHeight="1">
      <c r="S678" s="18">
        <f t="shared" si="20"/>
        <v>0</v>
      </c>
      <c r="T678" s="18">
        <f t="shared" si="21"/>
        <v>25</v>
      </c>
    </row>
    <row r="679" spans="5:20">
      <c r="E679" s="38" t="s">
        <v>35</v>
      </c>
      <c r="F679" s="31"/>
      <c r="G679" s="19" t="s">
        <v>36</v>
      </c>
      <c r="H679" s="20" t="s">
        <v>37</v>
      </c>
      <c r="I679" s="20" t="s">
        <v>37</v>
      </c>
      <c r="J679" s="20" t="s">
        <v>37</v>
      </c>
      <c r="K679" s="20" t="s">
        <v>37</v>
      </c>
      <c r="L679" s="20" t="s">
        <v>37</v>
      </c>
      <c r="M679" s="20" t="s">
        <v>37</v>
      </c>
      <c r="N679" s="20" t="s">
        <v>37</v>
      </c>
      <c r="O679" s="39" t="s">
        <v>37</v>
      </c>
      <c r="P679" s="28"/>
      <c r="Q679" s="20" t="s">
        <v>37</v>
      </c>
      <c r="S679" s="18" t="str">
        <f t="shared" si="20"/>
        <v>SGPA</v>
      </c>
      <c r="T679" s="18" t="str">
        <f t="shared" si="21"/>
        <v/>
      </c>
    </row>
    <row r="680" spans="5:20" ht="21">
      <c r="E680" s="32" t="s">
        <v>500</v>
      </c>
      <c r="F680" s="31"/>
      <c r="G680" s="22" t="s">
        <v>39</v>
      </c>
      <c r="H680" s="22" t="s">
        <v>19</v>
      </c>
      <c r="I680" s="22" t="s">
        <v>9</v>
      </c>
      <c r="J680" s="22" t="s">
        <v>21</v>
      </c>
      <c r="K680" s="22" t="s">
        <v>11</v>
      </c>
      <c r="L680" s="22" t="s">
        <v>17</v>
      </c>
      <c r="M680" s="22" t="s">
        <v>27</v>
      </c>
      <c r="N680" s="22" t="s">
        <v>7</v>
      </c>
      <c r="O680" s="40" t="s">
        <v>23</v>
      </c>
      <c r="P680" s="31"/>
      <c r="Q680" s="22" t="s">
        <v>40</v>
      </c>
      <c r="S680" s="18" t="str">
        <f t="shared" si="20"/>
        <v>CGPA</v>
      </c>
      <c r="T680" s="18">
        <f t="shared" si="21"/>
        <v>157</v>
      </c>
    </row>
    <row r="681" spans="5:20" ht="22.5">
      <c r="E681" s="21" t="s">
        <v>41</v>
      </c>
      <c r="F681" s="21" t="s">
        <v>501</v>
      </c>
      <c r="G681" s="11" t="s">
        <v>43</v>
      </c>
      <c r="H681" s="23" t="s">
        <v>307</v>
      </c>
      <c r="I681" s="23" t="s">
        <v>502</v>
      </c>
      <c r="J681" s="23" t="s">
        <v>133</v>
      </c>
      <c r="K681" s="23" t="s">
        <v>503</v>
      </c>
      <c r="L681" s="23" t="s">
        <v>504</v>
      </c>
      <c r="M681" s="23" t="s">
        <v>479</v>
      </c>
      <c r="N681" s="23" t="s">
        <v>505</v>
      </c>
      <c r="O681" s="30" t="s">
        <v>51</v>
      </c>
      <c r="P681" s="31"/>
      <c r="Q681" s="11" t="s">
        <v>37</v>
      </c>
      <c r="S681" s="18" t="str">
        <f t="shared" si="20"/>
        <v>Result: PASS</v>
      </c>
      <c r="T681" s="18">
        <f t="shared" si="21"/>
        <v>414</v>
      </c>
    </row>
    <row r="682" spans="5:20">
      <c r="E682" s="32" t="s">
        <v>506</v>
      </c>
      <c r="F682" s="33"/>
      <c r="G682" s="11" t="s">
        <v>53</v>
      </c>
      <c r="H682" s="23" t="s">
        <v>51</v>
      </c>
      <c r="I682" s="23" t="s">
        <v>51</v>
      </c>
      <c r="J682" s="23" t="s">
        <v>51</v>
      </c>
      <c r="K682" s="23" t="s">
        <v>51</v>
      </c>
      <c r="L682" s="23" t="s">
        <v>51</v>
      </c>
      <c r="M682" s="23" t="s">
        <v>51</v>
      </c>
      <c r="N682" s="23" t="s">
        <v>51</v>
      </c>
      <c r="O682" s="30" t="s">
        <v>54</v>
      </c>
      <c r="P682" s="31"/>
      <c r="Q682" s="11" t="s">
        <v>37</v>
      </c>
      <c r="S682" s="18" t="str">
        <f t="shared" si="20"/>
        <v>Class</v>
      </c>
      <c r="T682" s="18">
        <f t="shared" si="21"/>
        <v>700</v>
      </c>
    </row>
    <row r="683" spans="5:20">
      <c r="E683" s="34"/>
      <c r="F683" s="35"/>
      <c r="G683" s="11" t="s">
        <v>55</v>
      </c>
      <c r="H683" s="23" t="s">
        <v>37</v>
      </c>
      <c r="I683" s="23" t="s">
        <v>37</v>
      </c>
      <c r="J683" s="23" t="s">
        <v>37</v>
      </c>
      <c r="K683" s="23">
        <v>3</v>
      </c>
      <c r="L683" s="23" t="s">
        <v>37</v>
      </c>
      <c r="M683" s="23" t="s">
        <v>37</v>
      </c>
      <c r="N683" s="23" t="s">
        <v>37</v>
      </c>
      <c r="O683" s="30" t="s">
        <v>37</v>
      </c>
      <c r="P683" s="31"/>
      <c r="Q683" s="11">
        <v>3</v>
      </c>
      <c r="S683" s="18" t="str">
        <f t="shared" si="20"/>
        <v>Term Grade: AB</v>
      </c>
      <c r="T683" s="18" t="str">
        <f t="shared" si="21"/>
        <v/>
      </c>
    </row>
    <row r="684" spans="5:20">
      <c r="E684" s="36"/>
      <c r="F684" s="37"/>
      <c r="G684" s="11" t="s">
        <v>56</v>
      </c>
      <c r="H684" s="23">
        <v>4</v>
      </c>
      <c r="I684" s="23">
        <v>4</v>
      </c>
      <c r="J684" s="23">
        <v>4</v>
      </c>
      <c r="K684" s="23">
        <v>3</v>
      </c>
      <c r="L684" s="23">
        <v>3</v>
      </c>
      <c r="M684" s="23">
        <v>3</v>
      </c>
      <c r="N684" s="23">
        <v>2</v>
      </c>
      <c r="O684" s="30">
        <v>2</v>
      </c>
      <c r="P684" s="31"/>
      <c r="Q684" s="11">
        <v>25</v>
      </c>
      <c r="S684" s="18" t="str">
        <f t="shared" si="20"/>
        <v>M.C.No</v>
      </c>
      <c r="T684" s="18" t="str">
        <f t="shared" si="21"/>
        <v/>
      </c>
    </row>
    <row r="685" spans="5:20">
      <c r="E685" s="21" t="s">
        <v>57</v>
      </c>
      <c r="F685" s="21">
        <v>6.28</v>
      </c>
      <c r="G685" s="11" t="s">
        <v>58</v>
      </c>
      <c r="H685" s="23">
        <v>6.5</v>
      </c>
      <c r="I685" s="23">
        <v>6</v>
      </c>
      <c r="J685" s="23">
        <v>5.5</v>
      </c>
      <c r="K685" s="23">
        <v>4.5</v>
      </c>
      <c r="L685" s="23">
        <v>7</v>
      </c>
      <c r="M685" s="23">
        <v>5.5</v>
      </c>
      <c r="N685" s="23">
        <v>7.5</v>
      </c>
      <c r="O685" s="30">
        <v>9.5</v>
      </c>
      <c r="P685" s="31"/>
      <c r="Q685" s="11" t="s">
        <v>37</v>
      </c>
      <c r="S685" s="18" t="str">
        <f t="shared" si="20"/>
        <v/>
      </c>
      <c r="T685" s="18" t="str">
        <f t="shared" si="21"/>
        <v/>
      </c>
    </row>
    <row r="686" spans="5:20">
      <c r="E686" s="21" t="s">
        <v>59</v>
      </c>
      <c r="F686" s="14">
        <v>6.28</v>
      </c>
      <c r="G686" s="11" t="s">
        <v>60</v>
      </c>
      <c r="H686" s="23">
        <v>26</v>
      </c>
      <c r="I686" s="23">
        <v>24</v>
      </c>
      <c r="J686" s="23">
        <v>22</v>
      </c>
      <c r="K686" s="23">
        <v>13.5</v>
      </c>
      <c r="L686" s="23">
        <v>21</v>
      </c>
      <c r="M686" s="23">
        <v>16.5</v>
      </c>
      <c r="N686" s="23">
        <v>15</v>
      </c>
      <c r="O686" s="30">
        <v>19</v>
      </c>
      <c r="P686" s="31"/>
      <c r="Q686" s="11">
        <v>157</v>
      </c>
      <c r="S686" s="18">
        <f t="shared" si="20"/>
        <v>0</v>
      </c>
      <c r="T686" s="18">
        <f t="shared" si="21"/>
        <v>0</v>
      </c>
    </row>
    <row r="687" spans="5:20">
      <c r="E687" s="32" t="s">
        <v>61</v>
      </c>
      <c r="F687" s="31"/>
      <c r="G687" s="11" t="s">
        <v>40</v>
      </c>
      <c r="H687" s="23">
        <v>61</v>
      </c>
      <c r="I687" s="23">
        <v>58</v>
      </c>
      <c r="J687" s="23">
        <v>52</v>
      </c>
      <c r="K687" s="23">
        <v>42</v>
      </c>
      <c r="L687" s="23">
        <v>65</v>
      </c>
      <c r="M687" s="23">
        <v>54</v>
      </c>
      <c r="N687" s="23">
        <v>37</v>
      </c>
      <c r="O687" s="30">
        <v>45</v>
      </c>
      <c r="P687" s="31"/>
      <c r="Q687" s="11">
        <v>414</v>
      </c>
      <c r="S687" s="18">
        <f t="shared" si="20"/>
        <v>0</v>
      </c>
      <c r="T687" s="18">
        <f t="shared" si="21"/>
        <v>0</v>
      </c>
    </row>
    <row r="688" spans="5:20">
      <c r="E688" s="21" t="s">
        <v>62</v>
      </c>
      <c r="F688" s="21"/>
      <c r="G688" s="11" t="s">
        <v>63</v>
      </c>
      <c r="H688" s="23">
        <v>100</v>
      </c>
      <c r="I688" s="23">
        <v>100</v>
      </c>
      <c r="J688" s="23">
        <v>100</v>
      </c>
      <c r="K688" s="23">
        <v>100</v>
      </c>
      <c r="L688" s="23">
        <v>100</v>
      </c>
      <c r="M688" s="23">
        <v>100</v>
      </c>
      <c r="N688" s="23">
        <v>50</v>
      </c>
      <c r="O688" s="30">
        <v>50</v>
      </c>
      <c r="P688" s="31"/>
      <c r="Q688" s="11">
        <v>700</v>
      </c>
      <c r="S688" s="18" t="str">
        <f t="shared" si="20"/>
        <v>Dr. B.B. Hegde First Grade College, Kundapura, Udupi.</v>
      </c>
      <c r="T688" s="18" t="str">
        <f t="shared" si="21"/>
        <v/>
      </c>
    </row>
    <row r="689" spans="5:20">
      <c r="E689" s="32" t="s">
        <v>273</v>
      </c>
      <c r="F689" s="31"/>
      <c r="G689" s="11" t="s">
        <v>65</v>
      </c>
      <c r="H689" s="23" t="s">
        <v>69</v>
      </c>
      <c r="I689" s="23" t="s">
        <v>103</v>
      </c>
      <c r="J689" s="23" t="s">
        <v>138</v>
      </c>
      <c r="K689" s="23" t="s">
        <v>303</v>
      </c>
      <c r="L689" s="23" t="s">
        <v>66</v>
      </c>
      <c r="M689" s="23" t="s">
        <v>138</v>
      </c>
      <c r="N689" s="23" t="s">
        <v>68</v>
      </c>
      <c r="O689" s="30" t="s">
        <v>71</v>
      </c>
      <c r="P689" s="31"/>
      <c r="Q689" s="11" t="s">
        <v>37</v>
      </c>
      <c r="S689" s="18" t="str">
        <f t="shared" si="20"/>
        <v>00047</v>
      </c>
      <c r="T689" s="18" t="str">
        <f t="shared" si="21"/>
        <v>Total</v>
      </c>
    </row>
    <row r="690" spans="5:20">
      <c r="E690" s="15" t="s">
        <v>72</v>
      </c>
      <c r="F690" s="15" t="s">
        <v>507</v>
      </c>
      <c r="G690" s="11" t="s">
        <v>74</v>
      </c>
      <c r="H690" s="23" t="s">
        <v>75</v>
      </c>
      <c r="I690" s="23" t="s">
        <v>75</v>
      </c>
      <c r="J690" s="23" t="s">
        <v>75</v>
      </c>
      <c r="K690" s="23" t="s">
        <v>75</v>
      </c>
      <c r="L690" s="23" t="s">
        <v>75</v>
      </c>
      <c r="M690" s="23" t="s">
        <v>75</v>
      </c>
      <c r="N690" s="23" t="s">
        <v>75</v>
      </c>
      <c r="O690" s="30" t="s">
        <v>75</v>
      </c>
      <c r="P690" s="31"/>
      <c r="Q690" s="11" t="s">
        <v>37</v>
      </c>
      <c r="S690" s="18" t="str">
        <f t="shared" si="20"/>
        <v>USN</v>
      </c>
      <c r="T690" s="18" t="str">
        <f t="shared" si="21"/>
        <v/>
      </c>
    </row>
    <row r="691" spans="5:20">
      <c r="E691" s="16" t="s">
        <v>37</v>
      </c>
      <c r="F691" s="16" t="s">
        <v>37</v>
      </c>
      <c r="G691" s="16" t="s">
        <v>37</v>
      </c>
      <c r="H691" s="24" t="s">
        <v>37</v>
      </c>
      <c r="I691" s="24" t="s">
        <v>37</v>
      </c>
      <c r="J691" s="24" t="s">
        <v>37</v>
      </c>
      <c r="K691" s="24" t="s">
        <v>37</v>
      </c>
      <c r="L691" s="24" t="s">
        <v>37</v>
      </c>
      <c r="M691" s="24" t="s">
        <v>37</v>
      </c>
      <c r="N691" s="24" t="s">
        <v>37</v>
      </c>
      <c r="O691" s="41" t="s">
        <v>37</v>
      </c>
      <c r="P691" s="28"/>
      <c r="Q691" s="24" t="s">
        <v>37</v>
      </c>
      <c r="S691" s="18" t="str">
        <f t="shared" si="20"/>
        <v>KISHAN</v>
      </c>
      <c r="T691" s="18" t="str">
        <f t="shared" si="21"/>
        <v/>
      </c>
    </row>
    <row r="692" spans="5:20" ht="0" hidden="1" customHeight="1">
      <c r="S692" s="18">
        <f t="shared" si="20"/>
        <v>0</v>
      </c>
      <c r="T692" s="18">
        <f t="shared" si="21"/>
        <v>0</v>
      </c>
    </row>
    <row r="693" spans="5:20" ht="0.6" customHeight="1">
      <c r="S693" s="18">
        <f t="shared" si="20"/>
        <v>0</v>
      </c>
      <c r="T693" s="18">
        <f t="shared" si="21"/>
        <v>25</v>
      </c>
    </row>
    <row r="694" spans="5:20">
      <c r="E694" s="38" t="s">
        <v>35</v>
      </c>
      <c r="F694" s="31"/>
      <c r="G694" s="19" t="s">
        <v>36</v>
      </c>
      <c r="H694" s="20" t="s">
        <v>37</v>
      </c>
      <c r="I694" s="20" t="s">
        <v>37</v>
      </c>
      <c r="J694" s="20" t="s">
        <v>37</v>
      </c>
      <c r="K694" s="20" t="s">
        <v>37</v>
      </c>
      <c r="L694" s="20" t="s">
        <v>37</v>
      </c>
      <c r="M694" s="20" t="s">
        <v>37</v>
      </c>
      <c r="N694" s="20" t="s">
        <v>37</v>
      </c>
      <c r="O694" s="39" t="s">
        <v>37</v>
      </c>
      <c r="P694" s="28"/>
      <c r="Q694" s="20" t="s">
        <v>37</v>
      </c>
      <c r="S694" s="18" t="str">
        <f t="shared" si="20"/>
        <v>SGPA</v>
      </c>
      <c r="T694" s="18" t="str">
        <f t="shared" si="21"/>
        <v/>
      </c>
    </row>
    <row r="695" spans="5:20" ht="21">
      <c r="E695" s="32" t="s">
        <v>508</v>
      </c>
      <c r="F695" s="31"/>
      <c r="G695" s="22" t="s">
        <v>39</v>
      </c>
      <c r="H695" s="22" t="s">
        <v>19</v>
      </c>
      <c r="I695" s="22" t="s">
        <v>9</v>
      </c>
      <c r="J695" s="22" t="s">
        <v>21</v>
      </c>
      <c r="K695" s="22" t="s">
        <v>11</v>
      </c>
      <c r="L695" s="22" t="s">
        <v>17</v>
      </c>
      <c r="M695" s="22" t="s">
        <v>27</v>
      </c>
      <c r="N695" s="22" t="s">
        <v>7</v>
      </c>
      <c r="O695" s="40" t="s">
        <v>13</v>
      </c>
      <c r="P695" s="31"/>
      <c r="Q695" s="22" t="s">
        <v>40</v>
      </c>
      <c r="S695" s="18" t="str">
        <f t="shared" si="20"/>
        <v>CGPA</v>
      </c>
      <c r="T695" s="18">
        <f t="shared" si="21"/>
        <v>220</v>
      </c>
    </row>
    <row r="696" spans="5:20" ht="22.5">
      <c r="E696" s="21" t="s">
        <v>41</v>
      </c>
      <c r="F696" s="21" t="s">
        <v>509</v>
      </c>
      <c r="G696" s="11" t="s">
        <v>43</v>
      </c>
      <c r="H696" s="23" t="s">
        <v>317</v>
      </c>
      <c r="I696" s="23" t="s">
        <v>183</v>
      </c>
      <c r="J696" s="23" t="s">
        <v>510</v>
      </c>
      <c r="K696" s="23" t="s">
        <v>277</v>
      </c>
      <c r="L696" s="23" t="s">
        <v>511</v>
      </c>
      <c r="M696" s="23" t="s">
        <v>512</v>
      </c>
      <c r="N696" s="23" t="s">
        <v>166</v>
      </c>
      <c r="O696" s="30" t="s">
        <v>51</v>
      </c>
      <c r="P696" s="31"/>
      <c r="Q696" s="11" t="s">
        <v>37</v>
      </c>
      <c r="S696" s="18" t="str">
        <f t="shared" si="20"/>
        <v>Result: PASS</v>
      </c>
      <c r="T696" s="18">
        <f t="shared" si="21"/>
        <v>588</v>
      </c>
    </row>
    <row r="697" spans="5:20">
      <c r="E697" s="32" t="s">
        <v>513</v>
      </c>
      <c r="F697" s="33"/>
      <c r="G697" s="11" t="s">
        <v>53</v>
      </c>
      <c r="H697" s="23" t="s">
        <v>51</v>
      </c>
      <c r="I697" s="23" t="s">
        <v>51</v>
      </c>
      <c r="J697" s="23" t="s">
        <v>51</v>
      </c>
      <c r="K697" s="23" t="s">
        <v>51</v>
      </c>
      <c r="L697" s="23" t="s">
        <v>51</v>
      </c>
      <c r="M697" s="23" t="s">
        <v>51</v>
      </c>
      <c r="N697" s="23" t="s">
        <v>51</v>
      </c>
      <c r="O697" s="30" t="s">
        <v>125</v>
      </c>
      <c r="P697" s="31"/>
      <c r="Q697" s="11" t="s">
        <v>37</v>
      </c>
      <c r="S697" s="18" t="str">
        <f t="shared" si="20"/>
        <v>Class</v>
      </c>
      <c r="T697" s="18">
        <f t="shared" si="21"/>
        <v>700</v>
      </c>
    </row>
    <row r="698" spans="5:20">
      <c r="E698" s="34"/>
      <c r="F698" s="35"/>
      <c r="G698" s="11" t="s">
        <v>55</v>
      </c>
      <c r="H698" s="23" t="s">
        <v>37</v>
      </c>
      <c r="I698" s="23" t="s">
        <v>37</v>
      </c>
      <c r="J698" s="23" t="s">
        <v>37</v>
      </c>
      <c r="K698" s="23" t="s">
        <v>37</v>
      </c>
      <c r="L698" s="23" t="s">
        <v>37</v>
      </c>
      <c r="M698" s="23" t="s">
        <v>37</v>
      </c>
      <c r="N698" s="23" t="s">
        <v>37</v>
      </c>
      <c r="O698" s="30" t="s">
        <v>37</v>
      </c>
      <c r="P698" s="31"/>
      <c r="Q698" s="11">
        <v>0</v>
      </c>
      <c r="S698" s="18" t="str">
        <f t="shared" si="20"/>
        <v>Term Grade: OA+</v>
      </c>
      <c r="T698" s="18" t="str">
        <f t="shared" si="21"/>
        <v/>
      </c>
    </row>
    <row r="699" spans="5:20">
      <c r="E699" s="36"/>
      <c r="F699" s="37"/>
      <c r="G699" s="11" t="s">
        <v>56</v>
      </c>
      <c r="H699" s="23">
        <v>4</v>
      </c>
      <c r="I699" s="23">
        <v>4</v>
      </c>
      <c r="J699" s="23">
        <v>4</v>
      </c>
      <c r="K699" s="23">
        <v>3</v>
      </c>
      <c r="L699" s="23">
        <v>3</v>
      </c>
      <c r="M699" s="23">
        <v>3</v>
      </c>
      <c r="N699" s="23">
        <v>2</v>
      </c>
      <c r="O699" s="30">
        <v>2</v>
      </c>
      <c r="P699" s="31"/>
      <c r="Q699" s="11">
        <v>25</v>
      </c>
      <c r="S699" s="18" t="str">
        <f t="shared" si="20"/>
        <v>M.C.No</v>
      </c>
      <c r="T699" s="18" t="str">
        <f t="shared" si="21"/>
        <v/>
      </c>
    </row>
    <row r="700" spans="5:20">
      <c r="E700" s="21" t="s">
        <v>57</v>
      </c>
      <c r="F700" s="21">
        <v>8.8000000000000007</v>
      </c>
      <c r="G700" s="11" t="s">
        <v>58</v>
      </c>
      <c r="H700" s="23">
        <v>8.5</v>
      </c>
      <c r="I700" s="23">
        <v>9.5</v>
      </c>
      <c r="J700" s="23">
        <v>8.5</v>
      </c>
      <c r="K700" s="23">
        <v>8</v>
      </c>
      <c r="L700" s="23">
        <v>8.5</v>
      </c>
      <c r="M700" s="23">
        <v>8.5</v>
      </c>
      <c r="N700" s="23">
        <v>10</v>
      </c>
      <c r="O700" s="30">
        <v>9.5</v>
      </c>
      <c r="P700" s="31"/>
      <c r="Q700" s="11" t="s">
        <v>37</v>
      </c>
      <c r="S700" s="18" t="str">
        <f t="shared" si="20"/>
        <v/>
      </c>
      <c r="T700" s="18" t="str">
        <f t="shared" si="21"/>
        <v/>
      </c>
    </row>
    <row r="701" spans="5:20">
      <c r="E701" s="21" t="s">
        <v>59</v>
      </c>
      <c r="F701" s="14">
        <v>8.8000000000000007</v>
      </c>
      <c r="G701" s="11" t="s">
        <v>60</v>
      </c>
      <c r="H701" s="23">
        <v>34</v>
      </c>
      <c r="I701" s="23">
        <v>38</v>
      </c>
      <c r="J701" s="23">
        <v>34</v>
      </c>
      <c r="K701" s="23">
        <v>24</v>
      </c>
      <c r="L701" s="23">
        <v>25.5</v>
      </c>
      <c r="M701" s="23">
        <v>25.5</v>
      </c>
      <c r="N701" s="23">
        <v>20</v>
      </c>
      <c r="O701" s="30">
        <v>19</v>
      </c>
      <c r="P701" s="31"/>
      <c r="Q701" s="11">
        <v>220</v>
      </c>
      <c r="S701" s="18">
        <f t="shared" si="20"/>
        <v>0</v>
      </c>
      <c r="T701" s="18">
        <f t="shared" si="21"/>
        <v>0</v>
      </c>
    </row>
    <row r="702" spans="5:20">
      <c r="E702" s="32" t="s">
        <v>61</v>
      </c>
      <c r="F702" s="31"/>
      <c r="G702" s="11" t="s">
        <v>40</v>
      </c>
      <c r="H702" s="23">
        <v>82</v>
      </c>
      <c r="I702" s="23">
        <v>94</v>
      </c>
      <c r="J702" s="23">
        <v>81</v>
      </c>
      <c r="K702" s="23">
        <v>76</v>
      </c>
      <c r="L702" s="23">
        <v>80</v>
      </c>
      <c r="M702" s="23">
        <v>80</v>
      </c>
      <c r="N702" s="23">
        <v>49</v>
      </c>
      <c r="O702" s="30">
        <v>46</v>
      </c>
      <c r="P702" s="31"/>
      <c r="Q702" s="11">
        <v>588</v>
      </c>
      <c r="S702" s="18">
        <f t="shared" si="20"/>
        <v>0</v>
      </c>
      <c r="T702" s="18">
        <f t="shared" si="21"/>
        <v>0</v>
      </c>
    </row>
    <row r="703" spans="5:20">
      <c r="E703" s="21" t="s">
        <v>62</v>
      </c>
      <c r="F703" s="21"/>
      <c r="G703" s="11" t="s">
        <v>63</v>
      </c>
      <c r="H703" s="23">
        <v>100</v>
      </c>
      <c r="I703" s="23">
        <v>100</v>
      </c>
      <c r="J703" s="23">
        <v>100</v>
      </c>
      <c r="K703" s="23">
        <v>100</v>
      </c>
      <c r="L703" s="23">
        <v>100</v>
      </c>
      <c r="M703" s="23">
        <v>100</v>
      </c>
      <c r="N703" s="23">
        <v>50</v>
      </c>
      <c r="O703" s="30">
        <v>50</v>
      </c>
      <c r="P703" s="31"/>
      <c r="Q703" s="11">
        <v>700</v>
      </c>
      <c r="S703" s="18" t="str">
        <f t="shared" si="20"/>
        <v>Dr. B.B. Hegde First Grade College, Kundapura, Udupi.</v>
      </c>
      <c r="T703" s="18" t="str">
        <f t="shared" si="21"/>
        <v/>
      </c>
    </row>
    <row r="704" spans="5:20">
      <c r="E704" s="32" t="s">
        <v>188</v>
      </c>
      <c r="F704" s="31"/>
      <c r="G704" s="11" t="s">
        <v>65</v>
      </c>
      <c r="H704" s="23" t="s">
        <v>70</v>
      </c>
      <c r="I704" s="23" t="s">
        <v>71</v>
      </c>
      <c r="J704" s="23" t="s">
        <v>70</v>
      </c>
      <c r="K704" s="23" t="s">
        <v>102</v>
      </c>
      <c r="L704" s="23" t="s">
        <v>70</v>
      </c>
      <c r="M704" s="23" t="s">
        <v>70</v>
      </c>
      <c r="N704" s="23" t="s">
        <v>88</v>
      </c>
      <c r="O704" s="30" t="s">
        <v>71</v>
      </c>
      <c r="P704" s="31"/>
      <c r="Q704" s="11" t="s">
        <v>37</v>
      </c>
      <c r="S704" s="18" t="str">
        <f t="shared" si="20"/>
        <v>00048</v>
      </c>
      <c r="T704" s="18" t="str">
        <f t="shared" si="21"/>
        <v>Total</v>
      </c>
    </row>
    <row r="705" spans="5:20">
      <c r="E705" s="15" t="s">
        <v>72</v>
      </c>
      <c r="F705" s="15" t="s">
        <v>514</v>
      </c>
      <c r="G705" s="11" t="s">
        <v>74</v>
      </c>
      <c r="H705" s="23" t="s">
        <v>75</v>
      </c>
      <c r="I705" s="23" t="s">
        <v>75</v>
      </c>
      <c r="J705" s="23" t="s">
        <v>75</v>
      </c>
      <c r="K705" s="23" t="s">
        <v>75</v>
      </c>
      <c r="L705" s="23" t="s">
        <v>75</v>
      </c>
      <c r="M705" s="23" t="s">
        <v>75</v>
      </c>
      <c r="N705" s="23" t="s">
        <v>75</v>
      </c>
      <c r="O705" s="30" t="s">
        <v>75</v>
      </c>
      <c r="P705" s="31"/>
      <c r="Q705" s="11" t="s">
        <v>37</v>
      </c>
      <c r="S705" s="18" t="str">
        <f t="shared" si="20"/>
        <v>USN</v>
      </c>
      <c r="T705" s="18" t="str">
        <f t="shared" si="21"/>
        <v/>
      </c>
    </row>
    <row r="706" spans="5:20">
      <c r="E706" s="16" t="s">
        <v>37</v>
      </c>
      <c r="F706" s="16" t="s">
        <v>37</v>
      </c>
      <c r="G706" s="16" t="s">
        <v>37</v>
      </c>
      <c r="H706" s="24" t="s">
        <v>37</v>
      </c>
      <c r="I706" s="24" t="s">
        <v>37</v>
      </c>
      <c r="J706" s="24" t="s">
        <v>37</v>
      </c>
      <c r="K706" s="24" t="s">
        <v>37</v>
      </c>
      <c r="L706" s="24" t="s">
        <v>37</v>
      </c>
      <c r="M706" s="24" t="s">
        <v>37</v>
      </c>
      <c r="N706" s="24" t="s">
        <v>37</v>
      </c>
      <c r="O706" s="41" t="s">
        <v>37</v>
      </c>
      <c r="P706" s="28"/>
      <c r="Q706" s="24" t="s">
        <v>37</v>
      </c>
      <c r="S706" s="18" t="str">
        <f t="shared" si="20"/>
        <v>DHANUSH</v>
      </c>
      <c r="T706" s="18" t="str">
        <f t="shared" si="21"/>
        <v/>
      </c>
    </row>
    <row r="707" spans="5:20" ht="0" hidden="1" customHeight="1">
      <c r="S707" s="18">
        <f t="shared" si="20"/>
        <v>0</v>
      </c>
      <c r="T707" s="18">
        <f t="shared" si="21"/>
        <v>0</v>
      </c>
    </row>
    <row r="708" spans="5:20" ht="0.6" customHeight="1">
      <c r="S708" s="18">
        <f t="shared" si="20"/>
        <v>0</v>
      </c>
      <c r="T708" s="18">
        <f t="shared" si="21"/>
        <v>25</v>
      </c>
    </row>
    <row r="709" spans="5:20">
      <c r="E709" s="38" t="s">
        <v>35</v>
      </c>
      <c r="F709" s="31"/>
      <c r="G709" s="19" t="s">
        <v>36</v>
      </c>
      <c r="H709" s="20" t="s">
        <v>37</v>
      </c>
      <c r="I709" s="20" t="s">
        <v>37</v>
      </c>
      <c r="J709" s="20" t="s">
        <v>37</v>
      </c>
      <c r="K709" s="20" t="s">
        <v>37</v>
      </c>
      <c r="L709" s="20" t="s">
        <v>37</v>
      </c>
      <c r="M709" s="20" t="s">
        <v>37</v>
      </c>
      <c r="N709" s="20" t="s">
        <v>37</v>
      </c>
      <c r="O709" s="39" t="s">
        <v>37</v>
      </c>
      <c r="P709" s="28"/>
      <c r="Q709" s="20" t="s">
        <v>37</v>
      </c>
      <c r="S709" s="18" t="str">
        <f t="shared" si="20"/>
        <v>SGPA</v>
      </c>
      <c r="T709" s="18" t="str">
        <f t="shared" si="21"/>
        <v/>
      </c>
    </row>
    <row r="710" spans="5:20" ht="21">
      <c r="E710" s="32" t="s">
        <v>515</v>
      </c>
      <c r="F710" s="31"/>
      <c r="G710" s="22" t="s">
        <v>39</v>
      </c>
      <c r="H710" s="22" t="s">
        <v>19</v>
      </c>
      <c r="I710" s="22" t="s">
        <v>9</v>
      </c>
      <c r="J710" s="22" t="s">
        <v>21</v>
      </c>
      <c r="K710" s="22" t="s">
        <v>11</v>
      </c>
      <c r="L710" s="22" t="s">
        <v>17</v>
      </c>
      <c r="M710" s="22" t="s">
        <v>27</v>
      </c>
      <c r="N710" s="22" t="s">
        <v>7</v>
      </c>
      <c r="O710" s="40" t="s">
        <v>33</v>
      </c>
      <c r="P710" s="31"/>
      <c r="Q710" s="22" t="s">
        <v>40</v>
      </c>
      <c r="S710" s="18" t="str">
        <f t="shared" si="20"/>
        <v>CGPA</v>
      </c>
      <c r="T710" s="18">
        <f t="shared" si="21"/>
        <v>155.5</v>
      </c>
    </row>
    <row r="711" spans="5:20" ht="22.5">
      <c r="E711" s="21" t="s">
        <v>41</v>
      </c>
      <c r="F711" s="21" t="s">
        <v>516</v>
      </c>
      <c r="G711" s="11" t="s">
        <v>43</v>
      </c>
      <c r="H711" s="23" t="s">
        <v>517</v>
      </c>
      <c r="I711" s="23" t="s">
        <v>504</v>
      </c>
      <c r="J711" s="23" t="s">
        <v>133</v>
      </c>
      <c r="K711" s="23" t="s">
        <v>252</v>
      </c>
      <c r="L711" s="23" t="s">
        <v>518</v>
      </c>
      <c r="M711" s="23" t="s">
        <v>519</v>
      </c>
      <c r="N711" s="23" t="s">
        <v>520</v>
      </c>
      <c r="O711" s="30" t="s">
        <v>51</v>
      </c>
      <c r="P711" s="31"/>
      <c r="Q711" s="11" t="s">
        <v>37</v>
      </c>
      <c r="S711" s="18" t="str">
        <f t="shared" si="20"/>
        <v>Result: PASS</v>
      </c>
      <c r="T711" s="18">
        <f t="shared" si="21"/>
        <v>406</v>
      </c>
    </row>
    <row r="712" spans="5:20">
      <c r="E712" s="32" t="s">
        <v>521</v>
      </c>
      <c r="F712" s="33"/>
      <c r="G712" s="11" t="s">
        <v>53</v>
      </c>
      <c r="H712" s="23" t="s">
        <v>51</v>
      </c>
      <c r="I712" s="23" t="s">
        <v>51</v>
      </c>
      <c r="J712" s="23" t="s">
        <v>51</v>
      </c>
      <c r="K712" s="23" t="s">
        <v>51</v>
      </c>
      <c r="L712" s="23" t="s">
        <v>51</v>
      </c>
      <c r="M712" s="23" t="s">
        <v>51</v>
      </c>
      <c r="N712" s="23" t="s">
        <v>51</v>
      </c>
      <c r="O712" s="30" t="s">
        <v>199</v>
      </c>
      <c r="P712" s="31"/>
      <c r="Q712" s="11" t="s">
        <v>37</v>
      </c>
      <c r="S712" s="18" t="str">
        <f t="shared" si="20"/>
        <v>Class</v>
      </c>
      <c r="T712" s="18">
        <f t="shared" si="21"/>
        <v>700</v>
      </c>
    </row>
    <row r="713" spans="5:20">
      <c r="E713" s="34"/>
      <c r="F713" s="35"/>
      <c r="G713" s="11" t="s">
        <v>55</v>
      </c>
      <c r="H713" s="23" t="s">
        <v>37</v>
      </c>
      <c r="I713" s="23" t="s">
        <v>37</v>
      </c>
      <c r="J713" s="23" t="s">
        <v>37</v>
      </c>
      <c r="K713" s="23" t="s">
        <v>37</v>
      </c>
      <c r="L713" s="23" t="s">
        <v>37</v>
      </c>
      <c r="M713" s="23" t="s">
        <v>37</v>
      </c>
      <c r="N713" s="23" t="s">
        <v>37</v>
      </c>
      <c r="O713" s="30" t="s">
        <v>37</v>
      </c>
      <c r="P713" s="31"/>
      <c r="Q713" s="11">
        <v>0</v>
      </c>
      <c r="S713" s="18" t="str">
        <f t="shared" si="20"/>
        <v>Term Grade: AB</v>
      </c>
      <c r="T713" s="18" t="str">
        <f t="shared" si="21"/>
        <v/>
      </c>
    </row>
    <row r="714" spans="5:20">
      <c r="E714" s="36"/>
      <c r="F714" s="37"/>
      <c r="G714" s="11" t="s">
        <v>56</v>
      </c>
      <c r="H714" s="23">
        <v>4</v>
      </c>
      <c r="I714" s="23">
        <v>4</v>
      </c>
      <c r="J714" s="23">
        <v>4</v>
      </c>
      <c r="K714" s="23">
        <v>3</v>
      </c>
      <c r="L714" s="23">
        <v>3</v>
      </c>
      <c r="M714" s="23">
        <v>3</v>
      </c>
      <c r="N714" s="23">
        <v>2</v>
      </c>
      <c r="O714" s="30">
        <v>2</v>
      </c>
      <c r="P714" s="31"/>
      <c r="Q714" s="11">
        <v>25</v>
      </c>
      <c r="S714" s="18" t="str">
        <f t="shared" si="20"/>
        <v>M.C.No</v>
      </c>
      <c r="T714" s="18" t="str">
        <f t="shared" si="21"/>
        <v/>
      </c>
    </row>
    <row r="715" spans="5:20">
      <c r="E715" s="21" t="s">
        <v>57</v>
      </c>
      <c r="F715" s="21">
        <v>6.22</v>
      </c>
      <c r="G715" s="11" t="s">
        <v>58</v>
      </c>
      <c r="H715" s="23">
        <v>5.5</v>
      </c>
      <c r="I715" s="23">
        <v>7</v>
      </c>
      <c r="J715" s="23">
        <v>5.5</v>
      </c>
      <c r="K715" s="23">
        <v>5</v>
      </c>
      <c r="L715" s="23">
        <v>6</v>
      </c>
      <c r="M715" s="23">
        <v>4.5</v>
      </c>
      <c r="N715" s="23">
        <v>8.5</v>
      </c>
      <c r="O715" s="30">
        <v>10</v>
      </c>
      <c r="P715" s="31"/>
      <c r="Q715" s="11" t="s">
        <v>37</v>
      </c>
      <c r="S715" s="18" t="str">
        <f t="shared" si="20"/>
        <v/>
      </c>
      <c r="T715" s="18" t="str">
        <f t="shared" si="21"/>
        <v/>
      </c>
    </row>
    <row r="716" spans="5:20">
      <c r="E716" s="21" t="s">
        <v>59</v>
      </c>
      <c r="F716" s="14">
        <v>6.22</v>
      </c>
      <c r="G716" s="11" t="s">
        <v>60</v>
      </c>
      <c r="H716" s="23">
        <v>22</v>
      </c>
      <c r="I716" s="23">
        <v>28</v>
      </c>
      <c r="J716" s="23">
        <v>22</v>
      </c>
      <c r="K716" s="23">
        <v>15</v>
      </c>
      <c r="L716" s="23">
        <v>18</v>
      </c>
      <c r="M716" s="23">
        <v>13.5</v>
      </c>
      <c r="N716" s="23">
        <v>17</v>
      </c>
      <c r="O716" s="30">
        <v>20</v>
      </c>
      <c r="P716" s="31"/>
      <c r="Q716" s="11">
        <v>155.5</v>
      </c>
      <c r="S716" s="18">
        <f t="shared" ref="S716:S779" si="22">$E722</f>
        <v>0</v>
      </c>
      <c r="T716" s="18">
        <f t="shared" ref="T716:T779" si="23">$Q722</f>
        <v>0</v>
      </c>
    </row>
    <row r="717" spans="5:20">
      <c r="E717" s="32" t="s">
        <v>61</v>
      </c>
      <c r="F717" s="31"/>
      <c r="G717" s="11" t="s">
        <v>40</v>
      </c>
      <c r="H717" s="23">
        <v>51</v>
      </c>
      <c r="I717" s="23">
        <v>65</v>
      </c>
      <c r="J717" s="23">
        <v>52</v>
      </c>
      <c r="K717" s="23">
        <v>47</v>
      </c>
      <c r="L717" s="23">
        <v>59</v>
      </c>
      <c r="M717" s="23">
        <v>42</v>
      </c>
      <c r="N717" s="23">
        <v>41</v>
      </c>
      <c r="O717" s="30">
        <v>49</v>
      </c>
      <c r="P717" s="31"/>
      <c r="Q717" s="11">
        <v>406</v>
      </c>
      <c r="S717" s="18" t="str">
        <f t="shared" si="22"/>
        <v>Dr. B.B. Hegde First Grade College, Kundapura, Udupi.</v>
      </c>
      <c r="T717" s="18" t="str">
        <f t="shared" si="23"/>
        <v/>
      </c>
    </row>
    <row r="718" spans="5:20">
      <c r="E718" s="21" t="s">
        <v>62</v>
      </c>
      <c r="F718" s="21"/>
      <c r="G718" s="11" t="s">
        <v>63</v>
      </c>
      <c r="H718" s="23">
        <v>100</v>
      </c>
      <c r="I718" s="23">
        <v>100</v>
      </c>
      <c r="J718" s="23">
        <v>100</v>
      </c>
      <c r="K718" s="23">
        <v>100</v>
      </c>
      <c r="L718" s="23">
        <v>100</v>
      </c>
      <c r="M718" s="23">
        <v>100</v>
      </c>
      <c r="N718" s="23">
        <v>50</v>
      </c>
      <c r="O718" s="30">
        <v>50</v>
      </c>
      <c r="P718" s="31"/>
      <c r="Q718" s="11">
        <v>700</v>
      </c>
      <c r="S718" s="18" t="str">
        <f t="shared" si="22"/>
        <v>00049</v>
      </c>
      <c r="T718" s="18" t="str">
        <f t="shared" si="23"/>
        <v>Total</v>
      </c>
    </row>
    <row r="719" spans="5:20">
      <c r="E719" s="32" t="s">
        <v>273</v>
      </c>
      <c r="F719" s="31"/>
      <c r="G719" s="11" t="s">
        <v>65</v>
      </c>
      <c r="H719" s="23" t="s">
        <v>138</v>
      </c>
      <c r="I719" s="23" t="s">
        <v>66</v>
      </c>
      <c r="J719" s="23" t="s">
        <v>138</v>
      </c>
      <c r="K719" s="23" t="s">
        <v>127</v>
      </c>
      <c r="L719" s="23" t="s">
        <v>103</v>
      </c>
      <c r="M719" s="23" t="s">
        <v>303</v>
      </c>
      <c r="N719" s="23" t="s">
        <v>70</v>
      </c>
      <c r="O719" s="30" t="s">
        <v>88</v>
      </c>
      <c r="P719" s="31"/>
      <c r="Q719" s="11" t="s">
        <v>37</v>
      </c>
      <c r="S719" s="18" t="str">
        <f t="shared" si="22"/>
        <v>USN</v>
      </c>
      <c r="T719" s="18" t="str">
        <f t="shared" si="23"/>
        <v/>
      </c>
    </row>
    <row r="720" spans="5:20">
      <c r="E720" s="15" t="s">
        <v>72</v>
      </c>
      <c r="F720" s="15" t="s">
        <v>522</v>
      </c>
      <c r="G720" s="11" t="s">
        <v>74</v>
      </c>
      <c r="H720" s="23" t="s">
        <v>75</v>
      </c>
      <c r="I720" s="23" t="s">
        <v>75</v>
      </c>
      <c r="J720" s="23" t="s">
        <v>75</v>
      </c>
      <c r="K720" s="23" t="s">
        <v>75</v>
      </c>
      <c r="L720" s="23" t="s">
        <v>75</v>
      </c>
      <c r="M720" s="23" t="s">
        <v>75</v>
      </c>
      <c r="N720" s="23" t="s">
        <v>75</v>
      </c>
      <c r="O720" s="30" t="s">
        <v>75</v>
      </c>
      <c r="P720" s="31"/>
      <c r="Q720" s="11" t="s">
        <v>37</v>
      </c>
      <c r="S720" s="18" t="str">
        <f t="shared" si="22"/>
        <v>NAGARAJA CHANDRAHASA SHETTY</v>
      </c>
      <c r="T720" s="18" t="str">
        <f t="shared" si="23"/>
        <v/>
      </c>
    </row>
    <row r="721" spans="5:20">
      <c r="E721" s="16" t="s">
        <v>37</v>
      </c>
      <c r="F721" s="16" t="s">
        <v>37</v>
      </c>
      <c r="G721" s="16" t="s">
        <v>37</v>
      </c>
      <c r="H721" s="24" t="s">
        <v>37</v>
      </c>
      <c r="I721" s="24" t="s">
        <v>37</v>
      </c>
      <c r="J721" s="24" t="s">
        <v>37</v>
      </c>
      <c r="K721" s="24" t="s">
        <v>37</v>
      </c>
      <c r="L721" s="24" t="s">
        <v>37</v>
      </c>
      <c r="M721" s="24" t="s">
        <v>37</v>
      </c>
      <c r="N721" s="24" t="s">
        <v>37</v>
      </c>
      <c r="O721" s="41" t="s">
        <v>37</v>
      </c>
      <c r="P721" s="28"/>
      <c r="Q721" s="24" t="s">
        <v>37</v>
      </c>
      <c r="S721" s="18">
        <f t="shared" si="22"/>
        <v>0</v>
      </c>
      <c r="T721" s="18">
        <f t="shared" si="23"/>
        <v>3</v>
      </c>
    </row>
    <row r="722" spans="5:20" ht="0.6" customHeight="1">
      <c r="S722" s="18">
        <f t="shared" si="22"/>
        <v>0</v>
      </c>
      <c r="T722" s="18">
        <f t="shared" si="23"/>
        <v>25</v>
      </c>
    </row>
    <row r="723" spans="5:20">
      <c r="E723" s="38" t="s">
        <v>35</v>
      </c>
      <c r="F723" s="31"/>
      <c r="G723" s="19" t="s">
        <v>36</v>
      </c>
      <c r="H723" s="20" t="s">
        <v>37</v>
      </c>
      <c r="I723" s="20" t="s">
        <v>37</v>
      </c>
      <c r="J723" s="20" t="s">
        <v>37</v>
      </c>
      <c r="K723" s="20" t="s">
        <v>37</v>
      </c>
      <c r="L723" s="20" t="s">
        <v>37</v>
      </c>
      <c r="M723" s="20" t="s">
        <v>37</v>
      </c>
      <c r="N723" s="20" t="s">
        <v>37</v>
      </c>
      <c r="O723" s="39" t="s">
        <v>37</v>
      </c>
      <c r="P723" s="28"/>
      <c r="Q723" s="20" t="s">
        <v>37</v>
      </c>
      <c r="S723" s="18" t="str">
        <f t="shared" si="22"/>
        <v>SGPA</v>
      </c>
      <c r="T723" s="18" t="str">
        <f t="shared" si="23"/>
        <v/>
      </c>
    </row>
    <row r="724" spans="5:20" ht="21">
      <c r="E724" s="32" t="s">
        <v>523</v>
      </c>
      <c r="F724" s="31"/>
      <c r="G724" s="22" t="s">
        <v>39</v>
      </c>
      <c r="H724" s="22" t="s">
        <v>19</v>
      </c>
      <c r="I724" s="22" t="s">
        <v>9</v>
      </c>
      <c r="J724" s="22" t="s">
        <v>21</v>
      </c>
      <c r="K724" s="22" t="s">
        <v>11</v>
      </c>
      <c r="L724" s="22" t="s">
        <v>17</v>
      </c>
      <c r="M724" s="22" t="s">
        <v>27</v>
      </c>
      <c r="N724" s="22" t="s">
        <v>7</v>
      </c>
      <c r="O724" s="40" t="s">
        <v>23</v>
      </c>
      <c r="P724" s="31"/>
      <c r="Q724" s="22" t="s">
        <v>40</v>
      </c>
      <c r="S724" s="18" t="str">
        <f t="shared" si="22"/>
        <v>CGPA</v>
      </c>
      <c r="T724" s="18">
        <f t="shared" si="23"/>
        <v>153</v>
      </c>
    </row>
    <row r="725" spans="5:20" ht="22.5">
      <c r="E725" s="21" t="s">
        <v>41</v>
      </c>
      <c r="F725" s="21" t="s">
        <v>524</v>
      </c>
      <c r="G725" s="11" t="s">
        <v>43</v>
      </c>
      <c r="H725" s="23" t="s">
        <v>525</v>
      </c>
      <c r="I725" s="23" t="s">
        <v>270</v>
      </c>
      <c r="J725" s="23" t="s">
        <v>267</v>
      </c>
      <c r="K725" s="23" t="s">
        <v>526</v>
      </c>
      <c r="L725" s="23" t="s">
        <v>163</v>
      </c>
      <c r="M725" s="23" t="s">
        <v>331</v>
      </c>
      <c r="N725" s="23" t="s">
        <v>527</v>
      </c>
      <c r="O725" s="30" t="s">
        <v>51</v>
      </c>
      <c r="P725" s="31"/>
      <c r="Q725" s="11" t="s">
        <v>37</v>
      </c>
      <c r="S725" s="18" t="str">
        <f t="shared" si="22"/>
        <v>Result: PASS</v>
      </c>
      <c r="T725" s="18">
        <f t="shared" si="23"/>
        <v>399</v>
      </c>
    </row>
    <row r="726" spans="5:20">
      <c r="E726" s="32" t="s">
        <v>528</v>
      </c>
      <c r="F726" s="33"/>
      <c r="G726" s="11" t="s">
        <v>53</v>
      </c>
      <c r="H726" s="23" t="s">
        <v>51</v>
      </c>
      <c r="I726" s="23" t="s">
        <v>51</v>
      </c>
      <c r="J726" s="23" t="s">
        <v>51</v>
      </c>
      <c r="K726" s="23" t="s">
        <v>51</v>
      </c>
      <c r="L726" s="23" t="s">
        <v>51</v>
      </c>
      <c r="M726" s="23" t="s">
        <v>51</v>
      </c>
      <c r="N726" s="23" t="s">
        <v>51</v>
      </c>
      <c r="O726" s="30" t="s">
        <v>54</v>
      </c>
      <c r="P726" s="31"/>
      <c r="Q726" s="11" t="s">
        <v>37</v>
      </c>
      <c r="S726" s="18" t="str">
        <f t="shared" si="22"/>
        <v>Class</v>
      </c>
      <c r="T726" s="18">
        <f t="shared" si="23"/>
        <v>700</v>
      </c>
    </row>
    <row r="727" spans="5:20">
      <c r="E727" s="34"/>
      <c r="F727" s="35"/>
      <c r="G727" s="11" t="s">
        <v>55</v>
      </c>
      <c r="H727" s="23" t="s">
        <v>37</v>
      </c>
      <c r="I727" s="23" t="s">
        <v>37</v>
      </c>
      <c r="J727" s="23" t="s">
        <v>37</v>
      </c>
      <c r="K727" s="23">
        <v>3</v>
      </c>
      <c r="L727" s="23" t="s">
        <v>37</v>
      </c>
      <c r="M727" s="23" t="s">
        <v>37</v>
      </c>
      <c r="N727" s="23" t="s">
        <v>37</v>
      </c>
      <c r="O727" s="30" t="s">
        <v>37</v>
      </c>
      <c r="P727" s="31"/>
      <c r="Q727" s="11">
        <v>3</v>
      </c>
      <c r="S727" s="18" t="str">
        <f t="shared" si="22"/>
        <v>Term Grade: AB</v>
      </c>
      <c r="T727" s="18" t="str">
        <f t="shared" si="23"/>
        <v/>
      </c>
    </row>
    <row r="728" spans="5:20">
      <c r="E728" s="36"/>
      <c r="F728" s="37"/>
      <c r="G728" s="11" t="s">
        <v>56</v>
      </c>
      <c r="H728" s="23">
        <v>4</v>
      </c>
      <c r="I728" s="23">
        <v>4</v>
      </c>
      <c r="J728" s="23">
        <v>4</v>
      </c>
      <c r="K728" s="23">
        <v>3</v>
      </c>
      <c r="L728" s="23">
        <v>3</v>
      </c>
      <c r="M728" s="23">
        <v>3</v>
      </c>
      <c r="N728" s="23">
        <v>2</v>
      </c>
      <c r="O728" s="30">
        <v>2</v>
      </c>
      <c r="P728" s="31"/>
      <c r="Q728" s="11">
        <v>25</v>
      </c>
      <c r="S728" s="18" t="str">
        <f t="shared" si="22"/>
        <v>M.C.No</v>
      </c>
      <c r="T728" s="18" t="str">
        <f t="shared" si="23"/>
        <v/>
      </c>
    </row>
    <row r="729" spans="5:20">
      <c r="E729" s="21" t="s">
        <v>57</v>
      </c>
      <c r="F729" s="21">
        <v>6.12</v>
      </c>
      <c r="G729" s="11" t="s">
        <v>58</v>
      </c>
      <c r="H729" s="23">
        <v>6</v>
      </c>
      <c r="I729" s="23">
        <v>6.5</v>
      </c>
      <c r="J729" s="23">
        <v>5</v>
      </c>
      <c r="K729" s="23">
        <v>5</v>
      </c>
      <c r="L729" s="23">
        <v>5.5</v>
      </c>
      <c r="M729" s="23">
        <v>5.5</v>
      </c>
      <c r="N729" s="23">
        <v>8</v>
      </c>
      <c r="O729" s="30">
        <v>9.5</v>
      </c>
      <c r="P729" s="31"/>
      <c r="Q729" s="11" t="s">
        <v>37</v>
      </c>
      <c r="S729" s="18" t="str">
        <f t="shared" si="22"/>
        <v/>
      </c>
      <c r="T729" s="18" t="str">
        <f t="shared" si="23"/>
        <v/>
      </c>
    </row>
    <row r="730" spans="5:20">
      <c r="E730" s="21" t="s">
        <v>59</v>
      </c>
      <c r="F730" s="14">
        <v>6.12</v>
      </c>
      <c r="G730" s="11" t="s">
        <v>60</v>
      </c>
      <c r="H730" s="23">
        <v>24</v>
      </c>
      <c r="I730" s="23">
        <v>26</v>
      </c>
      <c r="J730" s="23">
        <v>20</v>
      </c>
      <c r="K730" s="23">
        <v>15</v>
      </c>
      <c r="L730" s="23">
        <v>16.5</v>
      </c>
      <c r="M730" s="23">
        <v>16.5</v>
      </c>
      <c r="N730" s="23">
        <v>16</v>
      </c>
      <c r="O730" s="30">
        <v>19</v>
      </c>
      <c r="P730" s="31"/>
      <c r="Q730" s="11">
        <v>153</v>
      </c>
      <c r="S730" s="18">
        <f t="shared" si="22"/>
        <v>0</v>
      </c>
      <c r="T730" s="18">
        <f t="shared" si="23"/>
        <v>0</v>
      </c>
    </row>
    <row r="731" spans="5:20">
      <c r="E731" s="32" t="s">
        <v>61</v>
      </c>
      <c r="F731" s="31"/>
      <c r="G731" s="11" t="s">
        <v>40</v>
      </c>
      <c r="H731" s="23">
        <v>57</v>
      </c>
      <c r="I731" s="23">
        <v>62</v>
      </c>
      <c r="J731" s="23">
        <v>48</v>
      </c>
      <c r="K731" s="23">
        <v>46</v>
      </c>
      <c r="L731" s="23">
        <v>53</v>
      </c>
      <c r="M731" s="23">
        <v>50</v>
      </c>
      <c r="N731" s="23">
        <v>38</v>
      </c>
      <c r="O731" s="30">
        <v>45</v>
      </c>
      <c r="P731" s="31"/>
      <c r="Q731" s="11">
        <v>399</v>
      </c>
      <c r="S731" s="18">
        <f t="shared" si="22"/>
        <v>0</v>
      </c>
      <c r="T731" s="18">
        <f t="shared" si="23"/>
        <v>0</v>
      </c>
    </row>
    <row r="732" spans="5:20">
      <c r="E732" s="21" t="s">
        <v>62</v>
      </c>
      <c r="F732" s="21"/>
      <c r="G732" s="11" t="s">
        <v>63</v>
      </c>
      <c r="H732" s="23">
        <v>100</v>
      </c>
      <c r="I732" s="23">
        <v>100</v>
      </c>
      <c r="J732" s="23">
        <v>100</v>
      </c>
      <c r="K732" s="23">
        <v>100</v>
      </c>
      <c r="L732" s="23">
        <v>100</v>
      </c>
      <c r="M732" s="23">
        <v>100</v>
      </c>
      <c r="N732" s="23">
        <v>50</v>
      </c>
      <c r="O732" s="30">
        <v>50</v>
      </c>
      <c r="P732" s="31"/>
      <c r="Q732" s="11">
        <v>700</v>
      </c>
      <c r="S732" s="18" t="str">
        <f t="shared" si="22"/>
        <v>Dr. B.B. Hegde First Grade College, Kundapura, Udupi.</v>
      </c>
      <c r="T732" s="18" t="str">
        <f t="shared" si="23"/>
        <v/>
      </c>
    </row>
    <row r="733" spans="5:20">
      <c r="E733" s="32" t="s">
        <v>273</v>
      </c>
      <c r="F733" s="31"/>
      <c r="G733" s="11" t="s">
        <v>65</v>
      </c>
      <c r="H733" s="23" t="s">
        <v>103</v>
      </c>
      <c r="I733" s="23" t="s">
        <v>69</v>
      </c>
      <c r="J733" s="23" t="s">
        <v>127</v>
      </c>
      <c r="K733" s="23" t="s">
        <v>127</v>
      </c>
      <c r="L733" s="23" t="s">
        <v>138</v>
      </c>
      <c r="M733" s="23" t="s">
        <v>138</v>
      </c>
      <c r="N733" s="23" t="s">
        <v>102</v>
      </c>
      <c r="O733" s="30" t="s">
        <v>71</v>
      </c>
      <c r="P733" s="31"/>
      <c r="Q733" s="11" t="s">
        <v>37</v>
      </c>
      <c r="S733" s="18" t="str">
        <f t="shared" si="22"/>
        <v>00050</v>
      </c>
      <c r="T733" s="18" t="str">
        <f t="shared" si="23"/>
        <v>Total</v>
      </c>
    </row>
    <row r="734" spans="5:20">
      <c r="E734" s="15" t="s">
        <v>72</v>
      </c>
      <c r="F734" s="15" t="s">
        <v>529</v>
      </c>
      <c r="G734" s="11" t="s">
        <v>74</v>
      </c>
      <c r="H734" s="23" t="s">
        <v>75</v>
      </c>
      <c r="I734" s="23" t="s">
        <v>75</v>
      </c>
      <c r="J734" s="23" t="s">
        <v>75</v>
      </c>
      <c r="K734" s="23" t="s">
        <v>75</v>
      </c>
      <c r="L734" s="23" t="s">
        <v>75</v>
      </c>
      <c r="M734" s="23" t="s">
        <v>75</v>
      </c>
      <c r="N734" s="23" t="s">
        <v>75</v>
      </c>
      <c r="O734" s="30" t="s">
        <v>75</v>
      </c>
      <c r="P734" s="31"/>
      <c r="Q734" s="11" t="s">
        <v>37</v>
      </c>
      <c r="S734" s="18" t="str">
        <f t="shared" si="22"/>
        <v>USN</v>
      </c>
      <c r="T734" s="18" t="str">
        <f t="shared" si="23"/>
        <v/>
      </c>
    </row>
    <row r="735" spans="5:20">
      <c r="E735" s="16" t="s">
        <v>37</v>
      </c>
      <c r="F735" s="16" t="s">
        <v>37</v>
      </c>
      <c r="G735" s="16" t="s">
        <v>37</v>
      </c>
      <c r="H735" s="24" t="s">
        <v>37</v>
      </c>
      <c r="I735" s="24" t="s">
        <v>37</v>
      </c>
      <c r="J735" s="24" t="s">
        <v>37</v>
      </c>
      <c r="K735" s="24" t="s">
        <v>37</v>
      </c>
      <c r="L735" s="24" t="s">
        <v>37</v>
      </c>
      <c r="M735" s="24" t="s">
        <v>37</v>
      </c>
      <c r="N735" s="24" t="s">
        <v>37</v>
      </c>
      <c r="O735" s="41" t="s">
        <v>37</v>
      </c>
      <c r="P735" s="28"/>
      <c r="Q735" s="24" t="s">
        <v>37</v>
      </c>
      <c r="S735" s="18" t="str">
        <f t="shared" si="22"/>
        <v>AISHWARYA</v>
      </c>
      <c r="T735" s="18" t="str">
        <f t="shared" si="23"/>
        <v/>
      </c>
    </row>
    <row r="736" spans="5:20" ht="0" hidden="1" customHeight="1">
      <c r="S736" s="18">
        <f t="shared" si="22"/>
        <v>0</v>
      </c>
      <c r="T736" s="18">
        <f t="shared" si="23"/>
        <v>0</v>
      </c>
    </row>
    <row r="737" spans="5:20" ht="0.6" customHeight="1">
      <c r="S737" s="18">
        <f t="shared" si="22"/>
        <v>0</v>
      </c>
      <c r="T737" s="18">
        <f t="shared" si="23"/>
        <v>25</v>
      </c>
    </row>
    <row r="738" spans="5:20">
      <c r="E738" s="38" t="s">
        <v>35</v>
      </c>
      <c r="F738" s="31"/>
      <c r="G738" s="19" t="s">
        <v>36</v>
      </c>
      <c r="H738" s="20" t="s">
        <v>37</v>
      </c>
      <c r="I738" s="20" t="s">
        <v>37</v>
      </c>
      <c r="J738" s="20" t="s">
        <v>37</v>
      </c>
      <c r="K738" s="20" t="s">
        <v>37</v>
      </c>
      <c r="L738" s="20" t="s">
        <v>37</v>
      </c>
      <c r="M738" s="20" t="s">
        <v>37</v>
      </c>
      <c r="N738" s="20" t="s">
        <v>37</v>
      </c>
      <c r="O738" s="39" t="s">
        <v>37</v>
      </c>
      <c r="P738" s="28"/>
      <c r="Q738" s="20" t="s">
        <v>37</v>
      </c>
      <c r="S738" s="18" t="str">
        <f t="shared" si="22"/>
        <v>SGPA</v>
      </c>
      <c r="T738" s="18" t="str">
        <f t="shared" si="23"/>
        <v/>
      </c>
    </row>
    <row r="739" spans="5:20" ht="21">
      <c r="E739" s="32" t="s">
        <v>530</v>
      </c>
      <c r="F739" s="31"/>
      <c r="G739" s="22" t="s">
        <v>39</v>
      </c>
      <c r="H739" s="22" t="s">
        <v>19</v>
      </c>
      <c r="I739" s="22" t="s">
        <v>9</v>
      </c>
      <c r="J739" s="22" t="s">
        <v>21</v>
      </c>
      <c r="K739" s="22" t="s">
        <v>11</v>
      </c>
      <c r="L739" s="22" t="s">
        <v>17</v>
      </c>
      <c r="M739" s="22" t="s">
        <v>27</v>
      </c>
      <c r="N739" s="22" t="s">
        <v>7</v>
      </c>
      <c r="O739" s="40" t="s">
        <v>29</v>
      </c>
      <c r="P739" s="31"/>
      <c r="Q739" s="22" t="s">
        <v>40</v>
      </c>
      <c r="S739" s="18" t="str">
        <f t="shared" si="22"/>
        <v>CGPA</v>
      </c>
      <c r="T739" s="18">
        <f t="shared" si="23"/>
        <v>233</v>
      </c>
    </row>
    <row r="740" spans="5:20" ht="22.5">
      <c r="E740" s="21" t="s">
        <v>41</v>
      </c>
      <c r="F740" s="21" t="s">
        <v>531</v>
      </c>
      <c r="G740" s="11" t="s">
        <v>43</v>
      </c>
      <c r="H740" s="23" t="s">
        <v>78</v>
      </c>
      <c r="I740" s="23" t="s">
        <v>82</v>
      </c>
      <c r="J740" s="23" t="s">
        <v>280</v>
      </c>
      <c r="K740" s="23" t="s">
        <v>277</v>
      </c>
      <c r="L740" s="23" t="s">
        <v>532</v>
      </c>
      <c r="M740" s="23" t="s">
        <v>82</v>
      </c>
      <c r="N740" s="23" t="s">
        <v>209</v>
      </c>
      <c r="O740" s="30" t="s">
        <v>51</v>
      </c>
      <c r="P740" s="31"/>
      <c r="Q740" s="11" t="s">
        <v>37</v>
      </c>
      <c r="S740" s="18" t="str">
        <f t="shared" si="22"/>
        <v>Result: PASS</v>
      </c>
      <c r="T740" s="18">
        <f t="shared" si="23"/>
        <v>630</v>
      </c>
    </row>
    <row r="741" spans="5:20">
      <c r="E741" s="32" t="s">
        <v>533</v>
      </c>
      <c r="F741" s="33"/>
      <c r="G741" s="11" t="s">
        <v>53</v>
      </c>
      <c r="H741" s="23" t="s">
        <v>51</v>
      </c>
      <c r="I741" s="23" t="s">
        <v>51</v>
      </c>
      <c r="J741" s="23" t="s">
        <v>51</v>
      </c>
      <c r="K741" s="23" t="s">
        <v>51</v>
      </c>
      <c r="L741" s="23" t="s">
        <v>51</v>
      </c>
      <c r="M741" s="23" t="s">
        <v>51</v>
      </c>
      <c r="N741" s="23" t="s">
        <v>51</v>
      </c>
      <c r="O741" s="30" t="s">
        <v>86</v>
      </c>
      <c r="P741" s="31"/>
      <c r="Q741" s="11" t="s">
        <v>37</v>
      </c>
      <c r="S741" s="18" t="str">
        <f t="shared" si="22"/>
        <v>Class</v>
      </c>
      <c r="T741" s="18">
        <f t="shared" si="23"/>
        <v>700</v>
      </c>
    </row>
    <row r="742" spans="5:20">
      <c r="E742" s="34"/>
      <c r="F742" s="35"/>
      <c r="G742" s="11" t="s">
        <v>55</v>
      </c>
      <c r="H742" s="23" t="s">
        <v>37</v>
      </c>
      <c r="I742" s="23" t="s">
        <v>37</v>
      </c>
      <c r="J742" s="23" t="s">
        <v>37</v>
      </c>
      <c r="K742" s="23" t="s">
        <v>37</v>
      </c>
      <c r="L742" s="23" t="s">
        <v>37</v>
      </c>
      <c r="M742" s="23" t="s">
        <v>37</v>
      </c>
      <c r="N742" s="23" t="s">
        <v>37</v>
      </c>
      <c r="O742" s="30" t="s">
        <v>37</v>
      </c>
      <c r="P742" s="31"/>
      <c r="Q742" s="11">
        <v>0</v>
      </c>
      <c r="S742" s="18" t="str">
        <f t="shared" si="22"/>
        <v>Term Grade: OO</v>
      </c>
      <c r="T742" s="18" t="str">
        <f t="shared" si="23"/>
        <v/>
      </c>
    </row>
    <row r="743" spans="5:20">
      <c r="E743" s="36"/>
      <c r="F743" s="37"/>
      <c r="G743" s="11" t="s">
        <v>56</v>
      </c>
      <c r="H743" s="23">
        <v>4</v>
      </c>
      <c r="I743" s="23">
        <v>4</v>
      </c>
      <c r="J743" s="23">
        <v>4</v>
      </c>
      <c r="K743" s="23">
        <v>3</v>
      </c>
      <c r="L743" s="23">
        <v>3</v>
      </c>
      <c r="M743" s="23">
        <v>3</v>
      </c>
      <c r="N743" s="23">
        <v>2</v>
      </c>
      <c r="O743" s="30">
        <v>2</v>
      </c>
      <c r="P743" s="31"/>
      <c r="Q743" s="11">
        <v>25</v>
      </c>
      <c r="S743" s="18" t="str">
        <f t="shared" si="22"/>
        <v>M.C.No</v>
      </c>
      <c r="T743" s="18" t="str">
        <f t="shared" si="23"/>
        <v/>
      </c>
    </row>
    <row r="744" spans="5:20">
      <c r="E744" s="21" t="s">
        <v>57</v>
      </c>
      <c r="F744" s="21">
        <v>9.32</v>
      </c>
      <c r="G744" s="11" t="s">
        <v>58</v>
      </c>
      <c r="H744" s="23">
        <v>9</v>
      </c>
      <c r="I744" s="23">
        <v>10</v>
      </c>
      <c r="J744" s="23">
        <v>9</v>
      </c>
      <c r="K744" s="23">
        <v>8</v>
      </c>
      <c r="L744" s="23">
        <v>9</v>
      </c>
      <c r="M744" s="23">
        <v>10</v>
      </c>
      <c r="N744" s="23">
        <v>10</v>
      </c>
      <c r="O744" s="30">
        <v>10</v>
      </c>
      <c r="P744" s="31"/>
      <c r="Q744" s="11" t="s">
        <v>37</v>
      </c>
      <c r="S744" s="18" t="str">
        <f t="shared" si="22"/>
        <v/>
      </c>
      <c r="T744" s="18" t="str">
        <f t="shared" si="23"/>
        <v/>
      </c>
    </row>
    <row r="745" spans="5:20">
      <c r="E745" s="21" t="s">
        <v>59</v>
      </c>
      <c r="F745" s="14">
        <v>9.32</v>
      </c>
      <c r="G745" s="11" t="s">
        <v>60</v>
      </c>
      <c r="H745" s="23">
        <v>36</v>
      </c>
      <c r="I745" s="23">
        <v>40</v>
      </c>
      <c r="J745" s="23">
        <v>36</v>
      </c>
      <c r="K745" s="23">
        <v>24</v>
      </c>
      <c r="L745" s="23">
        <v>27</v>
      </c>
      <c r="M745" s="23">
        <v>30</v>
      </c>
      <c r="N745" s="23">
        <v>20</v>
      </c>
      <c r="O745" s="30">
        <v>20</v>
      </c>
      <c r="P745" s="31"/>
      <c r="Q745" s="11">
        <v>233</v>
      </c>
      <c r="S745" s="18">
        <f t="shared" si="22"/>
        <v>0</v>
      </c>
      <c r="T745" s="18">
        <f t="shared" si="23"/>
        <v>0</v>
      </c>
    </row>
    <row r="746" spans="5:20">
      <c r="E746" s="32" t="s">
        <v>61</v>
      </c>
      <c r="F746" s="31"/>
      <c r="G746" s="11" t="s">
        <v>40</v>
      </c>
      <c r="H746" s="23">
        <v>86</v>
      </c>
      <c r="I746" s="23">
        <v>98</v>
      </c>
      <c r="J746" s="23">
        <v>86</v>
      </c>
      <c r="K746" s="23">
        <v>76</v>
      </c>
      <c r="L746" s="23">
        <v>88</v>
      </c>
      <c r="M746" s="23">
        <v>98</v>
      </c>
      <c r="N746" s="23">
        <v>50</v>
      </c>
      <c r="O746" s="30">
        <v>48</v>
      </c>
      <c r="P746" s="31"/>
      <c r="Q746" s="11">
        <v>630</v>
      </c>
      <c r="S746" s="18">
        <f t="shared" si="22"/>
        <v>0</v>
      </c>
      <c r="T746" s="18">
        <f t="shared" si="23"/>
        <v>0</v>
      </c>
    </row>
    <row r="747" spans="5:20">
      <c r="E747" s="21" t="s">
        <v>62</v>
      </c>
      <c r="F747" s="21"/>
      <c r="G747" s="11" t="s">
        <v>63</v>
      </c>
      <c r="H747" s="23">
        <v>100</v>
      </c>
      <c r="I747" s="23">
        <v>100</v>
      </c>
      <c r="J747" s="23">
        <v>100</v>
      </c>
      <c r="K747" s="23">
        <v>100</v>
      </c>
      <c r="L747" s="23">
        <v>100</v>
      </c>
      <c r="M747" s="23">
        <v>100</v>
      </c>
      <c r="N747" s="23">
        <v>50</v>
      </c>
      <c r="O747" s="30">
        <v>50</v>
      </c>
      <c r="P747" s="31"/>
      <c r="Q747" s="11">
        <v>700</v>
      </c>
      <c r="S747" s="18" t="str">
        <f t="shared" si="22"/>
        <v>Dr. B.B. Hegde First Grade College, Kundapura, Udupi.</v>
      </c>
      <c r="T747" s="18" t="str">
        <f t="shared" si="23"/>
        <v/>
      </c>
    </row>
    <row r="748" spans="5:20">
      <c r="E748" s="32" t="s">
        <v>87</v>
      </c>
      <c r="F748" s="31"/>
      <c r="G748" s="11" t="s">
        <v>65</v>
      </c>
      <c r="H748" s="23" t="s">
        <v>67</v>
      </c>
      <c r="I748" s="23" t="s">
        <v>88</v>
      </c>
      <c r="J748" s="23" t="s">
        <v>67</v>
      </c>
      <c r="K748" s="23" t="s">
        <v>102</v>
      </c>
      <c r="L748" s="23" t="s">
        <v>67</v>
      </c>
      <c r="M748" s="23" t="s">
        <v>88</v>
      </c>
      <c r="N748" s="23" t="s">
        <v>88</v>
      </c>
      <c r="O748" s="30" t="s">
        <v>88</v>
      </c>
      <c r="P748" s="31"/>
      <c r="Q748" s="11" t="s">
        <v>37</v>
      </c>
      <c r="S748" s="18" t="str">
        <f t="shared" si="22"/>
        <v>00051</v>
      </c>
      <c r="T748" s="18" t="str">
        <f t="shared" si="23"/>
        <v>Total</v>
      </c>
    </row>
    <row r="749" spans="5:20">
      <c r="E749" s="15" t="s">
        <v>72</v>
      </c>
      <c r="F749" s="15" t="s">
        <v>534</v>
      </c>
      <c r="G749" s="11" t="s">
        <v>74</v>
      </c>
      <c r="H749" s="23" t="s">
        <v>75</v>
      </c>
      <c r="I749" s="23" t="s">
        <v>75</v>
      </c>
      <c r="J749" s="23" t="s">
        <v>75</v>
      </c>
      <c r="K749" s="23" t="s">
        <v>75</v>
      </c>
      <c r="L749" s="23" t="s">
        <v>75</v>
      </c>
      <c r="M749" s="23" t="s">
        <v>75</v>
      </c>
      <c r="N749" s="23" t="s">
        <v>75</v>
      </c>
      <c r="O749" s="30" t="s">
        <v>75</v>
      </c>
      <c r="P749" s="31"/>
      <c r="Q749" s="11" t="s">
        <v>37</v>
      </c>
      <c r="S749" s="18" t="str">
        <f t="shared" si="22"/>
        <v>USN</v>
      </c>
      <c r="T749" s="18" t="str">
        <f t="shared" si="23"/>
        <v/>
      </c>
    </row>
    <row r="750" spans="5:20">
      <c r="E750" s="16" t="s">
        <v>37</v>
      </c>
      <c r="F750" s="16" t="s">
        <v>37</v>
      </c>
      <c r="G750" s="16" t="s">
        <v>37</v>
      </c>
      <c r="H750" s="24" t="s">
        <v>37</v>
      </c>
      <c r="I750" s="24" t="s">
        <v>37</v>
      </c>
      <c r="J750" s="24" t="s">
        <v>37</v>
      </c>
      <c r="K750" s="24" t="s">
        <v>37</v>
      </c>
      <c r="L750" s="24" t="s">
        <v>37</v>
      </c>
      <c r="M750" s="24" t="s">
        <v>37</v>
      </c>
      <c r="N750" s="24" t="s">
        <v>37</v>
      </c>
      <c r="O750" s="41" t="s">
        <v>37</v>
      </c>
      <c r="P750" s="28"/>
      <c r="Q750" s="24" t="s">
        <v>37</v>
      </c>
      <c r="S750" s="18" t="str">
        <f t="shared" si="22"/>
        <v>KEERTHANA N</v>
      </c>
      <c r="T750" s="18" t="str">
        <f t="shared" si="23"/>
        <v/>
      </c>
    </row>
    <row r="751" spans="5:20" ht="0" hidden="1" customHeight="1">
      <c r="S751" s="18">
        <f t="shared" si="22"/>
        <v>0</v>
      </c>
      <c r="T751" s="18">
        <f t="shared" si="23"/>
        <v>0</v>
      </c>
    </row>
    <row r="752" spans="5:20" ht="0.6" customHeight="1">
      <c r="S752" s="18">
        <f t="shared" si="22"/>
        <v>0</v>
      </c>
      <c r="T752" s="18">
        <f t="shared" si="23"/>
        <v>25</v>
      </c>
    </row>
    <row r="753" spans="5:20">
      <c r="E753" s="38" t="s">
        <v>35</v>
      </c>
      <c r="F753" s="31"/>
      <c r="G753" s="19" t="s">
        <v>36</v>
      </c>
      <c r="H753" s="20" t="s">
        <v>37</v>
      </c>
      <c r="I753" s="20" t="s">
        <v>37</v>
      </c>
      <c r="J753" s="20" t="s">
        <v>37</v>
      </c>
      <c r="K753" s="20" t="s">
        <v>37</v>
      </c>
      <c r="L753" s="20" t="s">
        <v>37</v>
      </c>
      <c r="M753" s="20" t="s">
        <v>37</v>
      </c>
      <c r="N753" s="20" t="s">
        <v>37</v>
      </c>
      <c r="O753" s="39" t="s">
        <v>37</v>
      </c>
      <c r="P753" s="28"/>
      <c r="Q753" s="20" t="s">
        <v>37</v>
      </c>
      <c r="S753" s="18" t="str">
        <f t="shared" si="22"/>
        <v>SGPA</v>
      </c>
      <c r="T753" s="18" t="str">
        <f t="shared" si="23"/>
        <v/>
      </c>
    </row>
    <row r="754" spans="5:20" ht="21">
      <c r="E754" s="32" t="s">
        <v>535</v>
      </c>
      <c r="F754" s="31"/>
      <c r="G754" s="22" t="s">
        <v>39</v>
      </c>
      <c r="H754" s="22" t="s">
        <v>19</v>
      </c>
      <c r="I754" s="22" t="s">
        <v>9</v>
      </c>
      <c r="J754" s="22" t="s">
        <v>21</v>
      </c>
      <c r="K754" s="22" t="s">
        <v>11</v>
      </c>
      <c r="L754" s="22" t="s">
        <v>17</v>
      </c>
      <c r="M754" s="22" t="s">
        <v>27</v>
      </c>
      <c r="N754" s="22" t="s">
        <v>7</v>
      </c>
      <c r="O754" s="40" t="s">
        <v>25</v>
      </c>
      <c r="P754" s="31"/>
      <c r="Q754" s="22" t="s">
        <v>40</v>
      </c>
      <c r="S754" s="18" t="str">
        <f t="shared" si="22"/>
        <v>CGPA</v>
      </c>
      <c r="T754" s="18">
        <f t="shared" si="23"/>
        <v>203</v>
      </c>
    </row>
    <row r="755" spans="5:20" ht="22.5">
      <c r="E755" s="21" t="s">
        <v>41</v>
      </c>
      <c r="F755" s="21" t="s">
        <v>536</v>
      </c>
      <c r="G755" s="11" t="s">
        <v>43</v>
      </c>
      <c r="H755" s="23" t="s">
        <v>537</v>
      </c>
      <c r="I755" s="23" t="s">
        <v>538</v>
      </c>
      <c r="J755" s="23" t="s">
        <v>143</v>
      </c>
      <c r="K755" s="23" t="s">
        <v>539</v>
      </c>
      <c r="L755" s="23" t="s">
        <v>540</v>
      </c>
      <c r="M755" s="23" t="s">
        <v>541</v>
      </c>
      <c r="N755" s="23" t="s">
        <v>297</v>
      </c>
      <c r="O755" s="30" t="s">
        <v>51</v>
      </c>
      <c r="P755" s="31"/>
      <c r="Q755" s="11" t="s">
        <v>37</v>
      </c>
      <c r="S755" s="18" t="str">
        <f t="shared" si="22"/>
        <v>Result: PASS</v>
      </c>
      <c r="T755" s="18">
        <f t="shared" si="23"/>
        <v>546</v>
      </c>
    </row>
    <row r="756" spans="5:20">
      <c r="E756" s="32" t="s">
        <v>542</v>
      </c>
      <c r="F756" s="33"/>
      <c r="G756" s="11" t="s">
        <v>53</v>
      </c>
      <c r="H756" s="23" t="s">
        <v>51</v>
      </c>
      <c r="I756" s="23" t="s">
        <v>51</v>
      </c>
      <c r="J756" s="23" t="s">
        <v>51</v>
      </c>
      <c r="K756" s="23" t="s">
        <v>51</v>
      </c>
      <c r="L756" s="23" t="s">
        <v>51</v>
      </c>
      <c r="M756" s="23" t="s">
        <v>51</v>
      </c>
      <c r="N756" s="23" t="s">
        <v>51</v>
      </c>
      <c r="O756" s="30" t="s">
        <v>100</v>
      </c>
      <c r="P756" s="31"/>
      <c r="Q756" s="11" t="s">
        <v>37</v>
      </c>
      <c r="S756" s="18" t="str">
        <f t="shared" si="22"/>
        <v>Class</v>
      </c>
      <c r="T756" s="18">
        <f t="shared" si="23"/>
        <v>700</v>
      </c>
    </row>
    <row r="757" spans="5:20">
      <c r="E757" s="34"/>
      <c r="F757" s="35"/>
      <c r="G757" s="11" t="s">
        <v>55</v>
      </c>
      <c r="H757" s="23" t="s">
        <v>37</v>
      </c>
      <c r="I757" s="23" t="s">
        <v>37</v>
      </c>
      <c r="J757" s="23" t="s">
        <v>37</v>
      </c>
      <c r="K757" s="23" t="s">
        <v>37</v>
      </c>
      <c r="L757" s="23" t="s">
        <v>37</v>
      </c>
      <c r="M757" s="23" t="s">
        <v>37</v>
      </c>
      <c r="N757" s="23" t="s">
        <v>37</v>
      </c>
      <c r="O757" s="30" t="s">
        <v>37</v>
      </c>
      <c r="P757" s="31"/>
      <c r="Q757" s="11">
        <v>0</v>
      </c>
      <c r="S757" s="18" t="str">
        <f t="shared" si="22"/>
        <v>Term Grade: OA</v>
      </c>
      <c r="T757" s="18" t="str">
        <f t="shared" si="23"/>
        <v/>
      </c>
    </row>
    <row r="758" spans="5:20">
      <c r="E758" s="36"/>
      <c r="F758" s="37"/>
      <c r="G758" s="11" t="s">
        <v>56</v>
      </c>
      <c r="H758" s="23">
        <v>4</v>
      </c>
      <c r="I758" s="23">
        <v>4</v>
      </c>
      <c r="J758" s="23">
        <v>4</v>
      </c>
      <c r="K758" s="23">
        <v>3</v>
      </c>
      <c r="L758" s="23">
        <v>3</v>
      </c>
      <c r="M758" s="23">
        <v>3</v>
      </c>
      <c r="N758" s="23">
        <v>2</v>
      </c>
      <c r="O758" s="30">
        <v>2</v>
      </c>
      <c r="P758" s="31"/>
      <c r="Q758" s="11">
        <v>25</v>
      </c>
      <c r="S758" s="18" t="str">
        <f t="shared" si="22"/>
        <v>M.C.No</v>
      </c>
      <c r="T758" s="18" t="str">
        <f t="shared" si="23"/>
        <v/>
      </c>
    </row>
    <row r="759" spans="5:20">
      <c r="E759" s="21" t="s">
        <v>57</v>
      </c>
      <c r="F759" s="21">
        <v>8.1199999999999992</v>
      </c>
      <c r="G759" s="11" t="s">
        <v>58</v>
      </c>
      <c r="H759" s="23">
        <v>8</v>
      </c>
      <c r="I759" s="23">
        <v>7.5</v>
      </c>
      <c r="J759" s="23">
        <v>7</v>
      </c>
      <c r="K759" s="23">
        <v>7</v>
      </c>
      <c r="L759" s="23">
        <v>9.5</v>
      </c>
      <c r="M759" s="23">
        <v>8.5</v>
      </c>
      <c r="N759" s="23">
        <v>9</v>
      </c>
      <c r="O759" s="30">
        <v>10</v>
      </c>
      <c r="P759" s="31"/>
      <c r="Q759" s="11" t="s">
        <v>37</v>
      </c>
      <c r="S759" s="18" t="str">
        <f t="shared" si="22"/>
        <v/>
      </c>
      <c r="T759" s="18" t="str">
        <f t="shared" si="23"/>
        <v/>
      </c>
    </row>
    <row r="760" spans="5:20">
      <c r="E760" s="21" t="s">
        <v>59</v>
      </c>
      <c r="F760" s="14">
        <v>8.1199999999999992</v>
      </c>
      <c r="G760" s="11" t="s">
        <v>60</v>
      </c>
      <c r="H760" s="23">
        <v>32</v>
      </c>
      <c r="I760" s="23">
        <v>30</v>
      </c>
      <c r="J760" s="23">
        <v>28</v>
      </c>
      <c r="K760" s="23">
        <v>21</v>
      </c>
      <c r="L760" s="23">
        <v>28.5</v>
      </c>
      <c r="M760" s="23">
        <v>25.5</v>
      </c>
      <c r="N760" s="23">
        <v>18</v>
      </c>
      <c r="O760" s="30">
        <v>20</v>
      </c>
      <c r="P760" s="31"/>
      <c r="Q760" s="11">
        <v>203</v>
      </c>
      <c r="S760" s="18">
        <f t="shared" si="22"/>
        <v>0</v>
      </c>
      <c r="T760" s="18">
        <f t="shared" si="23"/>
        <v>0</v>
      </c>
    </row>
    <row r="761" spans="5:20">
      <c r="E761" s="32" t="s">
        <v>61</v>
      </c>
      <c r="F761" s="31"/>
      <c r="G761" s="11" t="s">
        <v>40</v>
      </c>
      <c r="H761" s="23">
        <v>75</v>
      </c>
      <c r="I761" s="23">
        <v>73</v>
      </c>
      <c r="J761" s="23">
        <v>65</v>
      </c>
      <c r="K761" s="23">
        <v>65</v>
      </c>
      <c r="L761" s="23">
        <v>93</v>
      </c>
      <c r="M761" s="23">
        <v>81</v>
      </c>
      <c r="N761" s="23">
        <v>44</v>
      </c>
      <c r="O761" s="30">
        <v>50</v>
      </c>
      <c r="P761" s="31"/>
      <c r="Q761" s="11">
        <v>546</v>
      </c>
      <c r="S761" s="18">
        <f t="shared" si="22"/>
        <v>0</v>
      </c>
      <c r="T761" s="18">
        <f t="shared" si="23"/>
        <v>0</v>
      </c>
    </row>
    <row r="762" spans="5:20">
      <c r="E762" s="21" t="s">
        <v>62</v>
      </c>
      <c r="F762" s="21"/>
      <c r="G762" s="11" t="s">
        <v>63</v>
      </c>
      <c r="H762" s="23">
        <v>100</v>
      </c>
      <c r="I762" s="23">
        <v>100</v>
      </c>
      <c r="J762" s="23">
        <v>100</v>
      </c>
      <c r="K762" s="23">
        <v>100</v>
      </c>
      <c r="L762" s="23">
        <v>100</v>
      </c>
      <c r="M762" s="23">
        <v>100</v>
      </c>
      <c r="N762" s="23">
        <v>50</v>
      </c>
      <c r="O762" s="30">
        <v>50</v>
      </c>
      <c r="P762" s="31"/>
      <c r="Q762" s="11">
        <v>700</v>
      </c>
      <c r="S762" s="18" t="str">
        <f t="shared" si="22"/>
        <v>Dr. B.B. Hegde First Grade College, Kundapura, Udupi.</v>
      </c>
      <c r="T762" s="18" t="str">
        <f t="shared" si="23"/>
        <v/>
      </c>
    </row>
    <row r="763" spans="5:20">
      <c r="E763" s="32" t="s">
        <v>200</v>
      </c>
      <c r="F763" s="31"/>
      <c r="G763" s="11" t="s">
        <v>65</v>
      </c>
      <c r="H763" s="23" t="s">
        <v>102</v>
      </c>
      <c r="I763" s="23" t="s">
        <v>68</v>
      </c>
      <c r="J763" s="23" t="s">
        <v>66</v>
      </c>
      <c r="K763" s="23" t="s">
        <v>66</v>
      </c>
      <c r="L763" s="23" t="s">
        <v>71</v>
      </c>
      <c r="M763" s="23" t="s">
        <v>70</v>
      </c>
      <c r="N763" s="23" t="s">
        <v>67</v>
      </c>
      <c r="O763" s="30" t="s">
        <v>88</v>
      </c>
      <c r="P763" s="31"/>
      <c r="Q763" s="11" t="s">
        <v>37</v>
      </c>
      <c r="S763" s="18" t="str">
        <f t="shared" si="22"/>
        <v>00052</v>
      </c>
      <c r="T763" s="18" t="str">
        <f t="shared" si="23"/>
        <v>Total</v>
      </c>
    </row>
    <row r="764" spans="5:20">
      <c r="E764" s="15" t="s">
        <v>72</v>
      </c>
      <c r="F764" s="15" t="s">
        <v>543</v>
      </c>
      <c r="G764" s="11" t="s">
        <v>74</v>
      </c>
      <c r="H764" s="23" t="s">
        <v>75</v>
      </c>
      <c r="I764" s="23" t="s">
        <v>75</v>
      </c>
      <c r="J764" s="23" t="s">
        <v>75</v>
      </c>
      <c r="K764" s="23" t="s">
        <v>75</v>
      </c>
      <c r="L764" s="23" t="s">
        <v>75</v>
      </c>
      <c r="M764" s="23" t="s">
        <v>75</v>
      </c>
      <c r="N764" s="23" t="s">
        <v>75</v>
      </c>
      <c r="O764" s="30" t="s">
        <v>75</v>
      </c>
      <c r="P764" s="31"/>
      <c r="Q764" s="11" t="s">
        <v>37</v>
      </c>
      <c r="S764" s="18" t="str">
        <f t="shared" si="22"/>
        <v>USN</v>
      </c>
      <c r="T764" s="18" t="str">
        <f t="shared" si="23"/>
        <v/>
      </c>
    </row>
    <row r="765" spans="5:20">
      <c r="E765" s="16" t="s">
        <v>37</v>
      </c>
      <c r="F765" s="16" t="s">
        <v>37</v>
      </c>
      <c r="G765" s="16" t="s">
        <v>37</v>
      </c>
      <c r="H765" s="24" t="s">
        <v>37</v>
      </c>
      <c r="I765" s="24" t="s">
        <v>37</v>
      </c>
      <c r="J765" s="24" t="s">
        <v>37</v>
      </c>
      <c r="K765" s="24" t="s">
        <v>37</v>
      </c>
      <c r="L765" s="24" t="s">
        <v>37</v>
      </c>
      <c r="M765" s="24" t="s">
        <v>37</v>
      </c>
      <c r="N765" s="24" t="s">
        <v>37</v>
      </c>
      <c r="O765" s="41" t="s">
        <v>37</v>
      </c>
      <c r="P765" s="28"/>
      <c r="Q765" s="24" t="s">
        <v>37</v>
      </c>
      <c r="S765" s="18" t="str">
        <f t="shared" si="22"/>
        <v>ASHIK MANDARA</v>
      </c>
      <c r="T765" s="18" t="str">
        <f t="shared" si="23"/>
        <v/>
      </c>
    </row>
    <row r="766" spans="5:20" ht="0" hidden="1" customHeight="1">
      <c r="S766" s="18">
        <f t="shared" si="22"/>
        <v>0</v>
      </c>
      <c r="T766" s="18">
        <f t="shared" si="23"/>
        <v>0</v>
      </c>
    </row>
    <row r="767" spans="5:20" ht="0.6" customHeight="1">
      <c r="S767" s="18">
        <f t="shared" si="22"/>
        <v>0</v>
      </c>
      <c r="T767" s="18">
        <f t="shared" si="23"/>
        <v>25</v>
      </c>
    </row>
    <row r="768" spans="5:20">
      <c r="E768" s="38" t="s">
        <v>35</v>
      </c>
      <c r="F768" s="31"/>
      <c r="G768" s="19" t="s">
        <v>36</v>
      </c>
      <c r="H768" s="20" t="s">
        <v>37</v>
      </c>
      <c r="I768" s="20" t="s">
        <v>37</v>
      </c>
      <c r="J768" s="20" t="s">
        <v>37</v>
      </c>
      <c r="K768" s="20" t="s">
        <v>37</v>
      </c>
      <c r="L768" s="20" t="s">
        <v>37</v>
      </c>
      <c r="M768" s="20" t="s">
        <v>37</v>
      </c>
      <c r="N768" s="20" t="s">
        <v>37</v>
      </c>
      <c r="O768" s="39" t="s">
        <v>37</v>
      </c>
      <c r="P768" s="28"/>
      <c r="Q768" s="20" t="s">
        <v>37</v>
      </c>
      <c r="S768" s="18" t="str">
        <f t="shared" si="22"/>
        <v>SGPA</v>
      </c>
      <c r="T768" s="18" t="str">
        <f t="shared" si="23"/>
        <v/>
      </c>
    </row>
    <row r="769" spans="5:20" ht="21">
      <c r="E769" s="32" t="s">
        <v>544</v>
      </c>
      <c r="F769" s="31"/>
      <c r="G769" s="22" t="s">
        <v>39</v>
      </c>
      <c r="H769" s="22" t="s">
        <v>19</v>
      </c>
      <c r="I769" s="22" t="s">
        <v>9</v>
      </c>
      <c r="J769" s="22" t="s">
        <v>21</v>
      </c>
      <c r="K769" s="22" t="s">
        <v>11</v>
      </c>
      <c r="L769" s="22" t="s">
        <v>17</v>
      </c>
      <c r="M769" s="22" t="s">
        <v>27</v>
      </c>
      <c r="N769" s="22" t="s">
        <v>7</v>
      </c>
      <c r="O769" s="40" t="s">
        <v>33</v>
      </c>
      <c r="P769" s="31"/>
      <c r="Q769" s="22" t="s">
        <v>40</v>
      </c>
      <c r="S769" s="18" t="str">
        <f t="shared" si="22"/>
        <v>CGPA</v>
      </c>
      <c r="T769" s="18">
        <f t="shared" si="23"/>
        <v>201.5</v>
      </c>
    </row>
    <row r="770" spans="5:20" ht="22.5">
      <c r="E770" s="21" t="s">
        <v>41</v>
      </c>
      <c r="F770" s="21" t="s">
        <v>545</v>
      </c>
      <c r="G770" s="11" t="s">
        <v>43</v>
      </c>
      <c r="H770" s="23" t="s">
        <v>546</v>
      </c>
      <c r="I770" s="23" t="s">
        <v>547</v>
      </c>
      <c r="J770" s="23" t="s">
        <v>299</v>
      </c>
      <c r="K770" s="23" t="s">
        <v>548</v>
      </c>
      <c r="L770" s="23" t="s">
        <v>480</v>
      </c>
      <c r="M770" s="23" t="s">
        <v>549</v>
      </c>
      <c r="N770" s="23" t="s">
        <v>550</v>
      </c>
      <c r="O770" s="30" t="s">
        <v>51</v>
      </c>
      <c r="P770" s="31"/>
      <c r="Q770" s="11" t="s">
        <v>37</v>
      </c>
      <c r="S770" s="18" t="str">
        <f t="shared" si="22"/>
        <v>Result: PASS</v>
      </c>
      <c r="T770" s="18">
        <f t="shared" si="23"/>
        <v>538</v>
      </c>
    </row>
    <row r="771" spans="5:20">
      <c r="E771" s="32" t="s">
        <v>551</v>
      </c>
      <c r="F771" s="33"/>
      <c r="G771" s="11" t="s">
        <v>53</v>
      </c>
      <c r="H771" s="23" t="s">
        <v>51</v>
      </c>
      <c r="I771" s="23" t="s">
        <v>51</v>
      </c>
      <c r="J771" s="23" t="s">
        <v>51</v>
      </c>
      <c r="K771" s="23" t="s">
        <v>51</v>
      </c>
      <c r="L771" s="23" t="s">
        <v>51</v>
      </c>
      <c r="M771" s="23" t="s">
        <v>51</v>
      </c>
      <c r="N771" s="23" t="s">
        <v>51</v>
      </c>
      <c r="O771" s="30" t="s">
        <v>552</v>
      </c>
      <c r="P771" s="31"/>
      <c r="Q771" s="11" t="s">
        <v>37</v>
      </c>
      <c r="S771" s="18" t="str">
        <f t="shared" si="22"/>
        <v>Class</v>
      </c>
      <c r="T771" s="18">
        <f t="shared" si="23"/>
        <v>700</v>
      </c>
    </row>
    <row r="772" spans="5:20">
      <c r="E772" s="34"/>
      <c r="F772" s="35"/>
      <c r="G772" s="11" t="s">
        <v>55</v>
      </c>
      <c r="H772" s="23" t="s">
        <v>37</v>
      </c>
      <c r="I772" s="23" t="s">
        <v>37</v>
      </c>
      <c r="J772" s="23" t="s">
        <v>37</v>
      </c>
      <c r="K772" s="23" t="s">
        <v>37</v>
      </c>
      <c r="L772" s="23" t="s">
        <v>37</v>
      </c>
      <c r="M772" s="23" t="s">
        <v>37</v>
      </c>
      <c r="N772" s="23" t="s">
        <v>37</v>
      </c>
      <c r="O772" s="30" t="s">
        <v>37</v>
      </c>
      <c r="P772" s="31"/>
      <c r="Q772" s="11">
        <v>0</v>
      </c>
      <c r="S772" s="18" t="str">
        <f t="shared" si="22"/>
        <v>Term Grade: OA</v>
      </c>
      <c r="T772" s="18" t="str">
        <f t="shared" si="23"/>
        <v/>
      </c>
    </row>
    <row r="773" spans="5:20">
      <c r="E773" s="36"/>
      <c r="F773" s="37"/>
      <c r="G773" s="11" t="s">
        <v>56</v>
      </c>
      <c r="H773" s="23">
        <v>4</v>
      </c>
      <c r="I773" s="23">
        <v>4</v>
      </c>
      <c r="J773" s="23">
        <v>4</v>
      </c>
      <c r="K773" s="23">
        <v>3</v>
      </c>
      <c r="L773" s="23">
        <v>3</v>
      </c>
      <c r="M773" s="23">
        <v>3</v>
      </c>
      <c r="N773" s="23">
        <v>2</v>
      </c>
      <c r="O773" s="30">
        <v>2</v>
      </c>
      <c r="P773" s="31"/>
      <c r="Q773" s="11">
        <v>25</v>
      </c>
      <c r="S773" s="18" t="str">
        <f t="shared" si="22"/>
        <v>M.C.No</v>
      </c>
      <c r="T773" s="18" t="str">
        <f t="shared" si="23"/>
        <v/>
      </c>
    </row>
    <row r="774" spans="5:20">
      <c r="E774" s="21" t="s">
        <v>57</v>
      </c>
      <c r="F774" s="21">
        <v>8.06</v>
      </c>
      <c r="G774" s="11" t="s">
        <v>58</v>
      </c>
      <c r="H774" s="23">
        <v>8.5</v>
      </c>
      <c r="I774" s="23">
        <v>8.5</v>
      </c>
      <c r="J774" s="23">
        <v>7.5</v>
      </c>
      <c r="K774" s="23">
        <v>6</v>
      </c>
      <c r="L774" s="23">
        <v>8.5</v>
      </c>
      <c r="M774" s="23">
        <v>9</v>
      </c>
      <c r="N774" s="23">
        <v>8</v>
      </c>
      <c r="O774" s="30">
        <v>8.5</v>
      </c>
      <c r="P774" s="31"/>
      <c r="Q774" s="11" t="s">
        <v>37</v>
      </c>
      <c r="S774" s="18" t="str">
        <f t="shared" si="22"/>
        <v/>
      </c>
      <c r="T774" s="18" t="str">
        <f t="shared" si="23"/>
        <v/>
      </c>
    </row>
    <row r="775" spans="5:20">
      <c r="E775" s="21" t="s">
        <v>59</v>
      </c>
      <c r="F775" s="14">
        <v>8.06</v>
      </c>
      <c r="G775" s="11" t="s">
        <v>60</v>
      </c>
      <c r="H775" s="23">
        <v>34</v>
      </c>
      <c r="I775" s="23">
        <v>34</v>
      </c>
      <c r="J775" s="23">
        <v>30</v>
      </c>
      <c r="K775" s="23">
        <v>18</v>
      </c>
      <c r="L775" s="23">
        <v>25.5</v>
      </c>
      <c r="M775" s="23">
        <v>27</v>
      </c>
      <c r="N775" s="23">
        <v>16</v>
      </c>
      <c r="O775" s="30">
        <v>17</v>
      </c>
      <c r="P775" s="31"/>
      <c r="Q775" s="11">
        <v>201.5</v>
      </c>
      <c r="S775" s="18">
        <f t="shared" si="22"/>
        <v>0</v>
      </c>
      <c r="T775" s="18">
        <f t="shared" si="23"/>
        <v>0</v>
      </c>
    </row>
    <row r="776" spans="5:20">
      <c r="E776" s="32" t="s">
        <v>61</v>
      </c>
      <c r="F776" s="31"/>
      <c r="G776" s="11" t="s">
        <v>40</v>
      </c>
      <c r="H776" s="23">
        <v>80</v>
      </c>
      <c r="I776" s="23">
        <v>80</v>
      </c>
      <c r="J776" s="23">
        <v>73</v>
      </c>
      <c r="K776" s="23">
        <v>57</v>
      </c>
      <c r="L776" s="23">
        <v>82</v>
      </c>
      <c r="M776" s="23">
        <v>88</v>
      </c>
      <c r="N776" s="23">
        <v>38</v>
      </c>
      <c r="O776" s="30">
        <v>40</v>
      </c>
      <c r="P776" s="31"/>
      <c r="Q776" s="11">
        <v>538</v>
      </c>
      <c r="S776" s="18">
        <f t="shared" si="22"/>
        <v>0</v>
      </c>
      <c r="T776" s="18">
        <f t="shared" si="23"/>
        <v>0</v>
      </c>
    </row>
    <row r="777" spans="5:20">
      <c r="E777" s="21" t="s">
        <v>62</v>
      </c>
      <c r="F777" s="21"/>
      <c r="G777" s="11" t="s">
        <v>63</v>
      </c>
      <c r="H777" s="23">
        <v>100</v>
      </c>
      <c r="I777" s="23">
        <v>100</v>
      </c>
      <c r="J777" s="23">
        <v>100</v>
      </c>
      <c r="K777" s="23">
        <v>100</v>
      </c>
      <c r="L777" s="23">
        <v>100</v>
      </c>
      <c r="M777" s="23">
        <v>100</v>
      </c>
      <c r="N777" s="23">
        <v>50</v>
      </c>
      <c r="O777" s="30">
        <v>50</v>
      </c>
      <c r="P777" s="31"/>
      <c r="Q777" s="11">
        <v>700</v>
      </c>
      <c r="S777" s="18" t="str">
        <f t="shared" si="22"/>
        <v>Dr. B.B. Hegde First Grade College, Kundapura, Udupi.</v>
      </c>
      <c r="T777" s="18" t="str">
        <f t="shared" si="23"/>
        <v/>
      </c>
    </row>
    <row r="778" spans="5:20">
      <c r="E778" s="32" t="s">
        <v>200</v>
      </c>
      <c r="F778" s="31"/>
      <c r="G778" s="11" t="s">
        <v>65</v>
      </c>
      <c r="H778" s="23" t="s">
        <v>70</v>
      </c>
      <c r="I778" s="23" t="s">
        <v>70</v>
      </c>
      <c r="J778" s="23" t="s">
        <v>68</v>
      </c>
      <c r="K778" s="23" t="s">
        <v>103</v>
      </c>
      <c r="L778" s="23" t="s">
        <v>70</v>
      </c>
      <c r="M778" s="23" t="s">
        <v>67</v>
      </c>
      <c r="N778" s="23" t="s">
        <v>102</v>
      </c>
      <c r="O778" s="30" t="s">
        <v>70</v>
      </c>
      <c r="P778" s="31"/>
      <c r="Q778" s="11" t="s">
        <v>37</v>
      </c>
      <c r="S778" s="18" t="str">
        <f t="shared" si="22"/>
        <v>00053</v>
      </c>
      <c r="T778" s="18" t="str">
        <f t="shared" si="23"/>
        <v>Total</v>
      </c>
    </row>
    <row r="779" spans="5:20">
      <c r="E779" s="15" t="s">
        <v>72</v>
      </c>
      <c r="F779" s="15" t="s">
        <v>553</v>
      </c>
      <c r="G779" s="11" t="s">
        <v>74</v>
      </c>
      <c r="H779" s="23" t="s">
        <v>75</v>
      </c>
      <c r="I779" s="23" t="s">
        <v>75</v>
      </c>
      <c r="J779" s="23" t="s">
        <v>75</v>
      </c>
      <c r="K779" s="23" t="s">
        <v>75</v>
      </c>
      <c r="L779" s="23" t="s">
        <v>75</v>
      </c>
      <c r="M779" s="23" t="s">
        <v>75</v>
      </c>
      <c r="N779" s="23" t="s">
        <v>75</v>
      </c>
      <c r="O779" s="30" t="s">
        <v>75</v>
      </c>
      <c r="P779" s="31"/>
      <c r="Q779" s="11" t="s">
        <v>37</v>
      </c>
      <c r="S779" s="18" t="str">
        <f t="shared" si="22"/>
        <v>USN</v>
      </c>
      <c r="T779" s="18" t="str">
        <f t="shared" si="23"/>
        <v/>
      </c>
    </row>
    <row r="780" spans="5:20">
      <c r="E780" s="16" t="s">
        <v>37</v>
      </c>
      <c r="F780" s="16" t="s">
        <v>37</v>
      </c>
      <c r="G780" s="16" t="s">
        <v>37</v>
      </c>
      <c r="H780" s="24" t="s">
        <v>37</v>
      </c>
      <c r="I780" s="24" t="s">
        <v>37</v>
      </c>
      <c r="J780" s="24" t="s">
        <v>37</v>
      </c>
      <c r="K780" s="24" t="s">
        <v>37</v>
      </c>
      <c r="L780" s="24" t="s">
        <v>37</v>
      </c>
      <c r="M780" s="24" t="s">
        <v>37</v>
      </c>
      <c r="N780" s="24" t="s">
        <v>37</v>
      </c>
      <c r="O780" s="41" t="s">
        <v>37</v>
      </c>
      <c r="P780" s="28"/>
      <c r="Q780" s="24" t="s">
        <v>37</v>
      </c>
      <c r="S780" s="18" t="str">
        <f t="shared" ref="S780:S843" si="24">$E786</f>
        <v>LAVA</v>
      </c>
      <c r="T780" s="18" t="str">
        <f t="shared" ref="T780:T843" si="25">$Q786</f>
        <v/>
      </c>
    </row>
    <row r="781" spans="5:20" ht="0" hidden="1" customHeight="1">
      <c r="S781" s="18">
        <f t="shared" si="24"/>
        <v>0</v>
      </c>
      <c r="T781" s="18">
        <f t="shared" si="25"/>
        <v>0</v>
      </c>
    </row>
    <row r="782" spans="5:20" ht="0.6" customHeight="1">
      <c r="S782" s="18">
        <f t="shared" si="24"/>
        <v>0</v>
      </c>
      <c r="T782" s="18">
        <f t="shared" si="25"/>
        <v>25</v>
      </c>
    </row>
    <row r="783" spans="5:20">
      <c r="E783" s="38" t="s">
        <v>35</v>
      </c>
      <c r="F783" s="31"/>
      <c r="G783" s="19" t="s">
        <v>36</v>
      </c>
      <c r="H783" s="20" t="s">
        <v>37</v>
      </c>
      <c r="I783" s="20" t="s">
        <v>37</v>
      </c>
      <c r="J783" s="20" t="s">
        <v>37</v>
      </c>
      <c r="K783" s="20" t="s">
        <v>37</v>
      </c>
      <c r="L783" s="20" t="s">
        <v>37</v>
      </c>
      <c r="M783" s="20" t="s">
        <v>37</v>
      </c>
      <c r="N783" s="20" t="s">
        <v>37</v>
      </c>
      <c r="O783" s="39" t="s">
        <v>37</v>
      </c>
      <c r="P783" s="28"/>
      <c r="Q783" s="20" t="s">
        <v>37</v>
      </c>
      <c r="S783" s="18" t="str">
        <f t="shared" si="24"/>
        <v>SGPA</v>
      </c>
      <c r="T783" s="18" t="str">
        <f t="shared" si="25"/>
        <v/>
      </c>
    </row>
    <row r="784" spans="5:20" ht="21">
      <c r="E784" s="32" t="s">
        <v>554</v>
      </c>
      <c r="F784" s="31"/>
      <c r="G784" s="22" t="s">
        <v>39</v>
      </c>
      <c r="H784" s="22" t="s">
        <v>19</v>
      </c>
      <c r="I784" s="22" t="s">
        <v>9</v>
      </c>
      <c r="J784" s="22" t="s">
        <v>21</v>
      </c>
      <c r="K784" s="22" t="s">
        <v>11</v>
      </c>
      <c r="L784" s="22" t="s">
        <v>17</v>
      </c>
      <c r="M784" s="22" t="s">
        <v>27</v>
      </c>
      <c r="N784" s="22" t="s">
        <v>7</v>
      </c>
      <c r="O784" s="40" t="s">
        <v>29</v>
      </c>
      <c r="P784" s="31"/>
      <c r="Q784" s="22" t="s">
        <v>40</v>
      </c>
      <c r="S784" s="18" t="str">
        <f t="shared" si="24"/>
        <v>CGPA</v>
      </c>
      <c r="T784" s="18">
        <f t="shared" si="25"/>
        <v>211</v>
      </c>
    </row>
    <row r="785" spans="5:20" ht="22.5">
      <c r="E785" s="21" t="s">
        <v>41</v>
      </c>
      <c r="F785" s="21" t="s">
        <v>555</v>
      </c>
      <c r="G785" s="11" t="s">
        <v>43</v>
      </c>
      <c r="H785" s="23" t="s">
        <v>206</v>
      </c>
      <c r="I785" s="23" t="s">
        <v>556</v>
      </c>
      <c r="J785" s="23" t="s">
        <v>511</v>
      </c>
      <c r="K785" s="23" t="s">
        <v>121</v>
      </c>
      <c r="L785" s="23" t="s">
        <v>557</v>
      </c>
      <c r="M785" s="23" t="s">
        <v>558</v>
      </c>
      <c r="N785" s="23" t="s">
        <v>559</v>
      </c>
      <c r="O785" s="30" t="s">
        <v>51</v>
      </c>
      <c r="P785" s="31"/>
      <c r="Q785" s="11" t="s">
        <v>37</v>
      </c>
      <c r="S785" s="18" t="str">
        <f t="shared" si="24"/>
        <v>Result: PASS</v>
      </c>
      <c r="T785" s="18">
        <f t="shared" si="25"/>
        <v>566</v>
      </c>
    </row>
    <row r="786" spans="5:20">
      <c r="E786" s="32" t="s">
        <v>560</v>
      </c>
      <c r="F786" s="33"/>
      <c r="G786" s="11" t="s">
        <v>53</v>
      </c>
      <c r="H786" s="23" t="s">
        <v>51</v>
      </c>
      <c r="I786" s="23" t="s">
        <v>51</v>
      </c>
      <c r="J786" s="23" t="s">
        <v>51</v>
      </c>
      <c r="K786" s="23" t="s">
        <v>51</v>
      </c>
      <c r="L786" s="23" t="s">
        <v>51</v>
      </c>
      <c r="M786" s="23" t="s">
        <v>51</v>
      </c>
      <c r="N786" s="23" t="s">
        <v>51</v>
      </c>
      <c r="O786" s="30" t="s">
        <v>178</v>
      </c>
      <c r="P786" s="31"/>
      <c r="Q786" s="11" t="s">
        <v>37</v>
      </c>
      <c r="S786" s="18" t="str">
        <f t="shared" si="24"/>
        <v>Class</v>
      </c>
      <c r="T786" s="18">
        <f t="shared" si="25"/>
        <v>700</v>
      </c>
    </row>
    <row r="787" spans="5:20">
      <c r="E787" s="34"/>
      <c r="F787" s="35"/>
      <c r="G787" s="11" t="s">
        <v>55</v>
      </c>
      <c r="H787" s="23" t="s">
        <v>37</v>
      </c>
      <c r="I787" s="23" t="s">
        <v>37</v>
      </c>
      <c r="J787" s="23" t="s">
        <v>37</v>
      </c>
      <c r="K787" s="23" t="s">
        <v>37</v>
      </c>
      <c r="L787" s="23" t="s">
        <v>37</v>
      </c>
      <c r="M787" s="23" t="s">
        <v>37</v>
      </c>
      <c r="N787" s="23" t="s">
        <v>37</v>
      </c>
      <c r="O787" s="30" t="s">
        <v>37</v>
      </c>
      <c r="P787" s="31"/>
      <c r="Q787" s="11">
        <v>0</v>
      </c>
      <c r="S787" s="18" t="str">
        <f t="shared" si="24"/>
        <v>Term Grade: OA</v>
      </c>
      <c r="T787" s="18" t="str">
        <f t="shared" si="25"/>
        <v/>
      </c>
    </row>
    <row r="788" spans="5:20">
      <c r="E788" s="36"/>
      <c r="F788" s="37"/>
      <c r="G788" s="11" t="s">
        <v>56</v>
      </c>
      <c r="H788" s="23">
        <v>4</v>
      </c>
      <c r="I788" s="23">
        <v>4</v>
      </c>
      <c r="J788" s="23">
        <v>4</v>
      </c>
      <c r="K788" s="23">
        <v>3</v>
      </c>
      <c r="L788" s="23">
        <v>3</v>
      </c>
      <c r="M788" s="23">
        <v>3</v>
      </c>
      <c r="N788" s="23">
        <v>2</v>
      </c>
      <c r="O788" s="30">
        <v>2</v>
      </c>
      <c r="P788" s="31"/>
      <c r="Q788" s="11">
        <v>25</v>
      </c>
      <c r="S788" s="18" t="str">
        <f t="shared" si="24"/>
        <v>M.C.No</v>
      </c>
      <c r="T788" s="18" t="str">
        <f t="shared" si="25"/>
        <v/>
      </c>
    </row>
    <row r="789" spans="5:20">
      <c r="E789" s="21" t="s">
        <v>57</v>
      </c>
      <c r="F789" s="21">
        <v>8.44</v>
      </c>
      <c r="G789" s="11" t="s">
        <v>58</v>
      </c>
      <c r="H789" s="23">
        <v>8</v>
      </c>
      <c r="I789" s="23">
        <v>8.5</v>
      </c>
      <c r="J789" s="23">
        <v>8.5</v>
      </c>
      <c r="K789" s="23">
        <v>7</v>
      </c>
      <c r="L789" s="23">
        <v>8.5</v>
      </c>
      <c r="M789" s="23">
        <v>9.5</v>
      </c>
      <c r="N789" s="23">
        <v>8.5</v>
      </c>
      <c r="O789" s="30">
        <v>9.5</v>
      </c>
      <c r="P789" s="31"/>
      <c r="Q789" s="11" t="s">
        <v>37</v>
      </c>
      <c r="S789" s="18" t="str">
        <f t="shared" si="24"/>
        <v/>
      </c>
      <c r="T789" s="18" t="str">
        <f t="shared" si="25"/>
        <v/>
      </c>
    </row>
    <row r="790" spans="5:20">
      <c r="E790" s="21" t="s">
        <v>59</v>
      </c>
      <c r="F790" s="14">
        <v>8.44</v>
      </c>
      <c r="G790" s="11" t="s">
        <v>60</v>
      </c>
      <c r="H790" s="23">
        <v>32</v>
      </c>
      <c r="I790" s="23">
        <v>34</v>
      </c>
      <c r="J790" s="23">
        <v>34</v>
      </c>
      <c r="K790" s="23">
        <v>21</v>
      </c>
      <c r="L790" s="23">
        <v>25.5</v>
      </c>
      <c r="M790" s="23">
        <v>28.5</v>
      </c>
      <c r="N790" s="23">
        <v>17</v>
      </c>
      <c r="O790" s="30">
        <v>19</v>
      </c>
      <c r="P790" s="31"/>
      <c r="Q790" s="11">
        <v>211</v>
      </c>
      <c r="S790" s="18">
        <f t="shared" si="24"/>
        <v>0</v>
      </c>
      <c r="T790" s="18">
        <f t="shared" si="25"/>
        <v>0</v>
      </c>
    </row>
    <row r="791" spans="5:20">
      <c r="E791" s="32" t="s">
        <v>61</v>
      </c>
      <c r="F791" s="31"/>
      <c r="G791" s="11" t="s">
        <v>40</v>
      </c>
      <c r="H791" s="23">
        <v>76</v>
      </c>
      <c r="I791" s="23">
        <v>81</v>
      </c>
      <c r="J791" s="23">
        <v>80</v>
      </c>
      <c r="K791" s="23">
        <v>65</v>
      </c>
      <c r="L791" s="23">
        <v>83</v>
      </c>
      <c r="M791" s="23">
        <v>93</v>
      </c>
      <c r="N791" s="23">
        <v>41</v>
      </c>
      <c r="O791" s="30">
        <v>47</v>
      </c>
      <c r="P791" s="31"/>
      <c r="Q791" s="11">
        <v>566</v>
      </c>
      <c r="S791" s="18">
        <f t="shared" si="24"/>
        <v>0</v>
      </c>
      <c r="T791" s="18">
        <f t="shared" si="25"/>
        <v>0</v>
      </c>
    </row>
    <row r="792" spans="5:20">
      <c r="E792" s="21" t="s">
        <v>62</v>
      </c>
      <c r="F792" s="21"/>
      <c r="G792" s="11" t="s">
        <v>63</v>
      </c>
      <c r="H792" s="23">
        <v>100</v>
      </c>
      <c r="I792" s="23">
        <v>100</v>
      </c>
      <c r="J792" s="23">
        <v>100</v>
      </c>
      <c r="K792" s="23">
        <v>100</v>
      </c>
      <c r="L792" s="23">
        <v>100</v>
      </c>
      <c r="M792" s="23">
        <v>100</v>
      </c>
      <c r="N792" s="23">
        <v>50</v>
      </c>
      <c r="O792" s="30">
        <v>50</v>
      </c>
      <c r="P792" s="31"/>
      <c r="Q792" s="11">
        <v>700</v>
      </c>
      <c r="S792" s="18" t="str">
        <f t="shared" si="24"/>
        <v>Dr. B.B. Hegde First Grade College, Kundapura, Udupi.</v>
      </c>
      <c r="T792" s="18" t="str">
        <f t="shared" si="25"/>
        <v/>
      </c>
    </row>
    <row r="793" spans="5:20">
      <c r="E793" s="32" t="s">
        <v>200</v>
      </c>
      <c r="F793" s="31"/>
      <c r="G793" s="11" t="s">
        <v>65</v>
      </c>
      <c r="H793" s="23" t="s">
        <v>102</v>
      </c>
      <c r="I793" s="23" t="s">
        <v>70</v>
      </c>
      <c r="J793" s="23" t="s">
        <v>70</v>
      </c>
      <c r="K793" s="23" t="s">
        <v>66</v>
      </c>
      <c r="L793" s="23" t="s">
        <v>70</v>
      </c>
      <c r="M793" s="23" t="s">
        <v>71</v>
      </c>
      <c r="N793" s="23" t="s">
        <v>70</v>
      </c>
      <c r="O793" s="30" t="s">
        <v>71</v>
      </c>
      <c r="P793" s="31"/>
      <c r="Q793" s="11" t="s">
        <v>37</v>
      </c>
      <c r="S793" s="18" t="str">
        <f t="shared" si="24"/>
        <v>00054</v>
      </c>
      <c r="T793" s="18" t="str">
        <f t="shared" si="25"/>
        <v>Total</v>
      </c>
    </row>
    <row r="794" spans="5:20">
      <c r="E794" s="15" t="s">
        <v>72</v>
      </c>
      <c r="F794" s="15" t="s">
        <v>561</v>
      </c>
      <c r="G794" s="11" t="s">
        <v>74</v>
      </c>
      <c r="H794" s="23" t="s">
        <v>75</v>
      </c>
      <c r="I794" s="23" t="s">
        <v>75</v>
      </c>
      <c r="J794" s="23" t="s">
        <v>75</v>
      </c>
      <c r="K794" s="23" t="s">
        <v>75</v>
      </c>
      <c r="L794" s="23" t="s">
        <v>75</v>
      </c>
      <c r="M794" s="23" t="s">
        <v>75</v>
      </c>
      <c r="N794" s="23" t="s">
        <v>75</v>
      </c>
      <c r="O794" s="30" t="s">
        <v>75</v>
      </c>
      <c r="P794" s="31"/>
      <c r="Q794" s="11" t="s">
        <v>37</v>
      </c>
      <c r="S794" s="18" t="str">
        <f t="shared" si="24"/>
        <v>USN</v>
      </c>
      <c r="T794" s="18" t="str">
        <f t="shared" si="25"/>
        <v/>
      </c>
    </row>
    <row r="795" spans="5:20">
      <c r="E795" s="16" t="s">
        <v>37</v>
      </c>
      <c r="F795" s="16" t="s">
        <v>37</v>
      </c>
      <c r="G795" s="16" t="s">
        <v>37</v>
      </c>
      <c r="H795" s="24" t="s">
        <v>37</v>
      </c>
      <c r="I795" s="24" t="s">
        <v>37</v>
      </c>
      <c r="J795" s="24" t="s">
        <v>37</v>
      </c>
      <c r="K795" s="24" t="s">
        <v>37</v>
      </c>
      <c r="L795" s="24" t="s">
        <v>37</v>
      </c>
      <c r="M795" s="24" t="s">
        <v>37</v>
      </c>
      <c r="N795" s="24" t="s">
        <v>37</v>
      </c>
      <c r="O795" s="41" t="s">
        <v>37</v>
      </c>
      <c r="P795" s="28"/>
      <c r="Q795" s="24" t="s">
        <v>37</v>
      </c>
      <c r="S795" s="18" t="str">
        <f t="shared" si="24"/>
        <v>SUHAS V MALLYA</v>
      </c>
      <c r="T795" s="18" t="str">
        <f t="shared" si="25"/>
        <v/>
      </c>
    </row>
    <row r="796" spans="5:20" ht="0" hidden="1" customHeight="1">
      <c r="S796" s="18">
        <f t="shared" si="24"/>
        <v>0</v>
      </c>
      <c r="T796" s="18">
        <f t="shared" si="25"/>
        <v>0</v>
      </c>
    </row>
    <row r="797" spans="5:20" ht="0.6" customHeight="1">
      <c r="S797" s="18">
        <f t="shared" si="24"/>
        <v>0</v>
      </c>
      <c r="T797" s="18">
        <f t="shared" si="25"/>
        <v>25</v>
      </c>
    </row>
    <row r="798" spans="5:20">
      <c r="E798" s="38" t="s">
        <v>35</v>
      </c>
      <c r="F798" s="31"/>
      <c r="G798" s="19" t="s">
        <v>36</v>
      </c>
      <c r="H798" s="20" t="s">
        <v>37</v>
      </c>
      <c r="I798" s="20" t="s">
        <v>37</v>
      </c>
      <c r="J798" s="20" t="s">
        <v>37</v>
      </c>
      <c r="K798" s="20" t="s">
        <v>37</v>
      </c>
      <c r="L798" s="20" t="s">
        <v>37</v>
      </c>
      <c r="M798" s="20" t="s">
        <v>37</v>
      </c>
      <c r="N798" s="20" t="s">
        <v>37</v>
      </c>
      <c r="O798" s="39" t="s">
        <v>37</v>
      </c>
      <c r="P798" s="28"/>
      <c r="Q798" s="20" t="s">
        <v>37</v>
      </c>
      <c r="S798" s="18" t="str">
        <f t="shared" si="24"/>
        <v>SGPA</v>
      </c>
      <c r="T798" s="18" t="str">
        <f t="shared" si="25"/>
        <v/>
      </c>
    </row>
    <row r="799" spans="5:20" ht="21">
      <c r="E799" s="32" t="s">
        <v>562</v>
      </c>
      <c r="F799" s="31"/>
      <c r="G799" s="22" t="s">
        <v>39</v>
      </c>
      <c r="H799" s="22" t="s">
        <v>19</v>
      </c>
      <c r="I799" s="22" t="s">
        <v>9</v>
      </c>
      <c r="J799" s="22" t="s">
        <v>21</v>
      </c>
      <c r="K799" s="22" t="s">
        <v>11</v>
      </c>
      <c r="L799" s="22" t="s">
        <v>15</v>
      </c>
      <c r="M799" s="22" t="s">
        <v>27</v>
      </c>
      <c r="N799" s="22" t="s">
        <v>7</v>
      </c>
      <c r="O799" s="40" t="s">
        <v>25</v>
      </c>
      <c r="P799" s="31"/>
      <c r="Q799" s="22" t="s">
        <v>40</v>
      </c>
      <c r="S799" s="18" t="str">
        <f t="shared" si="24"/>
        <v>CGPA</v>
      </c>
      <c r="T799" s="18">
        <f t="shared" si="25"/>
        <v>181</v>
      </c>
    </row>
    <row r="800" spans="5:20" ht="22.5">
      <c r="E800" s="21" t="s">
        <v>41</v>
      </c>
      <c r="F800" s="21" t="s">
        <v>563</v>
      </c>
      <c r="G800" s="11" t="s">
        <v>43</v>
      </c>
      <c r="H800" s="23" t="s">
        <v>94</v>
      </c>
      <c r="I800" s="23" t="s">
        <v>424</v>
      </c>
      <c r="J800" s="23" t="s">
        <v>564</v>
      </c>
      <c r="K800" s="23" t="s">
        <v>153</v>
      </c>
      <c r="L800" s="23" t="s">
        <v>403</v>
      </c>
      <c r="M800" s="23" t="s">
        <v>565</v>
      </c>
      <c r="N800" s="23" t="s">
        <v>566</v>
      </c>
      <c r="O800" s="30" t="s">
        <v>51</v>
      </c>
      <c r="P800" s="31"/>
      <c r="Q800" s="11" t="s">
        <v>37</v>
      </c>
      <c r="S800" s="18" t="str">
        <f t="shared" si="24"/>
        <v>Result: PASS</v>
      </c>
      <c r="T800" s="18">
        <f t="shared" si="25"/>
        <v>486</v>
      </c>
    </row>
    <row r="801" spans="5:20">
      <c r="E801" s="32" t="s">
        <v>567</v>
      </c>
      <c r="F801" s="33"/>
      <c r="G801" s="11" t="s">
        <v>53</v>
      </c>
      <c r="H801" s="23" t="s">
        <v>51</v>
      </c>
      <c r="I801" s="23" t="s">
        <v>51</v>
      </c>
      <c r="J801" s="23" t="s">
        <v>51</v>
      </c>
      <c r="K801" s="23" t="s">
        <v>51</v>
      </c>
      <c r="L801" s="23" t="s">
        <v>51</v>
      </c>
      <c r="M801" s="23" t="s">
        <v>51</v>
      </c>
      <c r="N801" s="23" t="s">
        <v>51</v>
      </c>
      <c r="O801" s="30" t="s">
        <v>100</v>
      </c>
      <c r="P801" s="31"/>
      <c r="Q801" s="11" t="s">
        <v>37</v>
      </c>
      <c r="S801" s="18" t="str">
        <f t="shared" si="24"/>
        <v>Class</v>
      </c>
      <c r="T801" s="18">
        <f t="shared" si="25"/>
        <v>700</v>
      </c>
    </row>
    <row r="802" spans="5:20">
      <c r="E802" s="34"/>
      <c r="F802" s="35"/>
      <c r="G802" s="11" t="s">
        <v>55</v>
      </c>
      <c r="H802" s="23" t="s">
        <v>37</v>
      </c>
      <c r="I802" s="23" t="s">
        <v>37</v>
      </c>
      <c r="J802" s="23" t="s">
        <v>37</v>
      </c>
      <c r="K802" s="23" t="s">
        <v>37</v>
      </c>
      <c r="L802" s="23" t="s">
        <v>37</v>
      </c>
      <c r="M802" s="23" t="s">
        <v>37</v>
      </c>
      <c r="N802" s="23" t="s">
        <v>37</v>
      </c>
      <c r="O802" s="30" t="s">
        <v>37</v>
      </c>
      <c r="P802" s="31"/>
      <c r="Q802" s="11">
        <v>0</v>
      </c>
      <c r="S802" s="18" t="str">
        <f t="shared" si="24"/>
        <v>Term Grade: AA</v>
      </c>
      <c r="T802" s="18" t="str">
        <f t="shared" si="25"/>
        <v/>
      </c>
    </row>
    <row r="803" spans="5:20">
      <c r="E803" s="36"/>
      <c r="F803" s="37"/>
      <c r="G803" s="11" t="s">
        <v>56</v>
      </c>
      <c r="H803" s="23">
        <v>4</v>
      </c>
      <c r="I803" s="23">
        <v>4</v>
      </c>
      <c r="J803" s="23">
        <v>4</v>
      </c>
      <c r="K803" s="23">
        <v>3</v>
      </c>
      <c r="L803" s="23">
        <v>3</v>
      </c>
      <c r="M803" s="23">
        <v>3</v>
      </c>
      <c r="N803" s="23">
        <v>2</v>
      </c>
      <c r="O803" s="30">
        <v>2</v>
      </c>
      <c r="P803" s="31"/>
      <c r="Q803" s="11">
        <v>25</v>
      </c>
      <c r="S803" s="18" t="str">
        <f t="shared" si="24"/>
        <v>M.C.No</v>
      </c>
      <c r="T803" s="18" t="str">
        <f t="shared" si="25"/>
        <v/>
      </c>
    </row>
    <row r="804" spans="5:20">
      <c r="E804" s="21" t="s">
        <v>57</v>
      </c>
      <c r="F804" s="21">
        <v>7.24</v>
      </c>
      <c r="G804" s="11" t="s">
        <v>58</v>
      </c>
      <c r="H804" s="23">
        <v>7</v>
      </c>
      <c r="I804" s="23">
        <v>8.5</v>
      </c>
      <c r="J804" s="23">
        <v>5</v>
      </c>
      <c r="K804" s="23">
        <v>6.5</v>
      </c>
      <c r="L804" s="23">
        <v>8</v>
      </c>
      <c r="M804" s="23">
        <v>6.5</v>
      </c>
      <c r="N804" s="23">
        <v>8</v>
      </c>
      <c r="O804" s="30">
        <v>10</v>
      </c>
      <c r="P804" s="31"/>
      <c r="Q804" s="11" t="s">
        <v>37</v>
      </c>
      <c r="S804" s="18" t="str">
        <f t="shared" si="24"/>
        <v/>
      </c>
      <c r="T804" s="18" t="str">
        <f t="shared" si="25"/>
        <v/>
      </c>
    </row>
    <row r="805" spans="5:20">
      <c r="E805" s="21" t="s">
        <v>59</v>
      </c>
      <c r="F805" s="14">
        <v>7.24</v>
      </c>
      <c r="G805" s="11" t="s">
        <v>60</v>
      </c>
      <c r="H805" s="23">
        <v>28</v>
      </c>
      <c r="I805" s="23">
        <v>34</v>
      </c>
      <c r="J805" s="23">
        <v>20</v>
      </c>
      <c r="K805" s="23">
        <v>19.5</v>
      </c>
      <c r="L805" s="23">
        <v>24</v>
      </c>
      <c r="M805" s="23">
        <v>19.5</v>
      </c>
      <c r="N805" s="23">
        <v>16</v>
      </c>
      <c r="O805" s="30">
        <v>20</v>
      </c>
      <c r="P805" s="31"/>
      <c r="Q805" s="11">
        <v>181</v>
      </c>
      <c r="S805" s="18">
        <f t="shared" si="24"/>
        <v>0</v>
      </c>
      <c r="T805" s="18">
        <f t="shared" si="25"/>
        <v>0</v>
      </c>
    </row>
    <row r="806" spans="5:20">
      <c r="E806" s="32" t="s">
        <v>61</v>
      </c>
      <c r="F806" s="31"/>
      <c r="G806" s="11" t="s">
        <v>40</v>
      </c>
      <c r="H806" s="23">
        <v>66</v>
      </c>
      <c r="I806" s="23">
        <v>82</v>
      </c>
      <c r="J806" s="23">
        <v>49</v>
      </c>
      <c r="K806" s="23">
        <v>64</v>
      </c>
      <c r="L806" s="23">
        <v>75</v>
      </c>
      <c r="M806" s="23">
        <v>62</v>
      </c>
      <c r="N806" s="23">
        <v>38</v>
      </c>
      <c r="O806" s="30">
        <v>50</v>
      </c>
      <c r="P806" s="31"/>
      <c r="Q806" s="11">
        <v>486</v>
      </c>
      <c r="S806" s="18">
        <f t="shared" si="24"/>
        <v>0</v>
      </c>
      <c r="T806" s="18">
        <f t="shared" si="25"/>
        <v>0</v>
      </c>
    </row>
    <row r="807" spans="5:20">
      <c r="E807" s="21" t="s">
        <v>62</v>
      </c>
      <c r="F807" s="21"/>
      <c r="G807" s="11" t="s">
        <v>63</v>
      </c>
      <c r="H807" s="23">
        <v>100</v>
      </c>
      <c r="I807" s="23">
        <v>100</v>
      </c>
      <c r="J807" s="23">
        <v>100</v>
      </c>
      <c r="K807" s="23">
        <v>100</v>
      </c>
      <c r="L807" s="23">
        <v>100</v>
      </c>
      <c r="M807" s="23">
        <v>100</v>
      </c>
      <c r="N807" s="23">
        <v>50</v>
      </c>
      <c r="O807" s="30">
        <v>50</v>
      </c>
      <c r="P807" s="31"/>
      <c r="Q807" s="11">
        <v>700</v>
      </c>
      <c r="S807" s="18" t="str">
        <f t="shared" si="24"/>
        <v>Dr. B.B. Hegde First Grade College, Kundapura, Udupi.</v>
      </c>
      <c r="T807" s="18" t="str">
        <f t="shared" si="25"/>
        <v/>
      </c>
    </row>
    <row r="808" spans="5:20">
      <c r="E808" s="32" t="s">
        <v>101</v>
      </c>
      <c r="F808" s="31"/>
      <c r="G808" s="11" t="s">
        <v>65</v>
      </c>
      <c r="H808" s="23" t="s">
        <v>66</v>
      </c>
      <c r="I808" s="23" t="s">
        <v>70</v>
      </c>
      <c r="J808" s="23" t="s">
        <v>127</v>
      </c>
      <c r="K808" s="23" t="s">
        <v>69</v>
      </c>
      <c r="L808" s="23" t="s">
        <v>102</v>
      </c>
      <c r="M808" s="23" t="s">
        <v>69</v>
      </c>
      <c r="N808" s="23" t="s">
        <v>102</v>
      </c>
      <c r="O808" s="30" t="s">
        <v>88</v>
      </c>
      <c r="P808" s="31"/>
      <c r="Q808" s="11" t="s">
        <v>37</v>
      </c>
      <c r="S808" s="18" t="str">
        <f t="shared" si="24"/>
        <v>00055</v>
      </c>
      <c r="T808" s="18" t="str">
        <f t="shared" si="25"/>
        <v>Total</v>
      </c>
    </row>
    <row r="809" spans="5:20">
      <c r="E809" s="15" t="s">
        <v>72</v>
      </c>
      <c r="F809" s="15" t="s">
        <v>568</v>
      </c>
      <c r="G809" s="11" t="s">
        <v>74</v>
      </c>
      <c r="H809" s="23" t="s">
        <v>75</v>
      </c>
      <c r="I809" s="23" t="s">
        <v>75</v>
      </c>
      <c r="J809" s="23" t="s">
        <v>75</v>
      </c>
      <c r="K809" s="23" t="s">
        <v>75</v>
      </c>
      <c r="L809" s="23" t="s">
        <v>75</v>
      </c>
      <c r="M809" s="23" t="s">
        <v>75</v>
      </c>
      <c r="N809" s="23" t="s">
        <v>75</v>
      </c>
      <c r="O809" s="30" t="s">
        <v>75</v>
      </c>
      <c r="P809" s="31"/>
      <c r="Q809" s="11" t="s">
        <v>37</v>
      </c>
      <c r="S809" s="18" t="str">
        <f t="shared" si="24"/>
        <v>USN</v>
      </c>
      <c r="T809" s="18" t="str">
        <f t="shared" si="25"/>
        <v/>
      </c>
    </row>
    <row r="810" spans="5:20">
      <c r="E810" s="16" t="s">
        <v>37</v>
      </c>
      <c r="F810" s="16" t="s">
        <v>37</v>
      </c>
      <c r="G810" s="16" t="s">
        <v>37</v>
      </c>
      <c r="H810" s="24" t="s">
        <v>37</v>
      </c>
      <c r="I810" s="24" t="s">
        <v>37</v>
      </c>
      <c r="J810" s="24" t="s">
        <v>37</v>
      </c>
      <c r="K810" s="24" t="s">
        <v>37</v>
      </c>
      <c r="L810" s="24" t="s">
        <v>37</v>
      </c>
      <c r="M810" s="24" t="s">
        <v>37</v>
      </c>
      <c r="N810" s="24" t="s">
        <v>37</v>
      </c>
      <c r="O810" s="41" t="s">
        <v>37</v>
      </c>
      <c r="P810" s="28"/>
      <c r="Q810" s="24" t="s">
        <v>37</v>
      </c>
      <c r="S810" s="18" t="str">
        <f t="shared" si="24"/>
        <v>PRAVEENA</v>
      </c>
      <c r="T810" s="18" t="str">
        <f t="shared" si="25"/>
        <v/>
      </c>
    </row>
    <row r="811" spans="5:20" ht="0" hidden="1" customHeight="1">
      <c r="S811" s="18">
        <f t="shared" si="24"/>
        <v>0</v>
      </c>
      <c r="T811" s="18">
        <f t="shared" si="25"/>
        <v>0</v>
      </c>
    </row>
    <row r="812" spans="5:20" ht="0.6" customHeight="1">
      <c r="S812" s="18">
        <f t="shared" si="24"/>
        <v>0</v>
      </c>
      <c r="T812" s="18">
        <f t="shared" si="25"/>
        <v>25</v>
      </c>
    </row>
    <row r="813" spans="5:20">
      <c r="E813" s="38" t="s">
        <v>35</v>
      </c>
      <c r="F813" s="31"/>
      <c r="G813" s="19" t="s">
        <v>36</v>
      </c>
      <c r="H813" s="20" t="s">
        <v>37</v>
      </c>
      <c r="I813" s="20" t="s">
        <v>37</v>
      </c>
      <c r="J813" s="20" t="s">
        <v>37</v>
      </c>
      <c r="K813" s="20" t="s">
        <v>37</v>
      </c>
      <c r="L813" s="20" t="s">
        <v>37</v>
      </c>
      <c r="M813" s="20" t="s">
        <v>37</v>
      </c>
      <c r="N813" s="20" t="s">
        <v>37</v>
      </c>
      <c r="O813" s="39" t="s">
        <v>37</v>
      </c>
      <c r="P813" s="28"/>
      <c r="Q813" s="20" t="s">
        <v>37</v>
      </c>
      <c r="S813" s="18" t="str">
        <f t="shared" si="24"/>
        <v>SGPA</v>
      </c>
      <c r="T813" s="18" t="str">
        <f t="shared" si="25"/>
        <v/>
      </c>
    </row>
    <row r="814" spans="5:20" ht="21">
      <c r="E814" s="32" t="s">
        <v>569</v>
      </c>
      <c r="F814" s="31"/>
      <c r="G814" s="22" t="s">
        <v>39</v>
      </c>
      <c r="H814" s="22" t="s">
        <v>19</v>
      </c>
      <c r="I814" s="22" t="s">
        <v>9</v>
      </c>
      <c r="J814" s="22" t="s">
        <v>21</v>
      </c>
      <c r="K814" s="22" t="s">
        <v>11</v>
      </c>
      <c r="L814" s="22" t="s">
        <v>17</v>
      </c>
      <c r="M814" s="22" t="s">
        <v>27</v>
      </c>
      <c r="N814" s="22" t="s">
        <v>7</v>
      </c>
      <c r="O814" s="40" t="s">
        <v>25</v>
      </c>
      <c r="P814" s="31"/>
      <c r="Q814" s="22" t="s">
        <v>40</v>
      </c>
      <c r="S814" s="18" t="str">
        <f t="shared" si="24"/>
        <v>CGPA</v>
      </c>
      <c r="T814" s="18">
        <f t="shared" si="25"/>
        <v>182</v>
      </c>
    </row>
    <row r="815" spans="5:20" ht="22.5">
      <c r="E815" s="21" t="s">
        <v>41</v>
      </c>
      <c r="F815" s="21" t="s">
        <v>570</v>
      </c>
      <c r="G815" s="11" t="s">
        <v>43</v>
      </c>
      <c r="H815" s="23" t="s">
        <v>132</v>
      </c>
      <c r="I815" s="23" t="s">
        <v>108</v>
      </c>
      <c r="J815" s="23" t="s">
        <v>571</v>
      </c>
      <c r="K815" s="23" t="s">
        <v>572</v>
      </c>
      <c r="L815" s="23" t="s">
        <v>573</v>
      </c>
      <c r="M815" s="23" t="s">
        <v>574</v>
      </c>
      <c r="N815" s="23" t="s">
        <v>434</v>
      </c>
      <c r="O815" s="30" t="s">
        <v>51</v>
      </c>
      <c r="P815" s="31"/>
      <c r="Q815" s="11" t="s">
        <v>37</v>
      </c>
      <c r="S815" s="18" t="str">
        <f t="shared" si="24"/>
        <v>Result: PASS</v>
      </c>
      <c r="T815" s="18">
        <f t="shared" si="25"/>
        <v>484</v>
      </c>
    </row>
    <row r="816" spans="5:20">
      <c r="E816" s="32" t="s">
        <v>137</v>
      </c>
      <c r="F816" s="33"/>
      <c r="G816" s="11" t="s">
        <v>53</v>
      </c>
      <c r="H816" s="23" t="s">
        <v>51</v>
      </c>
      <c r="I816" s="23" t="s">
        <v>51</v>
      </c>
      <c r="J816" s="23" t="s">
        <v>51</v>
      </c>
      <c r="K816" s="23" t="s">
        <v>51</v>
      </c>
      <c r="L816" s="23" t="s">
        <v>51</v>
      </c>
      <c r="M816" s="23" t="s">
        <v>51</v>
      </c>
      <c r="N816" s="23" t="s">
        <v>51</v>
      </c>
      <c r="O816" s="30" t="s">
        <v>54</v>
      </c>
      <c r="P816" s="31"/>
      <c r="Q816" s="11" t="s">
        <v>37</v>
      </c>
      <c r="S816" s="18" t="str">
        <f t="shared" si="24"/>
        <v>Class</v>
      </c>
      <c r="T816" s="18">
        <f t="shared" si="25"/>
        <v>700</v>
      </c>
    </row>
    <row r="817" spans="5:20">
      <c r="E817" s="34"/>
      <c r="F817" s="35"/>
      <c r="G817" s="11" t="s">
        <v>55</v>
      </c>
      <c r="H817" s="23" t="s">
        <v>37</v>
      </c>
      <c r="I817" s="23" t="s">
        <v>37</v>
      </c>
      <c r="J817" s="23" t="s">
        <v>37</v>
      </c>
      <c r="K817" s="23" t="s">
        <v>37</v>
      </c>
      <c r="L817" s="23" t="s">
        <v>37</v>
      </c>
      <c r="M817" s="23" t="s">
        <v>37</v>
      </c>
      <c r="N817" s="23" t="s">
        <v>37</v>
      </c>
      <c r="O817" s="30" t="s">
        <v>37</v>
      </c>
      <c r="P817" s="31"/>
      <c r="Q817" s="11">
        <v>0</v>
      </c>
      <c r="S817" s="18" t="str">
        <f t="shared" si="24"/>
        <v>Term Grade: AA</v>
      </c>
      <c r="T817" s="18" t="str">
        <f t="shared" si="25"/>
        <v/>
      </c>
    </row>
    <row r="818" spans="5:20">
      <c r="E818" s="36"/>
      <c r="F818" s="37"/>
      <c r="G818" s="11" t="s">
        <v>56</v>
      </c>
      <c r="H818" s="23">
        <v>4</v>
      </c>
      <c r="I818" s="23">
        <v>4</v>
      </c>
      <c r="J818" s="23">
        <v>4</v>
      </c>
      <c r="K818" s="23">
        <v>3</v>
      </c>
      <c r="L818" s="23">
        <v>3</v>
      </c>
      <c r="M818" s="23">
        <v>3</v>
      </c>
      <c r="N818" s="23">
        <v>2</v>
      </c>
      <c r="O818" s="30">
        <v>2</v>
      </c>
      <c r="P818" s="31"/>
      <c r="Q818" s="11">
        <v>25</v>
      </c>
      <c r="S818" s="18" t="str">
        <f t="shared" si="24"/>
        <v>M.C.No</v>
      </c>
      <c r="T818" s="18" t="str">
        <f t="shared" si="25"/>
        <v/>
      </c>
    </row>
    <row r="819" spans="5:20">
      <c r="E819" s="21" t="s">
        <v>57</v>
      </c>
      <c r="F819" s="21">
        <v>7.28</v>
      </c>
      <c r="G819" s="11" t="s">
        <v>58</v>
      </c>
      <c r="H819" s="23">
        <v>7.5</v>
      </c>
      <c r="I819" s="23">
        <v>7</v>
      </c>
      <c r="J819" s="23">
        <v>6.5</v>
      </c>
      <c r="K819" s="23">
        <v>5.5</v>
      </c>
      <c r="L819" s="23">
        <v>7.5</v>
      </c>
      <c r="M819" s="23">
        <v>7</v>
      </c>
      <c r="N819" s="23">
        <v>9.5</v>
      </c>
      <c r="O819" s="30">
        <v>9.5</v>
      </c>
      <c r="P819" s="31"/>
      <c r="Q819" s="11" t="s">
        <v>37</v>
      </c>
      <c r="S819" s="18" t="str">
        <f t="shared" si="24"/>
        <v/>
      </c>
      <c r="T819" s="18" t="str">
        <f t="shared" si="25"/>
        <v/>
      </c>
    </row>
    <row r="820" spans="5:20">
      <c r="E820" s="21" t="s">
        <v>59</v>
      </c>
      <c r="F820" s="14">
        <v>7.28</v>
      </c>
      <c r="G820" s="11" t="s">
        <v>60</v>
      </c>
      <c r="H820" s="23">
        <v>30</v>
      </c>
      <c r="I820" s="23">
        <v>28</v>
      </c>
      <c r="J820" s="23">
        <v>26</v>
      </c>
      <c r="K820" s="23">
        <v>16.5</v>
      </c>
      <c r="L820" s="23">
        <v>22.5</v>
      </c>
      <c r="M820" s="23">
        <v>21</v>
      </c>
      <c r="N820" s="23">
        <v>19</v>
      </c>
      <c r="O820" s="30">
        <v>19</v>
      </c>
      <c r="P820" s="31"/>
      <c r="Q820" s="11">
        <v>182</v>
      </c>
      <c r="S820" s="18">
        <f t="shared" si="24"/>
        <v>0</v>
      </c>
      <c r="T820" s="18">
        <f t="shared" si="25"/>
        <v>0</v>
      </c>
    </row>
    <row r="821" spans="5:20">
      <c r="E821" s="32" t="s">
        <v>61</v>
      </c>
      <c r="F821" s="31"/>
      <c r="G821" s="11" t="s">
        <v>40</v>
      </c>
      <c r="H821" s="23">
        <v>73</v>
      </c>
      <c r="I821" s="23">
        <v>67</v>
      </c>
      <c r="J821" s="23">
        <v>63</v>
      </c>
      <c r="K821" s="23">
        <v>54</v>
      </c>
      <c r="L821" s="23">
        <v>71</v>
      </c>
      <c r="M821" s="23">
        <v>66</v>
      </c>
      <c r="N821" s="23">
        <v>45</v>
      </c>
      <c r="O821" s="30">
        <v>45</v>
      </c>
      <c r="P821" s="31"/>
      <c r="Q821" s="11">
        <v>484</v>
      </c>
      <c r="S821" s="18">
        <f t="shared" si="24"/>
        <v>0</v>
      </c>
      <c r="T821" s="18">
        <f t="shared" si="25"/>
        <v>0</v>
      </c>
    </row>
    <row r="822" spans="5:20">
      <c r="E822" s="21" t="s">
        <v>62</v>
      </c>
      <c r="F822" s="21"/>
      <c r="G822" s="11" t="s">
        <v>63</v>
      </c>
      <c r="H822" s="23">
        <v>100</v>
      </c>
      <c r="I822" s="23">
        <v>100</v>
      </c>
      <c r="J822" s="23">
        <v>100</v>
      </c>
      <c r="K822" s="23">
        <v>100</v>
      </c>
      <c r="L822" s="23">
        <v>100</v>
      </c>
      <c r="M822" s="23">
        <v>100</v>
      </c>
      <c r="N822" s="23">
        <v>50</v>
      </c>
      <c r="O822" s="30">
        <v>50</v>
      </c>
      <c r="P822" s="31"/>
      <c r="Q822" s="11">
        <v>700</v>
      </c>
      <c r="S822" s="18" t="str">
        <f t="shared" si="24"/>
        <v>Dr. B.B. Hegde First Grade College, Kundapura, Udupi.</v>
      </c>
      <c r="T822" s="18" t="str">
        <f t="shared" si="25"/>
        <v/>
      </c>
    </row>
    <row r="823" spans="5:20">
      <c r="E823" s="32" t="s">
        <v>101</v>
      </c>
      <c r="F823" s="31"/>
      <c r="G823" s="11" t="s">
        <v>65</v>
      </c>
      <c r="H823" s="23" t="s">
        <v>68</v>
      </c>
      <c r="I823" s="23" t="s">
        <v>66</v>
      </c>
      <c r="J823" s="23" t="s">
        <v>69</v>
      </c>
      <c r="K823" s="23" t="s">
        <v>138</v>
      </c>
      <c r="L823" s="23" t="s">
        <v>68</v>
      </c>
      <c r="M823" s="23" t="s">
        <v>66</v>
      </c>
      <c r="N823" s="23" t="s">
        <v>71</v>
      </c>
      <c r="O823" s="30" t="s">
        <v>71</v>
      </c>
      <c r="P823" s="31"/>
      <c r="Q823" s="11" t="s">
        <v>37</v>
      </c>
      <c r="S823" s="18" t="str">
        <f t="shared" si="24"/>
        <v>00056</v>
      </c>
      <c r="T823" s="18" t="str">
        <f t="shared" si="25"/>
        <v>Total</v>
      </c>
    </row>
    <row r="824" spans="5:20">
      <c r="E824" s="15" t="s">
        <v>72</v>
      </c>
      <c r="F824" s="15" t="s">
        <v>575</v>
      </c>
      <c r="G824" s="11" t="s">
        <v>74</v>
      </c>
      <c r="H824" s="23" t="s">
        <v>75</v>
      </c>
      <c r="I824" s="23" t="s">
        <v>75</v>
      </c>
      <c r="J824" s="23" t="s">
        <v>75</v>
      </c>
      <c r="K824" s="23" t="s">
        <v>75</v>
      </c>
      <c r="L824" s="23" t="s">
        <v>75</v>
      </c>
      <c r="M824" s="23" t="s">
        <v>75</v>
      </c>
      <c r="N824" s="23" t="s">
        <v>75</v>
      </c>
      <c r="O824" s="30" t="s">
        <v>75</v>
      </c>
      <c r="P824" s="31"/>
      <c r="Q824" s="11" t="s">
        <v>37</v>
      </c>
      <c r="S824" s="18" t="str">
        <f t="shared" si="24"/>
        <v>USN</v>
      </c>
      <c r="T824" s="18" t="str">
        <f t="shared" si="25"/>
        <v/>
      </c>
    </row>
    <row r="825" spans="5:20">
      <c r="E825" s="16" t="s">
        <v>37</v>
      </c>
      <c r="F825" s="16" t="s">
        <v>37</v>
      </c>
      <c r="G825" s="16" t="s">
        <v>37</v>
      </c>
      <c r="H825" s="24" t="s">
        <v>37</v>
      </c>
      <c r="I825" s="24" t="s">
        <v>37</v>
      </c>
      <c r="J825" s="24" t="s">
        <v>37</v>
      </c>
      <c r="K825" s="24" t="s">
        <v>37</v>
      </c>
      <c r="L825" s="24" t="s">
        <v>37</v>
      </c>
      <c r="M825" s="24" t="s">
        <v>37</v>
      </c>
      <c r="N825" s="24" t="s">
        <v>37</v>
      </c>
      <c r="O825" s="41" t="s">
        <v>37</v>
      </c>
      <c r="P825" s="28"/>
      <c r="Q825" s="24" t="s">
        <v>37</v>
      </c>
      <c r="S825" s="18" t="str">
        <f t="shared" si="24"/>
        <v>NITHESH</v>
      </c>
      <c r="T825" s="18" t="str">
        <f t="shared" si="25"/>
        <v/>
      </c>
    </row>
    <row r="826" spans="5:20" ht="0" hidden="1" customHeight="1">
      <c r="S826" s="18">
        <f t="shared" si="24"/>
        <v>0</v>
      </c>
      <c r="T826" s="18">
        <f t="shared" si="25"/>
        <v>0</v>
      </c>
    </row>
    <row r="827" spans="5:20" ht="0.6" customHeight="1">
      <c r="S827" s="18">
        <f t="shared" si="24"/>
        <v>0</v>
      </c>
      <c r="T827" s="18">
        <f t="shared" si="25"/>
        <v>25</v>
      </c>
    </row>
    <row r="828" spans="5:20">
      <c r="E828" s="38" t="s">
        <v>35</v>
      </c>
      <c r="F828" s="31"/>
      <c r="G828" s="19" t="s">
        <v>36</v>
      </c>
      <c r="H828" s="20" t="s">
        <v>37</v>
      </c>
      <c r="I828" s="20" t="s">
        <v>37</v>
      </c>
      <c r="J828" s="20" t="s">
        <v>37</v>
      </c>
      <c r="K828" s="20" t="s">
        <v>37</v>
      </c>
      <c r="L828" s="20" t="s">
        <v>37</v>
      </c>
      <c r="M828" s="20" t="s">
        <v>37</v>
      </c>
      <c r="N828" s="20" t="s">
        <v>37</v>
      </c>
      <c r="O828" s="39" t="s">
        <v>37</v>
      </c>
      <c r="P828" s="28"/>
      <c r="Q828" s="20" t="s">
        <v>37</v>
      </c>
      <c r="S828" s="18" t="str">
        <f t="shared" si="24"/>
        <v>SGPA</v>
      </c>
      <c r="T828" s="18" t="str">
        <f t="shared" si="25"/>
        <v/>
      </c>
    </row>
    <row r="829" spans="5:20" ht="21">
      <c r="E829" s="32" t="s">
        <v>576</v>
      </c>
      <c r="F829" s="31"/>
      <c r="G829" s="22" t="s">
        <v>39</v>
      </c>
      <c r="H829" s="22" t="s">
        <v>19</v>
      </c>
      <c r="I829" s="22" t="s">
        <v>9</v>
      </c>
      <c r="J829" s="22" t="s">
        <v>21</v>
      </c>
      <c r="K829" s="22" t="s">
        <v>11</v>
      </c>
      <c r="L829" s="22" t="s">
        <v>17</v>
      </c>
      <c r="M829" s="22" t="s">
        <v>27</v>
      </c>
      <c r="N829" s="22" t="s">
        <v>7</v>
      </c>
      <c r="O829" s="40" t="s">
        <v>33</v>
      </c>
      <c r="P829" s="31"/>
      <c r="Q829" s="22" t="s">
        <v>40</v>
      </c>
      <c r="S829" s="18" t="str">
        <f t="shared" si="24"/>
        <v>CGPA</v>
      </c>
      <c r="T829" s="18">
        <f t="shared" si="25"/>
        <v>152</v>
      </c>
    </row>
    <row r="830" spans="5:20" ht="22.5">
      <c r="E830" s="21" t="s">
        <v>41</v>
      </c>
      <c r="F830" s="21" t="s">
        <v>577</v>
      </c>
      <c r="G830" s="11" t="s">
        <v>43</v>
      </c>
      <c r="H830" s="23" t="s">
        <v>152</v>
      </c>
      <c r="I830" s="23" t="s">
        <v>296</v>
      </c>
      <c r="J830" s="23" t="s">
        <v>578</v>
      </c>
      <c r="K830" s="23" t="s">
        <v>442</v>
      </c>
      <c r="L830" s="23" t="s">
        <v>579</v>
      </c>
      <c r="M830" s="23" t="s">
        <v>580</v>
      </c>
      <c r="N830" s="23" t="s">
        <v>581</v>
      </c>
      <c r="O830" s="30" t="s">
        <v>51</v>
      </c>
      <c r="P830" s="31"/>
      <c r="Q830" s="11" t="s">
        <v>37</v>
      </c>
      <c r="S830" s="18" t="str">
        <f t="shared" si="24"/>
        <v>Result: PASS</v>
      </c>
      <c r="T830" s="18">
        <f t="shared" si="25"/>
        <v>402</v>
      </c>
    </row>
    <row r="831" spans="5:20">
      <c r="E831" s="32" t="s">
        <v>419</v>
      </c>
      <c r="F831" s="33"/>
      <c r="G831" s="11" t="s">
        <v>53</v>
      </c>
      <c r="H831" s="23" t="s">
        <v>51</v>
      </c>
      <c r="I831" s="23" t="s">
        <v>51</v>
      </c>
      <c r="J831" s="23" t="s">
        <v>51</v>
      </c>
      <c r="K831" s="23" t="s">
        <v>51</v>
      </c>
      <c r="L831" s="23" t="s">
        <v>51</v>
      </c>
      <c r="M831" s="23" t="s">
        <v>51</v>
      </c>
      <c r="N831" s="23" t="s">
        <v>51</v>
      </c>
      <c r="O831" s="30" t="s">
        <v>582</v>
      </c>
      <c r="P831" s="31"/>
      <c r="Q831" s="11" t="s">
        <v>37</v>
      </c>
      <c r="S831" s="18" t="str">
        <f t="shared" si="24"/>
        <v>Class</v>
      </c>
      <c r="T831" s="18">
        <f t="shared" si="25"/>
        <v>700</v>
      </c>
    </row>
    <row r="832" spans="5:20">
      <c r="E832" s="34"/>
      <c r="F832" s="35"/>
      <c r="G832" s="11" t="s">
        <v>55</v>
      </c>
      <c r="H832" s="23" t="s">
        <v>37</v>
      </c>
      <c r="I832" s="23" t="s">
        <v>37</v>
      </c>
      <c r="J832" s="23" t="s">
        <v>37</v>
      </c>
      <c r="K832" s="23" t="s">
        <v>37</v>
      </c>
      <c r="L832" s="23" t="s">
        <v>37</v>
      </c>
      <c r="M832" s="23" t="s">
        <v>37</v>
      </c>
      <c r="N832" s="23" t="s">
        <v>37</v>
      </c>
      <c r="O832" s="30" t="s">
        <v>37</v>
      </c>
      <c r="P832" s="31"/>
      <c r="Q832" s="11">
        <v>0</v>
      </c>
      <c r="S832" s="18" t="str">
        <f t="shared" si="24"/>
        <v>Term Grade: AB</v>
      </c>
      <c r="T832" s="18" t="str">
        <f t="shared" si="25"/>
        <v/>
      </c>
    </row>
    <row r="833" spans="5:20">
      <c r="E833" s="36"/>
      <c r="F833" s="37"/>
      <c r="G833" s="11" t="s">
        <v>56</v>
      </c>
      <c r="H833" s="23">
        <v>4</v>
      </c>
      <c r="I833" s="23">
        <v>4</v>
      </c>
      <c r="J833" s="23">
        <v>4</v>
      </c>
      <c r="K833" s="23">
        <v>3</v>
      </c>
      <c r="L833" s="23">
        <v>3</v>
      </c>
      <c r="M833" s="23">
        <v>3</v>
      </c>
      <c r="N833" s="23">
        <v>2</v>
      </c>
      <c r="O833" s="30">
        <v>2</v>
      </c>
      <c r="P833" s="31"/>
      <c r="Q833" s="11">
        <v>25</v>
      </c>
      <c r="S833" s="18" t="str">
        <f t="shared" si="24"/>
        <v>M.C.No</v>
      </c>
      <c r="T833" s="18" t="str">
        <f t="shared" si="25"/>
        <v/>
      </c>
    </row>
    <row r="834" spans="5:20">
      <c r="E834" s="21" t="s">
        <v>57</v>
      </c>
      <c r="F834" s="21">
        <v>6.08</v>
      </c>
      <c r="G834" s="11" t="s">
        <v>58</v>
      </c>
      <c r="H834" s="23">
        <v>7</v>
      </c>
      <c r="I834" s="23">
        <v>6.5</v>
      </c>
      <c r="J834" s="23">
        <v>4.5</v>
      </c>
      <c r="K834" s="23">
        <v>4.5</v>
      </c>
      <c r="L834" s="23">
        <v>6.5</v>
      </c>
      <c r="M834" s="23">
        <v>6</v>
      </c>
      <c r="N834" s="23">
        <v>6.5</v>
      </c>
      <c r="O834" s="30">
        <v>8</v>
      </c>
      <c r="P834" s="31"/>
      <c r="Q834" s="11" t="s">
        <v>37</v>
      </c>
      <c r="S834" s="18" t="str">
        <f t="shared" si="24"/>
        <v/>
      </c>
      <c r="T834" s="18" t="str">
        <f t="shared" si="25"/>
        <v/>
      </c>
    </row>
    <row r="835" spans="5:20">
      <c r="E835" s="21" t="s">
        <v>59</v>
      </c>
      <c r="F835" s="14">
        <v>6.08</v>
      </c>
      <c r="G835" s="11" t="s">
        <v>60</v>
      </c>
      <c r="H835" s="23">
        <v>28</v>
      </c>
      <c r="I835" s="23">
        <v>26</v>
      </c>
      <c r="J835" s="23">
        <v>18</v>
      </c>
      <c r="K835" s="23">
        <v>13.5</v>
      </c>
      <c r="L835" s="23">
        <v>19.5</v>
      </c>
      <c r="M835" s="23">
        <v>18</v>
      </c>
      <c r="N835" s="23">
        <v>13</v>
      </c>
      <c r="O835" s="30">
        <v>16</v>
      </c>
      <c r="P835" s="31"/>
      <c r="Q835" s="11">
        <v>152</v>
      </c>
      <c r="S835" s="18">
        <f t="shared" si="24"/>
        <v>0</v>
      </c>
      <c r="T835" s="18">
        <f t="shared" si="25"/>
        <v>0</v>
      </c>
    </row>
    <row r="836" spans="5:20">
      <c r="E836" s="32" t="s">
        <v>61</v>
      </c>
      <c r="F836" s="31"/>
      <c r="G836" s="11" t="s">
        <v>40</v>
      </c>
      <c r="H836" s="23">
        <v>68</v>
      </c>
      <c r="I836" s="23">
        <v>61</v>
      </c>
      <c r="J836" s="23">
        <v>42</v>
      </c>
      <c r="K836" s="23">
        <v>43</v>
      </c>
      <c r="L836" s="23">
        <v>63</v>
      </c>
      <c r="M836" s="23">
        <v>55</v>
      </c>
      <c r="N836" s="23">
        <v>32</v>
      </c>
      <c r="O836" s="30">
        <v>38</v>
      </c>
      <c r="P836" s="31"/>
      <c r="Q836" s="11">
        <v>402</v>
      </c>
      <c r="S836" s="18">
        <f t="shared" si="24"/>
        <v>0</v>
      </c>
      <c r="T836" s="18">
        <f t="shared" si="25"/>
        <v>0</v>
      </c>
    </row>
    <row r="837" spans="5:20">
      <c r="E837" s="21" t="s">
        <v>62</v>
      </c>
      <c r="F837" s="21"/>
      <c r="G837" s="11" t="s">
        <v>63</v>
      </c>
      <c r="H837" s="23">
        <v>100</v>
      </c>
      <c r="I837" s="23">
        <v>100</v>
      </c>
      <c r="J837" s="23">
        <v>100</v>
      </c>
      <c r="K837" s="23">
        <v>100</v>
      </c>
      <c r="L837" s="23">
        <v>100</v>
      </c>
      <c r="M837" s="23">
        <v>100</v>
      </c>
      <c r="N837" s="23">
        <v>50</v>
      </c>
      <c r="O837" s="30">
        <v>50</v>
      </c>
      <c r="P837" s="31"/>
      <c r="Q837" s="11">
        <v>700</v>
      </c>
      <c r="S837" s="18" t="str">
        <f t="shared" si="24"/>
        <v>Dr. B.B. Hegde First Grade College, Kundapura, Udupi.</v>
      </c>
      <c r="T837" s="18" t="str">
        <f t="shared" si="25"/>
        <v/>
      </c>
    </row>
    <row r="838" spans="5:20">
      <c r="E838" s="32" t="s">
        <v>273</v>
      </c>
      <c r="F838" s="31"/>
      <c r="G838" s="11" t="s">
        <v>65</v>
      </c>
      <c r="H838" s="23" t="s">
        <v>66</v>
      </c>
      <c r="I838" s="23" t="s">
        <v>69</v>
      </c>
      <c r="J838" s="23" t="s">
        <v>303</v>
      </c>
      <c r="K838" s="23" t="s">
        <v>303</v>
      </c>
      <c r="L838" s="23" t="s">
        <v>69</v>
      </c>
      <c r="M838" s="23" t="s">
        <v>103</v>
      </c>
      <c r="N838" s="23" t="s">
        <v>69</v>
      </c>
      <c r="O838" s="30" t="s">
        <v>102</v>
      </c>
      <c r="P838" s="31"/>
      <c r="Q838" s="11" t="s">
        <v>37</v>
      </c>
      <c r="S838" s="18" t="str">
        <f t="shared" si="24"/>
        <v>00057</v>
      </c>
      <c r="T838" s="18" t="str">
        <f t="shared" si="25"/>
        <v>Total</v>
      </c>
    </row>
    <row r="839" spans="5:20">
      <c r="E839" s="15" t="s">
        <v>72</v>
      </c>
      <c r="F839" s="15" t="s">
        <v>583</v>
      </c>
      <c r="G839" s="11" t="s">
        <v>74</v>
      </c>
      <c r="H839" s="23" t="s">
        <v>75</v>
      </c>
      <c r="I839" s="23" t="s">
        <v>75</v>
      </c>
      <c r="J839" s="23" t="s">
        <v>75</v>
      </c>
      <c r="K839" s="23" t="s">
        <v>75</v>
      </c>
      <c r="L839" s="23" t="s">
        <v>75</v>
      </c>
      <c r="M839" s="23" t="s">
        <v>75</v>
      </c>
      <c r="N839" s="23" t="s">
        <v>75</v>
      </c>
      <c r="O839" s="30" t="s">
        <v>75</v>
      </c>
      <c r="P839" s="31"/>
      <c r="Q839" s="11" t="s">
        <v>37</v>
      </c>
      <c r="S839" s="18" t="str">
        <f t="shared" si="24"/>
        <v>USN</v>
      </c>
      <c r="T839" s="18" t="str">
        <f t="shared" si="25"/>
        <v/>
      </c>
    </row>
    <row r="840" spans="5:20">
      <c r="E840" s="16" t="s">
        <v>37</v>
      </c>
      <c r="F840" s="16" t="s">
        <v>37</v>
      </c>
      <c r="G840" s="16" t="s">
        <v>37</v>
      </c>
      <c r="H840" s="24" t="s">
        <v>37</v>
      </c>
      <c r="I840" s="24" t="s">
        <v>37</v>
      </c>
      <c r="J840" s="24" t="s">
        <v>37</v>
      </c>
      <c r="K840" s="24" t="s">
        <v>37</v>
      </c>
      <c r="L840" s="24" t="s">
        <v>37</v>
      </c>
      <c r="M840" s="24" t="s">
        <v>37</v>
      </c>
      <c r="N840" s="24" t="s">
        <v>37</v>
      </c>
      <c r="O840" s="41" t="s">
        <v>37</v>
      </c>
      <c r="P840" s="28"/>
      <c r="Q840" s="24" t="s">
        <v>37</v>
      </c>
      <c r="S840" s="18" t="str">
        <f t="shared" si="24"/>
        <v>SHREYAS DEVADIGA</v>
      </c>
      <c r="T840" s="18" t="str">
        <f t="shared" si="25"/>
        <v/>
      </c>
    </row>
    <row r="841" spans="5:20" ht="0" hidden="1" customHeight="1">
      <c r="S841" s="18">
        <f t="shared" si="24"/>
        <v>0</v>
      </c>
      <c r="T841" s="18">
        <f t="shared" si="25"/>
        <v>0</v>
      </c>
    </row>
    <row r="842" spans="5:20" ht="0.6" customHeight="1">
      <c r="S842" s="18">
        <f t="shared" si="24"/>
        <v>0</v>
      </c>
      <c r="T842" s="18">
        <f t="shared" si="25"/>
        <v>25</v>
      </c>
    </row>
    <row r="843" spans="5:20">
      <c r="E843" s="38" t="s">
        <v>35</v>
      </c>
      <c r="F843" s="31"/>
      <c r="G843" s="19" t="s">
        <v>36</v>
      </c>
      <c r="H843" s="20" t="s">
        <v>37</v>
      </c>
      <c r="I843" s="20" t="s">
        <v>37</v>
      </c>
      <c r="J843" s="20" t="s">
        <v>37</v>
      </c>
      <c r="K843" s="20" t="s">
        <v>37</v>
      </c>
      <c r="L843" s="20" t="s">
        <v>37</v>
      </c>
      <c r="M843" s="20" t="s">
        <v>37</v>
      </c>
      <c r="N843" s="20" t="s">
        <v>37</v>
      </c>
      <c r="O843" s="39" t="s">
        <v>37</v>
      </c>
      <c r="P843" s="28"/>
      <c r="Q843" s="20" t="s">
        <v>37</v>
      </c>
      <c r="S843" s="18" t="str">
        <f t="shared" si="24"/>
        <v>SGPA</v>
      </c>
      <c r="T843" s="18" t="str">
        <f t="shared" si="25"/>
        <v/>
      </c>
    </row>
    <row r="844" spans="5:20" ht="21">
      <c r="E844" s="32" t="s">
        <v>584</v>
      </c>
      <c r="F844" s="31"/>
      <c r="G844" s="22" t="s">
        <v>39</v>
      </c>
      <c r="H844" s="22" t="s">
        <v>19</v>
      </c>
      <c r="I844" s="22" t="s">
        <v>9</v>
      </c>
      <c r="J844" s="22" t="s">
        <v>21</v>
      </c>
      <c r="K844" s="22" t="s">
        <v>11</v>
      </c>
      <c r="L844" s="22" t="s">
        <v>17</v>
      </c>
      <c r="M844" s="22" t="s">
        <v>27</v>
      </c>
      <c r="N844" s="22" t="s">
        <v>7</v>
      </c>
      <c r="O844" s="40" t="s">
        <v>25</v>
      </c>
      <c r="P844" s="31"/>
      <c r="Q844" s="22" t="s">
        <v>40</v>
      </c>
      <c r="S844" s="18" t="str">
        <f t="shared" ref="S844:S907" si="26">$E850</f>
        <v>CGPA</v>
      </c>
      <c r="T844" s="18">
        <f t="shared" ref="T844:T907" si="27">$Q850</f>
        <v>145.5</v>
      </c>
    </row>
    <row r="845" spans="5:20" ht="22.5">
      <c r="E845" s="21" t="s">
        <v>41</v>
      </c>
      <c r="F845" s="21" t="s">
        <v>585</v>
      </c>
      <c r="G845" s="11" t="s">
        <v>43</v>
      </c>
      <c r="H845" s="23" t="s">
        <v>586</v>
      </c>
      <c r="I845" s="23" t="s">
        <v>587</v>
      </c>
      <c r="J845" s="23" t="s">
        <v>334</v>
      </c>
      <c r="K845" s="23" t="s">
        <v>588</v>
      </c>
      <c r="L845" s="23" t="s">
        <v>589</v>
      </c>
      <c r="M845" s="23" t="s">
        <v>590</v>
      </c>
      <c r="N845" s="23" t="s">
        <v>591</v>
      </c>
      <c r="O845" s="30" t="s">
        <v>51</v>
      </c>
      <c r="P845" s="31"/>
      <c r="Q845" s="11" t="s">
        <v>37</v>
      </c>
      <c r="S845" s="18" t="str">
        <f t="shared" si="26"/>
        <v>Result: PASS</v>
      </c>
      <c r="T845" s="18">
        <f t="shared" si="27"/>
        <v>380</v>
      </c>
    </row>
    <row r="846" spans="5:20">
      <c r="E846" s="32" t="s">
        <v>592</v>
      </c>
      <c r="F846" s="33"/>
      <c r="G846" s="11" t="s">
        <v>53</v>
      </c>
      <c r="H846" s="23" t="s">
        <v>51</v>
      </c>
      <c r="I846" s="23" t="s">
        <v>51</v>
      </c>
      <c r="J846" s="23" t="s">
        <v>51</v>
      </c>
      <c r="K846" s="23" t="s">
        <v>51</v>
      </c>
      <c r="L846" s="23" t="s">
        <v>51</v>
      </c>
      <c r="M846" s="23" t="s">
        <v>51</v>
      </c>
      <c r="N846" s="23" t="s">
        <v>51</v>
      </c>
      <c r="O846" s="30" t="s">
        <v>54</v>
      </c>
      <c r="P846" s="31"/>
      <c r="Q846" s="11" t="s">
        <v>37</v>
      </c>
      <c r="S846" s="18" t="str">
        <f t="shared" si="26"/>
        <v>Class</v>
      </c>
      <c r="T846" s="18">
        <f t="shared" si="27"/>
        <v>700</v>
      </c>
    </row>
    <row r="847" spans="5:20">
      <c r="E847" s="34"/>
      <c r="F847" s="35"/>
      <c r="G847" s="11" t="s">
        <v>55</v>
      </c>
      <c r="H847" s="23" t="s">
        <v>37</v>
      </c>
      <c r="I847" s="23" t="s">
        <v>37</v>
      </c>
      <c r="J847" s="23" t="s">
        <v>37</v>
      </c>
      <c r="K847" s="23" t="s">
        <v>37</v>
      </c>
      <c r="L847" s="23" t="s">
        <v>37</v>
      </c>
      <c r="M847" s="23" t="s">
        <v>37</v>
      </c>
      <c r="N847" s="23" t="s">
        <v>37</v>
      </c>
      <c r="O847" s="30" t="s">
        <v>37</v>
      </c>
      <c r="P847" s="31"/>
      <c r="Q847" s="11">
        <v>0</v>
      </c>
      <c r="S847" s="18" t="str">
        <f t="shared" si="26"/>
        <v>Term Grade: BB+</v>
      </c>
      <c r="T847" s="18" t="str">
        <f t="shared" si="27"/>
        <v/>
      </c>
    </row>
    <row r="848" spans="5:20">
      <c r="E848" s="36"/>
      <c r="F848" s="37"/>
      <c r="G848" s="11" t="s">
        <v>56</v>
      </c>
      <c r="H848" s="23">
        <v>4</v>
      </c>
      <c r="I848" s="23">
        <v>4</v>
      </c>
      <c r="J848" s="23">
        <v>4</v>
      </c>
      <c r="K848" s="23">
        <v>3</v>
      </c>
      <c r="L848" s="23">
        <v>3</v>
      </c>
      <c r="M848" s="23">
        <v>3</v>
      </c>
      <c r="N848" s="23">
        <v>2</v>
      </c>
      <c r="O848" s="30">
        <v>2</v>
      </c>
      <c r="P848" s="31"/>
      <c r="Q848" s="11">
        <v>25</v>
      </c>
      <c r="S848" s="18" t="str">
        <f t="shared" si="26"/>
        <v>M.C.No</v>
      </c>
      <c r="T848" s="18" t="str">
        <f t="shared" si="27"/>
        <v/>
      </c>
    </row>
    <row r="849" spans="5:20">
      <c r="E849" s="21" t="s">
        <v>57</v>
      </c>
      <c r="F849" s="21">
        <v>5.82</v>
      </c>
      <c r="G849" s="11" t="s">
        <v>58</v>
      </c>
      <c r="H849" s="23">
        <v>5.5</v>
      </c>
      <c r="I849" s="23">
        <v>6.5</v>
      </c>
      <c r="J849" s="23">
        <v>4.5</v>
      </c>
      <c r="K849" s="23">
        <v>4.5</v>
      </c>
      <c r="L849" s="23">
        <v>7.5</v>
      </c>
      <c r="M849" s="23">
        <v>4.5</v>
      </c>
      <c r="N849" s="23">
        <v>5.5</v>
      </c>
      <c r="O849" s="30">
        <v>9.5</v>
      </c>
      <c r="P849" s="31"/>
      <c r="Q849" s="11" t="s">
        <v>37</v>
      </c>
      <c r="S849" s="18" t="str">
        <f t="shared" si="26"/>
        <v/>
      </c>
      <c r="T849" s="18" t="str">
        <f t="shared" si="27"/>
        <v/>
      </c>
    </row>
    <row r="850" spans="5:20">
      <c r="E850" s="21" t="s">
        <v>59</v>
      </c>
      <c r="F850" s="14">
        <v>5.82</v>
      </c>
      <c r="G850" s="11" t="s">
        <v>60</v>
      </c>
      <c r="H850" s="23">
        <v>22</v>
      </c>
      <c r="I850" s="23">
        <v>26</v>
      </c>
      <c r="J850" s="23">
        <v>18</v>
      </c>
      <c r="K850" s="23">
        <v>13.5</v>
      </c>
      <c r="L850" s="23">
        <v>22.5</v>
      </c>
      <c r="M850" s="23">
        <v>13.5</v>
      </c>
      <c r="N850" s="23">
        <v>11</v>
      </c>
      <c r="O850" s="30">
        <v>19</v>
      </c>
      <c r="P850" s="31"/>
      <c r="Q850" s="11">
        <v>145.5</v>
      </c>
      <c r="S850" s="18">
        <f t="shared" si="26"/>
        <v>0</v>
      </c>
      <c r="T850" s="18">
        <f t="shared" si="27"/>
        <v>0</v>
      </c>
    </row>
    <row r="851" spans="5:20">
      <c r="E851" s="32" t="s">
        <v>61</v>
      </c>
      <c r="F851" s="31"/>
      <c r="G851" s="11" t="s">
        <v>40</v>
      </c>
      <c r="H851" s="23">
        <v>51</v>
      </c>
      <c r="I851" s="23">
        <v>62</v>
      </c>
      <c r="J851" s="23">
        <v>40</v>
      </c>
      <c r="K851" s="23">
        <v>40</v>
      </c>
      <c r="L851" s="23">
        <v>72</v>
      </c>
      <c r="M851" s="23">
        <v>43</v>
      </c>
      <c r="N851" s="23">
        <v>27</v>
      </c>
      <c r="O851" s="30">
        <v>45</v>
      </c>
      <c r="P851" s="31"/>
      <c r="Q851" s="11">
        <v>380</v>
      </c>
      <c r="S851" s="18" t="str">
        <f t="shared" si="26"/>
        <v>Dr. B.B. Hegde First Grade College, Kundapura, Udupi.</v>
      </c>
      <c r="T851" s="18" t="str">
        <f t="shared" si="27"/>
        <v/>
      </c>
    </row>
    <row r="852" spans="5:20">
      <c r="E852" s="21" t="s">
        <v>62</v>
      </c>
      <c r="F852" s="21"/>
      <c r="G852" s="11" t="s">
        <v>63</v>
      </c>
      <c r="H852" s="23">
        <v>100</v>
      </c>
      <c r="I852" s="23">
        <v>100</v>
      </c>
      <c r="J852" s="23">
        <v>100</v>
      </c>
      <c r="K852" s="23">
        <v>100</v>
      </c>
      <c r="L852" s="23">
        <v>100</v>
      </c>
      <c r="M852" s="23">
        <v>100</v>
      </c>
      <c r="N852" s="23">
        <v>50</v>
      </c>
      <c r="O852" s="30">
        <v>50</v>
      </c>
      <c r="P852" s="31"/>
      <c r="Q852" s="11">
        <v>700</v>
      </c>
      <c r="S852" s="18" t="str">
        <f t="shared" si="26"/>
        <v>00058</v>
      </c>
      <c r="T852" s="18" t="str">
        <f t="shared" si="27"/>
        <v>Total</v>
      </c>
    </row>
    <row r="853" spans="5:20">
      <c r="E853" s="32" t="s">
        <v>375</v>
      </c>
      <c r="F853" s="31"/>
      <c r="G853" s="11" t="s">
        <v>65</v>
      </c>
      <c r="H853" s="23" t="s">
        <v>138</v>
      </c>
      <c r="I853" s="23" t="s">
        <v>69</v>
      </c>
      <c r="J853" s="23" t="s">
        <v>303</v>
      </c>
      <c r="K853" s="23" t="s">
        <v>303</v>
      </c>
      <c r="L853" s="23" t="s">
        <v>68</v>
      </c>
      <c r="M853" s="23" t="s">
        <v>303</v>
      </c>
      <c r="N853" s="23" t="s">
        <v>138</v>
      </c>
      <c r="O853" s="30" t="s">
        <v>71</v>
      </c>
      <c r="P853" s="31"/>
      <c r="Q853" s="11" t="s">
        <v>37</v>
      </c>
      <c r="S853" s="18" t="str">
        <f t="shared" si="26"/>
        <v>USN</v>
      </c>
      <c r="T853" s="18" t="str">
        <f t="shared" si="27"/>
        <v/>
      </c>
    </row>
    <row r="854" spans="5:20">
      <c r="E854" s="15" t="s">
        <v>72</v>
      </c>
      <c r="F854" s="15" t="s">
        <v>593</v>
      </c>
      <c r="G854" s="11" t="s">
        <v>74</v>
      </c>
      <c r="H854" s="23" t="s">
        <v>75</v>
      </c>
      <c r="I854" s="23" t="s">
        <v>75</v>
      </c>
      <c r="J854" s="23" t="s">
        <v>75</v>
      </c>
      <c r="K854" s="23" t="s">
        <v>75</v>
      </c>
      <c r="L854" s="23" t="s">
        <v>75</v>
      </c>
      <c r="M854" s="23" t="s">
        <v>75</v>
      </c>
      <c r="N854" s="23" t="s">
        <v>75</v>
      </c>
      <c r="O854" s="30" t="s">
        <v>75</v>
      </c>
      <c r="P854" s="31"/>
      <c r="Q854" s="11" t="s">
        <v>37</v>
      </c>
      <c r="S854" s="18" t="str">
        <f t="shared" si="26"/>
        <v>SINCHANA</v>
      </c>
      <c r="T854" s="18" t="str">
        <f t="shared" si="27"/>
        <v/>
      </c>
    </row>
    <row r="855" spans="5:20">
      <c r="E855" s="16" t="s">
        <v>37</v>
      </c>
      <c r="F855" s="16" t="s">
        <v>37</v>
      </c>
      <c r="G855" s="16" t="s">
        <v>37</v>
      </c>
      <c r="H855" s="24" t="s">
        <v>37</v>
      </c>
      <c r="I855" s="24" t="s">
        <v>37</v>
      </c>
      <c r="J855" s="24" t="s">
        <v>37</v>
      </c>
      <c r="K855" s="24" t="s">
        <v>37</v>
      </c>
      <c r="L855" s="24" t="s">
        <v>37</v>
      </c>
      <c r="M855" s="24" t="s">
        <v>37</v>
      </c>
      <c r="N855" s="24" t="s">
        <v>37</v>
      </c>
      <c r="O855" s="41" t="s">
        <v>37</v>
      </c>
      <c r="P855" s="28"/>
      <c r="Q855" s="24" t="s">
        <v>37</v>
      </c>
      <c r="S855" s="18">
        <f t="shared" si="26"/>
        <v>0</v>
      </c>
      <c r="T855" s="18">
        <f t="shared" si="27"/>
        <v>0</v>
      </c>
    </row>
    <row r="856" spans="5:20" ht="0.6" customHeight="1">
      <c r="S856" s="18">
        <f t="shared" si="26"/>
        <v>0</v>
      </c>
      <c r="T856" s="18">
        <f t="shared" si="27"/>
        <v>25</v>
      </c>
    </row>
    <row r="857" spans="5:20">
      <c r="E857" s="38" t="s">
        <v>35</v>
      </c>
      <c r="F857" s="31"/>
      <c r="G857" s="19" t="s">
        <v>36</v>
      </c>
      <c r="H857" s="20" t="s">
        <v>37</v>
      </c>
      <c r="I857" s="20" t="s">
        <v>37</v>
      </c>
      <c r="J857" s="20" t="s">
        <v>37</v>
      </c>
      <c r="K857" s="20" t="s">
        <v>37</v>
      </c>
      <c r="L857" s="20" t="s">
        <v>37</v>
      </c>
      <c r="M857" s="20" t="s">
        <v>37</v>
      </c>
      <c r="N857" s="20" t="s">
        <v>37</v>
      </c>
      <c r="O857" s="39" t="s">
        <v>37</v>
      </c>
      <c r="P857" s="28"/>
      <c r="Q857" s="20" t="s">
        <v>37</v>
      </c>
      <c r="S857" s="18" t="str">
        <f t="shared" si="26"/>
        <v>SGPA</v>
      </c>
      <c r="T857" s="18" t="str">
        <f t="shared" si="27"/>
        <v/>
      </c>
    </row>
    <row r="858" spans="5:20" ht="21">
      <c r="E858" s="32" t="s">
        <v>594</v>
      </c>
      <c r="F858" s="31"/>
      <c r="G858" s="22" t="s">
        <v>39</v>
      </c>
      <c r="H858" s="22" t="s">
        <v>19</v>
      </c>
      <c r="I858" s="22" t="s">
        <v>9</v>
      </c>
      <c r="J858" s="22" t="s">
        <v>21</v>
      </c>
      <c r="K858" s="22" t="s">
        <v>11</v>
      </c>
      <c r="L858" s="22" t="s">
        <v>17</v>
      </c>
      <c r="M858" s="22" t="s">
        <v>27</v>
      </c>
      <c r="N858" s="22" t="s">
        <v>7</v>
      </c>
      <c r="O858" s="40" t="s">
        <v>23</v>
      </c>
      <c r="P858" s="31"/>
      <c r="Q858" s="22" t="s">
        <v>40</v>
      </c>
      <c r="S858" s="18" t="str">
        <f t="shared" si="26"/>
        <v>CGPA</v>
      </c>
      <c r="T858" s="18">
        <f t="shared" si="27"/>
        <v>225.5</v>
      </c>
    </row>
    <row r="859" spans="5:20" ht="22.5">
      <c r="E859" s="21" t="s">
        <v>41</v>
      </c>
      <c r="F859" s="21" t="s">
        <v>595</v>
      </c>
      <c r="G859" s="11" t="s">
        <v>43</v>
      </c>
      <c r="H859" s="23" t="s">
        <v>460</v>
      </c>
      <c r="I859" s="23" t="s">
        <v>323</v>
      </c>
      <c r="J859" s="23" t="s">
        <v>78</v>
      </c>
      <c r="K859" s="23" t="s">
        <v>206</v>
      </c>
      <c r="L859" s="23" t="s">
        <v>488</v>
      </c>
      <c r="M859" s="23" t="s">
        <v>596</v>
      </c>
      <c r="N859" s="23" t="s">
        <v>318</v>
      </c>
      <c r="O859" s="30" t="s">
        <v>51</v>
      </c>
      <c r="P859" s="31"/>
      <c r="Q859" s="11" t="s">
        <v>37</v>
      </c>
      <c r="S859" s="18" t="str">
        <f t="shared" si="26"/>
        <v>Result: PASS</v>
      </c>
      <c r="T859" s="18">
        <f t="shared" si="27"/>
        <v>604</v>
      </c>
    </row>
    <row r="860" spans="5:20">
      <c r="E860" s="32" t="s">
        <v>198</v>
      </c>
      <c r="F860" s="33"/>
      <c r="G860" s="11" t="s">
        <v>53</v>
      </c>
      <c r="H860" s="23" t="s">
        <v>51</v>
      </c>
      <c r="I860" s="23" t="s">
        <v>51</v>
      </c>
      <c r="J860" s="23" t="s">
        <v>51</v>
      </c>
      <c r="K860" s="23" t="s">
        <v>51</v>
      </c>
      <c r="L860" s="23" t="s">
        <v>51</v>
      </c>
      <c r="M860" s="23" t="s">
        <v>51</v>
      </c>
      <c r="N860" s="23" t="s">
        <v>51</v>
      </c>
      <c r="O860" s="30" t="s">
        <v>199</v>
      </c>
      <c r="P860" s="31"/>
      <c r="Q860" s="11" t="s">
        <v>37</v>
      </c>
      <c r="S860" s="18" t="str">
        <f t="shared" si="26"/>
        <v>Class</v>
      </c>
      <c r="T860" s="18">
        <f t="shared" si="27"/>
        <v>700</v>
      </c>
    </row>
    <row r="861" spans="5:20">
      <c r="E861" s="34"/>
      <c r="F861" s="35"/>
      <c r="G861" s="11" t="s">
        <v>55</v>
      </c>
      <c r="H861" s="23" t="s">
        <v>37</v>
      </c>
      <c r="I861" s="23" t="s">
        <v>37</v>
      </c>
      <c r="J861" s="23" t="s">
        <v>37</v>
      </c>
      <c r="K861" s="23" t="s">
        <v>37</v>
      </c>
      <c r="L861" s="23" t="s">
        <v>37</v>
      </c>
      <c r="M861" s="23" t="s">
        <v>37</v>
      </c>
      <c r="N861" s="23" t="s">
        <v>37</v>
      </c>
      <c r="O861" s="30" t="s">
        <v>37</v>
      </c>
      <c r="P861" s="31"/>
      <c r="Q861" s="11">
        <v>0</v>
      </c>
      <c r="S861" s="18" t="str">
        <f t="shared" si="26"/>
        <v>Term Grade: OO</v>
      </c>
      <c r="T861" s="18" t="str">
        <f t="shared" si="27"/>
        <v/>
      </c>
    </row>
    <row r="862" spans="5:20">
      <c r="E862" s="36"/>
      <c r="F862" s="37"/>
      <c r="G862" s="11" t="s">
        <v>56</v>
      </c>
      <c r="H862" s="23">
        <v>4</v>
      </c>
      <c r="I862" s="23">
        <v>4</v>
      </c>
      <c r="J862" s="23">
        <v>4</v>
      </c>
      <c r="K862" s="23">
        <v>3</v>
      </c>
      <c r="L862" s="23">
        <v>3</v>
      </c>
      <c r="M862" s="23">
        <v>3</v>
      </c>
      <c r="N862" s="23">
        <v>2</v>
      </c>
      <c r="O862" s="30">
        <v>2</v>
      </c>
      <c r="P862" s="31"/>
      <c r="Q862" s="11">
        <v>25</v>
      </c>
      <c r="S862" s="18" t="str">
        <f t="shared" si="26"/>
        <v>M.C.No</v>
      </c>
      <c r="T862" s="18" t="str">
        <f t="shared" si="27"/>
        <v/>
      </c>
    </row>
    <row r="863" spans="5:20">
      <c r="E863" s="21" t="s">
        <v>57</v>
      </c>
      <c r="F863" s="21">
        <v>9.02</v>
      </c>
      <c r="G863" s="11" t="s">
        <v>58</v>
      </c>
      <c r="H863" s="23">
        <v>8.5</v>
      </c>
      <c r="I863" s="23">
        <v>9</v>
      </c>
      <c r="J863" s="23">
        <v>9</v>
      </c>
      <c r="K863" s="23">
        <v>8</v>
      </c>
      <c r="L863" s="23">
        <v>9.5</v>
      </c>
      <c r="M863" s="23">
        <v>9</v>
      </c>
      <c r="N863" s="23">
        <v>10</v>
      </c>
      <c r="O863" s="30">
        <v>10</v>
      </c>
      <c r="P863" s="31"/>
      <c r="Q863" s="11" t="s">
        <v>37</v>
      </c>
      <c r="S863" s="18" t="str">
        <f t="shared" si="26"/>
        <v/>
      </c>
      <c r="T863" s="18" t="str">
        <f t="shared" si="27"/>
        <v/>
      </c>
    </row>
    <row r="864" spans="5:20">
      <c r="E864" s="21" t="s">
        <v>59</v>
      </c>
      <c r="F864" s="14">
        <v>9.02</v>
      </c>
      <c r="G864" s="11" t="s">
        <v>60</v>
      </c>
      <c r="H864" s="23">
        <v>34</v>
      </c>
      <c r="I864" s="23">
        <v>36</v>
      </c>
      <c r="J864" s="23">
        <v>36</v>
      </c>
      <c r="K864" s="23">
        <v>24</v>
      </c>
      <c r="L864" s="23">
        <v>28.5</v>
      </c>
      <c r="M864" s="23">
        <v>27</v>
      </c>
      <c r="N864" s="23">
        <v>20</v>
      </c>
      <c r="O864" s="30">
        <v>20</v>
      </c>
      <c r="P864" s="31"/>
      <c r="Q864" s="11">
        <v>225.5</v>
      </c>
      <c r="S864" s="18">
        <f t="shared" si="26"/>
        <v>0</v>
      </c>
      <c r="T864" s="18">
        <f t="shared" si="27"/>
        <v>0</v>
      </c>
    </row>
    <row r="865" spans="5:20">
      <c r="E865" s="32" t="s">
        <v>61</v>
      </c>
      <c r="F865" s="31"/>
      <c r="G865" s="11" t="s">
        <v>40</v>
      </c>
      <c r="H865" s="23">
        <v>83</v>
      </c>
      <c r="I865" s="23">
        <v>85</v>
      </c>
      <c r="J865" s="23">
        <v>86</v>
      </c>
      <c r="K865" s="23">
        <v>76</v>
      </c>
      <c r="L865" s="23">
        <v>90</v>
      </c>
      <c r="M865" s="23">
        <v>86</v>
      </c>
      <c r="N865" s="23">
        <v>49</v>
      </c>
      <c r="O865" s="30">
        <v>49</v>
      </c>
      <c r="P865" s="31"/>
      <c r="Q865" s="11">
        <v>604</v>
      </c>
      <c r="S865" s="18">
        <f t="shared" si="26"/>
        <v>0</v>
      </c>
      <c r="T865" s="18">
        <f t="shared" si="27"/>
        <v>0</v>
      </c>
    </row>
    <row r="866" spans="5:20">
      <c r="E866" s="21" t="s">
        <v>62</v>
      </c>
      <c r="F866" s="21"/>
      <c r="G866" s="11" t="s">
        <v>63</v>
      </c>
      <c r="H866" s="23">
        <v>100</v>
      </c>
      <c r="I866" s="23">
        <v>100</v>
      </c>
      <c r="J866" s="23">
        <v>100</v>
      </c>
      <c r="K866" s="23">
        <v>100</v>
      </c>
      <c r="L866" s="23">
        <v>100</v>
      </c>
      <c r="M866" s="23">
        <v>100</v>
      </c>
      <c r="N866" s="23">
        <v>50</v>
      </c>
      <c r="O866" s="30">
        <v>50</v>
      </c>
      <c r="P866" s="31"/>
      <c r="Q866" s="11">
        <v>700</v>
      </c>
      <c r="S866" s="18" t="str">
        <f t="shared" si="26"/>
        <v>Dr. B.B. Hegde First Grade College, Kundapura, Udupi.</v>
      </c>
      <c r="T866" s="18" t="str">
        <f t="shared" si="27"/>
        <v/>
      </c>
    </row>
    <row r="867" spans="5:20">
      <c r="E867" s="32" t="s">
        <v>87</v>
      </c>
      <c r="F867" s="31"/>
      <c r="G867" s="11" t="s">
        <v>65</v>
      </c>
      <c r="H867" s="23" t="s">
        <v>70</v>
      </c>
      <c r="I867" s="23" t="s">
        <v>67</v>
      </c>
      <c r="J867" s="23" t="s">
        <v>67</v>
      </c>
      <c r="K867" s="23" t="s">
        <v>102</v>
      </c>
      <c r="L867" s="23" t="s">
        <v>71</v>
      </c>
      <c r="M867" s="23" t="s">
        <v>67</v>
      </c>
      <c r="N867" s="23" t="s">
        <v>88</v>
      </c>
      <c r="O867" s="30" t="s">
        <v>88</v>
      </c>
      <c r="P867" s="31"/>
      <c r="Q867" s="11" t="s">
        <v>37</v>
      </c>
      <c r="S867" s="18" t="str">
        <f t="shared" si="26"/>
        <v>00059</v>
      </c>
      <c r="T867" s="18" t="str">
        <f t="shared" si="27"/>
        <v>Total</v>
      </c>
    </row>
    <row r="868" spans="5:20">
      <c r="E868" s="15" t="s">
        <v>72</v>
      </c>
      <c r="F868" s="15" t="s">
        <v>597</v>
      </c>
      <c r="G868" s="11" t="s">
        <v>74</v>
      </c>
      <c r="H868" s="23" t="s">
        <v>75</v>
      </c>
      <c r="I868" s="23" t="s">
        <v>75</v>
      </c>
      <c r="J868" s="23" t="s">
        <v>75</v>
      </c>
      <c r="K868" s="23" t="s">
        <v>75</v>
      </c>
      <c r="L868" s="23" t="s">
        <v>75</v>
      </c>
      <c r="M868" s="23" t="s">
        <v>75</v>
      </c>
      <c r="N868" s="23" t="s">
        <v>75</v>
      </c>
      <c r="O868" s="30" t="s">
        <v>75</v>
      </c>
      <c r="P868" s="31"/>
      <c r="Q868" s="11" t="s">
        <v>37</v>
      </c>
      <c r="S868" s="18" t="str">
        <f t="shared" si="26"/>
        <v>USN</v>
      </c>
      <c r="T868" s="18" t="str">
        <f t="shared" si="27"/>
        <v/>
      </c>
    </row>
    <row r="869" spans="5:20">
      <c r="E869" s="16" t="s">
        <v>37</v>
      </c>
      <c r="F869" s="16" t="s">
        <v>37</v>
      </c>
      <c r="G869" s="16" t="s">
        <v>37</v>
      </c>
      <c r="H869" s="24" t="s">
        <v>37</v>
      </c>
      <c r="I869" s="24" t="s">
        <v>37</v>
      </c>
      <c r="J869" s="24" t="s">
        <v>37</v>
      </c>
      <c r="K869" s="24" t="s">
        <v>37</v>
      </c>
      <c r="L869" s="24" t="s">
        <v>37</v>
      </c>
      <c r="M869" s="24" t="s">
        <v>37</v>
      </c>
      <c r="N869" s="24" t="s">
        <v>37</v>
      </c>
      <c r="O869" s="41" t="s">
        <v>37</v>
      </c>
      <c r="P869" s="28"/>
      <c r="Q869" s="24" t="s">
        <v>37</v>
      </c>
      <c r="S869" s="18" t="str">
        <f t="shared" si="26"/>
        <v>ANISHA</v>
      </c>
      <c r="T869" s="18" t="str">
        <f t="shared" si="27"/>
        <v/>
      </c>
    </row>
    <row r="870" spans="5:20" ht="0" hidden="1" customHeight="1">
      <c r="S870" s="18">
        <f t="shared" si="26"/>
        <v>0</v>
      </c>
      <c r="T870" s="18">
        <f t="shared" si="27"/>
        <v>0</v>
      </c>
    </row>
    <row r="871" spans="5:20" ht="0.6" customHeight="1">
      <c r="S871" s="18">
        <f t="shared" si="26"/>
        <v>0</v>
      </c>
      <c r="T871" s="18">
        <f t="shared" si="27"/>
        <v>25</v>
      </c>
    </row>
    <row r="872" spans="5:20">
      <c r="E872" s="38" t="s">
        <v>35</v>
      </c>
      <c r="F872" s="31"/>
      <c r="G872" s="19" t="s">
        <v>36</v>
      </c>
      <c r="H872" s="20" t="s">
        <v>37</v>
      </c>
      <c r="I872" s="20" t="s">
        <v>37</v>
      </c>
      <c r="J872" s="20" t="s">
        <v>37</v>
      </c>
      <c r="K872" s="20" t="s">
        <v>37</v>
      </c>
      <c r="L872" s="20" t="s">
        <v>37</v>
      </c>
      <c r="M872" s="20" t="s">
        <v>37</v>
      </c>
      <c r="N872" s="20" t="s">
        <v>37</v>
      </c>
      <c r="O872" s="39" t="s">
        <v>37</v>
      </c>
      <c r="P872" s="28"/>
      <c r="Q872" s="20" t="s">
        <v>37</v>
      </c>
      <c r="S872" s="18" t="str">
        <f t="shared" si="26"/>
        <v>SGPA</v>
      </c>
      <c r="T872" s="18" t="str">
        <f t="shared" si="27"/>
        <v/>
      </c>
    </row>
    <row r="873" spans="5:20" ht="21">
      <c r="E873" s="32" t="s">
        <v>598</v>
      </c>
      <c r="F873" s="31"/>
      <c r="G873" s="22" t="s">
        <v>39</v>
      </c>
      <c r="H873" s="22" t="s">
        <v>19</v>
      </c>
      <c r="I873" s="22" t="s">
        <v>9</v>
      </c>
      <c r="J873" s="22" t="s">
        <v>21</v>
      </c>
      <c r="K873" s="22" t="s">
        <v>11</v>
      </c>
      <c r="L873" s="22" t="s">
        <v>17</v>
      </c>
      <c r="M873" s="22" t="s">
        <v>27</v>
      </c>
      <c r="N873" s="22" t="s">
        <v>7</v>
      </c>
      <c r="O873" s="40" t="s">
        <v>29</v>
      </c>
      <c r="P873" s="31"/>
      <c r="Q873" s="22" t="s">
        <v>40</v>
      </c>
      <c r="S873" s="18" t="str">
        <f t="shared" si="26"/>
        <v>CGPA</v>
      </c>
      <c r="T873" s="18">
        <f t="shared" si="27"/>
        <v>237</v>
      </c>
    </row>
    <row r="874" spans="5:20" ht="22.5">
      <c r="E874" s="21" t="s">
        <v>41</v>
      </c>
      <c r="F874" s="21" t="s">
        <v>599</v>
      </c>
      <c r="G874" s="11" t="s">
        <v>43</v>
      </c>
      <c r="H874" s="23" t="s">
        <v>195</v>
      </c>
      <c r="I874" s="23" t="s">
        <v>79</v>
      </c>
      <c r="J874" s="23" t="s">
        <v>600</v>
      </c>
      <c r="K874" s="23" t="s">
        <v>601</v>
      </c>
      <c r="L874" s="23" t="s">
        <v>289</v>
      </c>
      <c r="M874" s="23" t="s">
        <v>602</v>
      </c>
      <c r="N874" s="23" t="s">
        <v>209</v>
      </c>
      <c r="O874" s="30" t="s">
        <v>51</v>
      </c>
      <c r="P874" s="31"/>
      <c r="Q874" s="11" t="s">
        <v>37</v>
      </c>
      <c r="S874" s="18" t="str">
        <f t="shared" si="26"/>
        <v>Result: PASS</v>
      </c>
      <c r="T874" s="18">
        <f t="shared" si="27"/>
        <v>639</v>
      </c>
    </row>
    <row r="875" spans="5:20">
      <c r="E875" s="32" t="s">
        <v>603</v>
      </c>
      <c r="F875" s="33"/>
      <c r="G875" s="11" t="s">
        <v>53</v>
      </c>
      <c r="H875" s="23" t="s">
        <v>51</v>
      </c>
      <c r="I875" s="23" t="s">
        <v>51</v>
      </c>
      <c r="J875" s="23" t="s">
        <v>51</v>
      </c>
      <c r="K875" s="23" t="s">
        <v>51</v>
      </c>
      <c r="L875" s="23" t="s">
        <v>51</v>
      </c>
      <c r="M875" s="23" t="s">
        <v>51</v>
      </c>
      <c r="N875" s="23" t="s">
        <v>51</v>
      </c>
      <c r="O875" s="30" t="s">
        <v>86</v>
      </c>
      <c r="P875" s="31"/>
      <c r="Q875" s="11" t="s">
        <v>37</v>
      </c>
      <c r="S875" s="18" t="str">
        <f t="shared" si="26"/>
        <v>Class</v>
      </c>
      <c r="T875" s="18">
        <f t="shared" si="27"/>
        <v>700</v>
      </c>
    </row>
    <row r="876" spans="5:20">
      <c r="E876" s="34"/>
      <c r="F876" s="35"/>
      <c r="G876" s="11" t="s">
        <v>55</v>
      </c>
      <c r="H876" s="23" t="s">
        <v>37</v>
      </c>
      <c r="I876" s="23" t="s">
        <v>37</v>
      </c>
      <c r="J876" s="23" t="s">
        <v>37</v>
      </c>
      <c r="K876" s="23" t="s">
        <v>37</v>
      </c>
      <c r="L876" s="23" t="s">
        <v>37</v>
      </c>
      <c r="M876" s="23" t="s">
        <v>37</v>
      </c>
      <c r="N876" s="23" t="s">
        <v>37</v>
      </c>
      <c r="O876" s="30" t="s">
        <v>37</v>
      </c>
      <c r="P876" s="31"/>
      <c r="Q876" s="11">
        <v>0</v>
      </c>
      <c r="S876" s="18" t="str">
        <f t="shared" si="26"/>
        <v>Term Grade: OO</v>
      </c>
      <c r="T876" s="18" t="str">
        <f t="shared" si="27"/>
        <v/>
      </c>
    </row>
    <row r="877" spans="5:20">
      <c r="E877" s="36"/>
      <c r="F877" s="37"/>
      <c r="G877" s="11" t="s">
        <v>56</v>
      </c>
      <c r="H877" s="23">
        <v>4</v>
      </c>
      <c r="I877" s="23">
        <v>4</v>
      </c>
      <c r="J877" s="23">
        <v>4</v>
      </c>
      <c r="K877" s="23">
        <v>3</v>
      </c>
      <c r="L877" s="23">
        <v>3</v>
      </c>
      <c r="M877" s="23">
        <v>3</v>
      </c>
      <c r="N877" s="23">
        <v>2</v>
      </c>
      <c r="O877" s="30">
        <v>2</v>
      </c>
      <c r="P877" s="31"/>
      <c r="Q877" s="11">
        <v>25</v>
      </c>
      <c r="S877" s="18" t="str">
        <f t="shared" si="26"/>
        <v>M.C.No</v>
      </c>
      <c r="T877" s="18" t="str">
        <f t="shared" si="27"/>
        <v/>
      </c>
    </row>
    <row r="878" spans="5:20">
      <c r="E878" s="21" t="s">
        <v>57</v>
      </c>
      <c r="F878" s="21">
        <v>9.48</v>
      </c>
      <c r="G878" s="11" t="s">
        <v>58</v>
      </c>
      <c r="H878" s="23">
        <v>9.5</v>
      </c>
      <c r="I878" s="23">
        <v>10</v>
      </c>
      <c r="J878" s="23">
        <v>9.5</v>
      </c>
      <c r="K878" s="23">
        <v>8</v>
      </c>
      <c r="L878" s="23">
        <v>9</v>
      </c>
      <c r="M878" s="23">
        <v>10</v>
      </c>
      <c r="N878" s="23">
        <v>10</v>
      </c>
      <c r="O878" s="30">
        <v>10</v>
      </c>
      <c r="P878" s="31"/>
      <c r="Q878" s="11" t="s">
        <v>37</v>
      </c>
      <c r="S878" s="18" t="str">
        <f t="shared" si="26"/>
        <v/>
      </c>
      <c r="T878" s="18" t="str">
        <f t="shared" si="27"/>
        <v/>
      </c>
    </row>
    <row r="879" spans="5:20">
      <c r="E879" s="21" t="s">
        <v>59</v>
      </c>
      <c r="F879" s="14">
        <v>9.48</v>
      </c>
      <c r="G879" s="11" t="s">
        <v>60</v>
      </c>
      <c r="H879" s="23">
        <v>38</v>
      </c>
      <c r="I879" s="23">
        <v>40</v>
      </c>
      <c r="J879" s="23">
        <v>38</v>
      </c>
      <c r="K879" s="23">
        <v>24</v>
      </c>
      <c r="L879" s="23">
        <v>27</v>
      </c>
      <c r="M879" s="23">
        <v>30</v>
      </c>
      <c r="N879" s="23">
        <v>20</v>
      </c>
      <c r="O879" s="30">
        <v>20</v>
      </c>
      <c r="P879" s="31"/>
      <c r="Q879" s="11">
        <v>237</v>
      </c>
      <c r="S879" s="18">
        <f t="shared" si="26"/>
        <v>0</v>
      </c>
      <c r="T879" s="18">
        <f t="shared" si="27"/>
        <v>0</v>
      </c>
    </row>
    <row r="880" spans="5:20">
      <c r="E880" s="32" t="s">
        <v>61</v>
      </c>
      <c r="F880" s="31"/>
      <c r="G880" s="11" t="s">
        <v>40</v>
      </c>
      <c r="H880" s="23">
        <v>91</v>
      </c>
      <c r="I880" s="23">
        <v>95</v>
      </c>
      <c r="J880" s="23">
        <v>92</v>
      </c>
      <c r="K880" s="23">
        <v>75</v>
      </c>
      <c r="L880" s="23">
        <v>89</v>
      </c>
      <c r="M880" s="23">
        <v>99</v>
      </c>
      <c r="N880" s="23">
        <v>50</v>
      </c>
      <c r="O880" s="30">
        <v>48</v>
      </c>
      <c r="P880" s="31"/>
      <c r="Q880" s="11">
        <v>639</v>
      </c>
      <c r="S880" s="18">
        <f t="shared" si="26"/>
        <v>0</v>
      </c>
      <c r="T880" s="18">
        <f t="shared" si="27"/>
        <v>0</v>
      </c>
    </row>
    <row r="881" spans="5:20">
      <c r="E881" s="21" t="s">
        <v>62</v>
      </c>
      <c r="F881" s="21"/>
      <c r="G881" s="11" t="s">
        <v>63</v>
      </c>
      <c r="H881" s="23">
        <v>100</v>
      </c>
      <c r="I881" s="23">
        <v>100</v>
      </c>
      <c r="J881" s="23">
        <v>100</v>
      </c>
      <c r="K881" s="23">
        <v>100</v>
      </c>
      <c r="L881" s="23">
        <v>100</v>
      </c>
      <c r="M881" s="23">
        <v>100</v>
      </c>
      <c r="N881" s="23">
        <v>50</v>
      </c>
      <c r="O881" s="30">
        <v>50</v>
      </c>
      <c r="P881" s="31"/>
      <c r="Q881" s="11">
        <v>700</v>
      </c>
      <c r="S881" s="18" t="str">
        <f t="shared" si="26"/>
        <v>Dr. B.B. Hegde First Grade College, Kundapura, Udupi.</v>
      </c>
      <c r="T881" s="18" t="str">
        <f t="shared" si="27"/>
        <v/>
      </c>
    </row>
    <row r="882" spans="5:20">
      <c r="E882" s="32" t="s">
        <v>87</v>
      </c>
      <c r="F882" s="31"/>
      <c r="G882" s="11" t="s">
        <v>65</v>
      </c>
      <c r="H882" s="23" t="s">
        <v>71</v>
      </c>
      <c r="I882" s="23" t="s">
        <v>88</v>
      </c>
      <c r="J882" s="23" t="s">
        <v>71</v>
      </c>
      <c r="K882" s="23" t="s">
        <v>102</v>
      </c>
      <c r="L882" s="23" t="s">
        <v>67</v>
      </c>
      <c r="M882" s="23" t="s">
        <v>88</v>
      </c>
      <c r="N882" s="23" t="s">
        <v>88</v>
      </c>
      <c r="O882" s="30" t="s">
        <v>88</v>
      </c>
      <c r="P882" s="31"/>
      <c r="Q882" s="11" t="s">
        <v>37</v>
      </c>
      <c r="S882" s="18" t="str">
        <f t="shared" si="26"/>
        <v>00060</v>
      </c>
      <c r="T882" s="18" t="str">
        <f t="shared" si="27"/>
        <v>Total</v>
      </c>
    </row>
    <row r="883" spans="5:20">
      <c r="E883" s="15" t="s">
        <v>72</v>
      </c>
      <c r="F883" s="15" t="s">
        <v>604</v>
      </c>
      <c r="G883" s="11" t="s">
        <v>74</v>
      </c>
      <c r="H883" s="23" t="s">
        <v>75</v>
      </c>
      <c r="I883" s="23" t="s">
        <v>75</v>
      </c>
      <c r="J883" s="23" t="s">
        <v>75</v>
      </c>
      <c r="K883" s="23" t="s">
        <v>75</v>
      </c>
      <c r="L883" s="23" t="s">
        <v>75</v>
      </c>
      <c r="M883" s="23" t="s">
        <v>75</v>
      </c>
      <c r="N883" s="23" t="s">
        <v>75</v>
      </c>
      <c r="O883" s="30" t="s">
        <v>75</v>
      </c>
      <c r="P883" s="31"/>
      <c r="Q883" s="11" t="s">
        <v>37</v>
      </c>
      <c r="S883" s="18" t="str">
        <f t="shared" si="26"/>
        <v>USN</v>
      </c>
      <c r="T883" s="18" t="str">
        <f t="shared" si="27"/>
        <v/>
      </c>
    </row>
    <row r="884" spans="5:20">
      <c r="E884" s="16" t="s">
        <v>37</v>
      </c>
      <c r="F884" s="16" t="s">
        <v>37</v>
      </c>
      <c r="G884" s="16" t="s">
        <v>37</v>
      </c>
      <c r="H884" s="24" t="s">
        <v>37</v>
      </c>
      <c r="I884" s="24" t="s">
        <v>37</v>
      </c>
      <c r="J884" s="24" t="s">
        <v>37</v>
      </c>
      <c r="K884" s="24" t="s">
        <v>37</v>
      </c>
      <c r="L884" s="24" t="s">
        <v>37</v>
      </c>
      <c r="M884" s="24" t="s">
        <v>37</v>
      </c>
      <c r="N884" s="24" t="s">
        <v>37</v>
      </c>
      <c r="O884" s="41" t="s">
        <v>37</v>
      </c>
      <c r="P884" s="28"/>
      <c r="Q884" s="24" t="s">
        <v>37</v>
      </c>
      <c r="S884" s="18" t="str">
        <f t="shared" si="26"/>
        <v>AISHWARYA SHETTY</v>
      </c>
      <c r="T884" s="18" t="str">
        <f t="shared" si="27"/>
        <v/>
      </c>
    </row>
    <row r="885" spans="5:20" ht="0" hidden="1" customHeight="1">
      <c r="S885" s="18">
        <f t="shared" si="26"/>
        <v>0</v>
      </c>
      <c r="T885" s="18">
        <f t="shared" si="27"/>
        <v>0</v>
      </c>
    </row>
    <row r="886" spans="5:20" ht="0.6" customHeight="1">
      <c r="S886" s="18">
        <f t="shared" si="26"/>
        <v>0</v>
      </c>
      <c r="T886" s="18">
        <f t="shared" si="27"/>
        <v>25</v>
      </c>
    </row>
    <row r="887" spans="5:20">
      <c r="E887" s="38" t="s">
        <v>35</v>
      </c>
      <c r="F887" s="31"/>
      <c r="G887" s="19" t="s">
        <v>36</v>
      </c>
      <c r="H887" s="20" t="s">
        <v>37</v>
      </c>
      <c r="I887" s="20" t="s">
        <v>37</v>
      </c>
      <c r="J887" s="20" t="s">
        <v>37</v>
      </c>
      <c r="K887" s="20" t="s">
        <v>37</v>
      </c>
      <c r="L887" s="20" t="s">
        <v>37</v>
      </c>
      <c r="M887" s="20" t="s">
        <v>37</v>
      </c>
      <c r="N887" s="20" t="s">
        <v>37</v>
      </c>
      <c r="O887" s="39" t="s">
        <v>37</v>
      </c>
      <c r="P887" s="28"/>
      <c r="Q887" s="20" t="s">
        <v>37</v>
      </c>
      <c r="S887" s="18" t="str">
        <f t="shared" si="26"/>
        <v>SGPA</v>
      </c>
      <c r="T887" s="18" t="str">
        <f t="shared" si="27"/>
        <v/>
      </c>
    </row>
    <row r="888" spans="5:20" ht="21">
      <c r="E888" s="32" t="s">
        <v>605</v>
      </c>
      <c r="F888" s="31"/>
      <c r="G888" s="22" t="s">
        <v>39</v>
      </c>
      <c r="H888" s="22" t="s">
        <v>19</v>
      </c>
      <c r="I888" s="22" t="s">
        <v>9</v>
      </c>
      <c r="J888" s="22" t="s">
        <v>21</v>
      </c>
      <c r="K888" s="22" t="s">
        <v>11</v>
      </c>
      <c r="L888" s="22" t="s">
        <v>17</v>
      </c>
      <c r="M888" s="22" t="s">
        <v>27</v>
      </c>
      <c r="N888" s="22" t="s">
        <v>7</v>
      </c>
      <c r="O888" s="40" t="s">
        <v>13</v>
      </c>
      <c r="P888" s="31"/>
      <c r="Q888" s="22" t="s">
        <v>40</v>
      </c>
      <c r="S888" s="18" t="str">
        <f t="shared" si="26"/>
        <v>CGPA</v>
      </c>
      <c r="T888" s="18">
        <f t="shared" si="27"/>
        <v>237</v>
      </c>
    </row>
    <row r="889" spans="5:20" ht="22.5">
      <c r="E889" s="21" t="s">
        <v>41</v>
      </c>
      <c r="F889" s="21" t="s">
        <v>606</v>
      </c>
      <c r="G889" s="11" t="s">
        <v>43</v>
      </c>
      <c r="H889" s="23" t="s">
        <v>223</v>
      </c>
      <c r="I889" s="23" t="s">
        <v>83</v>
      </c>
      <c r="J889" s="23" t="s">
        <v>223</v>
      </c>
      <c r="K889" s="23" t="s">
        <v>607</v>
      </c>
      <c r="L889" s="23" t="s">
        <v>223</v>
      </c>
      <c r="M889" s="23" t="s">
        <v>83</v>
      </c>
      <c r="N889" s="23" t="s">
        <v>209</v>
      </c>
      <c r="O889" s="30" t="s">
        <v>51</v>
      </c>
      <c r="P889" s="31"/>
      <c r="Q889" s="11" t="s">
        <v>37</v>
      </c>
      <c r="S889" s="18" t="str">
        <f t="shared" si="26"/>
        <v>Result: PASS</v>
      </c>
      <c r="T889" s="18">
        <f t="shared" si="27"/>
        <v>652</v>
      </c>
    </row>
    <row r="890" spans="5:20">
      <c r="E890" s="32" t="s">
        <v>608</v>
      </c>
      <c r="F890" s="33"/>
      <c r="G890" s="11" t="s">
        <v>53</v>
      </c>
      <c r="H890" s="23" t="s">
        <v>51</v>
      </c>
      <c r="I890" s="23" t="s">
        <v>51</v>
      </c>
      <c r="J890" s="23" t="s">
        <v>51</v>
      </c>
      <c r="K890" s="23" t="s">
        <v>51</v>
      </c>
      <c r="L890" s="23" t="s">
        <v>51</v>
      </c>
      <c r="M890" s="23" t="s">
        <v>51</v>
      </c>
      <c r="N890" s="23" t="s">
        <v>51</v>
      </c>
      <c r="O890" s="30" t="s">
        <v>100</v>
      </c>
      <c r="P890" s="31"/>
      <c r="Q890" s="11" t="s">
        <v>37</v>
      </c>
      <c r="S890" s="18" t="str">
        <f t="shared" si="26"/>
        <v>Class</v>
      </c>
      <c r="T890" s="18">
        <f t="shared" si="27"/>
        <v>700</v>
      </c>
    </row>
    <row r="891" spans="5:20">
      <c r="E891" s="34"/>
      <c r="F891" s="35"/>
      <c r="G891" s="11" t="s">
        <v>55</v>
      </c>
      <c r="H891" s="23" t="s">
        <v>37</v>
      </c>
      <c r="I891" s="23" t="s">
        <v>37</v>
      </c>
      <c r="J891" s="23" t="s">
        <v>37</v>
      </c>
      <c r="K891" s="23" t="s">
        <v>37</v>
      </c>
      <c r="L891" s="23" t="s">
        <v>37</v>
      </c>
      <c r="M891" s="23" t="s">
        <v>37</v>
      </c>
      <c r="N891" s="23" t="s">
        <v>37</v>
      </c>
      <c r="O891" s="30" t="s">
        <v>37</v>
      </c>
      <c r="P891" s="31"/>
      <c r="Q891" s="11">
        <v>0</v>
      </c>
      <c r="S891" s="18" t="str">
        <f t="shared" si="26"/>
        <v>Term Grade: OO</v>
      </c>
      <c r="T891" s="18" t="str">
        <f t="shared" si="27"/>
        <v/>
      </c>
    </row>
    <row r="892" spans="5:20">
      <c r="E892" s="36"/>
      <c r="F892" s="37"/>
      <c r="G892" s="11" t="s">
        <v>56</v>
      </c>
      <c r="H892" s="23">
        <v>4</v>
      </c>
      <c r="I892" s="23">
        <v>4</v>
      </c>
      <c r="J892" s="23">
        <v>4</v>
      </c>
      <c r="K892" s="23">
        <v>3</v>
      </c>
      <c r="L892" s="23">
        <v>3</v>
      </c>
      <c r="M892" s="23">
        <v>3</v>
      </c>
      <c r="N892" s="23">
        <v>2</v>
      </c>
      <c r="O892" s="30">
        <v>2</v>
      </c>
      <c r="P892" s="31"/>
      <c r="Q892" s="11">
        <v>25</v>
      </c>
      <c r="S892" s="18" t="str">
        <f t="shared" si="26"/>
        <v>M.C.No</v>
      </c>
      <c r="T892" s="18" t="str">
        <f t="shared" si="27"/>
        <v/>
      </c>
    </row>
    <row r="893" spans="5:20">
      <c r="E893" s="21" t="s">
        <v>57</v>
      </c>
      <c r="F893" s="21">
        <v>9.48</v>
      </c>
      <c r="G893" s="11" t="s">
        <v>58</v>
      </c>
      <c r="H893" s="23">
        <v>9.5</v>
      </c>
      <c r="I893" s="23">
        <v>10</v>
      </c>
      <c r="J893" s="23">
        <v>9.5</v>
      </c>
      <c r="K893" s="23">
        <v>7.5</v>
      </c>
      <c r="L893" s="23">
        <v>9.5</v>
      </c>
      <c r="M893" s="23">
        <v>10</v>
      </c>
      <c r="N893" s="23">
        <v>10</v>
      </c>
      <c r="O893" s="30">
        <v>10</v>
      </c>
      <c r="P893" s="31"/>
      <c r="Q893" s="11" t="s">
        <v>37</v>
      </c>
      <c r="S893" s="18" t="str">
        <f t="shared" si="26"/>
        <v/>
      </c>
      <c r="T893" s="18" t="str">
        <f t="shared" si="27"/>
        <v/>
      </c>
    </row>
    <row r="894" spans="5:20">
      <c r="E894" s="21" t="s">
        <v>59</v>
      </c>
      <c r="F894" s="14">
        <v>9.48</v>
      </c>
      <c r="G894" s="11" t="s">
        <v>60</v>
      </c>
      <c r="H894" s="23">
        <v>38</v>
      </c>
      <c r="I894" s="23">
        <v>40</v>
      </c>
      <c r="J894" s="23">
        <v>38</v>
      </c>
      <c r="K894" s="23">
        <v>22.5</v>
      </c>
      <c r="L894" s="23">
        <v>28.5</v>
      </c>
      <c r="M894" s="23">
        <v>30</v>
      </c>
      <c r="N894" s="23">
        <v>20</v>
      </c>
      <c r="O894" s="30">
        <v>20</v>
      </c>
      <c r="P894" s="31"/>
      <c r="Q894" s="11">
        <v>237</v>
      </c>
      <c r="S894" s="18">
        <f t="shared" si="26"/>
        <v>0</v>
      </c>
      <c r="T894" s="18">
        <f t="shared" si="27"/>
        <v>0</v>
      </c>
    </row>
    <row r="895" spans="5:20">
      <c r="E895" s="32" t="s">
        <v>61</v>
      </c>
      <c r="F895" s="31"/>
      <c r="G895" s="11" t="s">
        <v>40</v>
      </c>
      <c r="H895" s="23">
        <v>93</v>
      </c>
      <c r="I895" s="23">
        <v>100</v>
      </c>
      <c r="J895" s="23">
        <v>93</v>
      </c>
      <c r="K895" s="23">
        <v>73</v>
      </c>
      <c r="L895" s="23">
        <v>93</v>
      </c>
      <c r="M895" s="23">
        <v>100</v>
      </c>
      <c r="N895" s="23">
        <v>50</v>
      </c>
      <c r="O895" s="30">
        <v>50</v>
      </c>
      <c r="P895" s="31"/>
      <c r="Q895" s="11">
        <v>652</v>
      </c>
      <c r="S895" s="18">
        <f t="shared" si="26"/>
        <v>0</v>
      </c>
      <c r="T895" s="18">
        <f t="shared" si="27"/>
        <v>0</v>
      </c>
    </row>
    <row r="896" spans="5:20">
      <c r="E896" s="21" t="s">
        <v>62</v>
      </c>
      <c r="F896" s="21"/>
      <c r="G896" s="11" t="s">
        <v>63</v>
      </c>
      <c r="H896" s="23">
        <v>100</v>
      </c>
      <c r="I896" s="23">
        <v>100</v>
      </c>
      <c r="J896" s="23">
        <v>100</v>
      </c>
      <c r="K896" s="23">
        <v>100</v>
      </c>
      <c r="L896" s="23">
        <v>100</v>
      </c>
      <c r="M896" s="23">
        <v>100</v>
      </c>
      <c r="N896" s="23">
        <v>50</v>
      </c>
      <c r="O896" s="30">
        <v>50</v>
      </c>
      <c r="P896" s="31"/>
      <c r="Q896" s="11">
        <v>700</v>
      </c>
      <c r="S896" s="18" t="str">
        <f t="shared" si="26"/>
        <v>Dr. B.B. Hegde First Grade College, Kundapura, Udupi.</v>
      </c>
      <c r="T896" s="18" t="str">
        <f t="shared" si="27"/>
        <v/>
      </c>
    </row>
    <row r="897" spans="5:20">
      <c r="E897" s="32" t="s">
        <v>87</v>
      </c>
      <c r="F897" s="31"/>
      <c r="G897" s="11" t="s">
        <v>65</v>
      </c>
      <c r="H897" s="23" t="s">
        <v>71</v>
      </c>
      <c r="I897" s="23" t="s">
        <v>88</v>
      </c>
      <c r="J897" s="23" t="s">
        <v>71</v>
      </c>
      <c r="K897" s="23" t="s">
        <v>68</v>
      </c>
      <c r="L897" s="23" t="s">
        <v>71</v>
      </c>
      <c r="M897" s="23" t="s">
        <v>88</v>
      </c>
      <c r="N897" s="23" t="s">
        <v>88</v>
      </c>
      <c r="O897" s="30" t="s">
        <v>88</v>
      </c>
      <c r="P897" s="31"/>
      <c r="Q897" s="11" t="s">
        <v>37</v>
      </c>
      <c r="S897" s="18" t="str">
        <f t="shared" si="26"/>
        <v>00061</v>
      </c>
      <c r="T897" s="18" t="str">
        <f t="shared" si="27"/>
        <v>Total</v>
      </c>
    </row>
    <row r="898" spans="5:20">
      <c r="E898" s="15" t="s">
        <v>72</v>
      </c>
      <c r="F898" s="15" t="s">
        <v>609</v>
      </c>
      <c r="G898" s="11" t="s">
        <v>74</v>
      </c>
      <c r="H898" s="23" t="s">
        <v>75</v>
      </c>
      <c r="I898" s="23" t="s">
        <v>75</v>
      </c>
      <c r="J898" s="23" t="s">
        <v>75</v>
      </c>
      <c r="K898" s="23" t="s">
        <v>75</v>
      </c>
      <c r="L898" s="23" t="s">
        <v>75</v>
      </c>
      <c r="M898" s="23" t="s">
        <v>75</v>
      </c>
      <c r="N898" s="23" t="s">
        <v>75</v>
      </c>
      <c r="O898" s="30" t="s">
        <v>75</v>
      </c>
      <c r="P898" s="31"/>
      <c r="Q898" s="11" t="s">
        <v>37</v>
      </c>
      <c r="S898" s="18" t="str">
        <f t="shared" si="26"/>
        <v>USN</v>
      </c>
      <c r="T898" s="18" t="str">
        <f t="shared" si="27"/>
        <v/>
      </c>
    </row>
    <row r="899" spans="5:20">
      <c r="E899" s="16" t="s">
        <v>37</v>
      </c>
      <c r="F899" s="16" t="s">
        <v>37</v>
      </c>
      <c r="G899" s="16" t="s">
        <v>37</v>
      </c>
      <c r="H899" s="24" t="s">
        <v>37</v>
      </c>
      <c r="I899" s="24" t="s">
        <v>37</v>
      </c>
      <c r="J899" s="24" t="s">
        <v>37</v>
      </c>
      <c r="K899" s="24" t="s">
        <v>37</v>
      </c>
      <c r="L899" s="24" t="s">
        <v>37</v>
      </c>
      <c r="M899" s="24" t="s">
        <v>37</v>
      </c>
      <c r="N899" s="24" t="s">
        <v>37</v>
      </c>
      <c r="O899" s="41" t="s">
        <v>37</v>
      </c>
      <c r="P899" s="28"/>
      <c r="Q899" s="24" t="s">
        <v>37</v>
      </c>
      <c r="S899" s="18" t="str">
        <f t="shared" si="26"/>
        <v>MEERU MOHAMMED SOUBAN</v>
      </c>
      <c r="T899" s="18" t="str">
        <f t="shared" si="27"/>
        <v/>
      </c>
    </row>
    <row r="900" spans="5:20" ht="0" hidden="1" customHeight="1">
      <c r="S900" s="18">
        <f t="shared" si="26"/>
        <v>0</v>
      </c>
      <c r="T900" s="18">
        <f t="shared" si="27"/>
        <v>1</v>
      </c>
    </row>
    <row r="901" spans="5:20" ht="0.6" customHeight="1">
      <c r="S901" s="18">
        <f t="shared" si="26"/>
        <v>0</v>
      </c>
      <c r="T901" s="18">
        <f t="shared" si="27"/>
        <v>25</v>
      </c>
    </row>
    <row r="902" spans="5:20">
      <c r="E902" s="38" t="s">
        <v>35</v>
      </c>
      <c r="F902" s="31"/>
      <c r="G902" s="19" t="s">
        <v>36</v>
      </c>
      <c r="H902" s="20" t="s">
        <v>37</v>
      </c>
      <c r="I902" s="20" t="s">
        <v>37</v>
      </c>
      <c r="J902" s="20" t="s">
        <v>37</v>
      </c>
      <c r="K902" s="20" t="s">
        <v>37</v>
      </c>
      <c r="L902" s="20" t="s">
        <v>37</v>
      </c>
      <c r="M902" s="20" t="s">
        <v>37</v>
      </c>
      <c r="N902" s="20" t="s">
        <v>37</v>
      </c>
      <c r="O902" s="39" t="s">
        <v>37</v>
      </c>
      <c r="P902" s="28"/>
      <c r="Q902" s="20" t="s">
        <v>37</v>
      </c>
      <c r="S902" s="18" t="str">
        <f t="shared" si="26"/>
        <v>SGPA</v>
      </c>
      <c r="T902" s="18" t="str">
        <f t="shared" si="27"/>
        <v/>
      </c>
    </row>
    <row r="903" spans="5:20" ht="21">
      <c r="E903" s="32" t="s">
        <v>610</v>
      </c>
      <c r="F903" s="31"/>
      <c r="G903" s="22" t="s">
        <v>39</v>
      </c>
      <c r="H903" s="22" t="s">
        <v>19</v>
      </c>
      <c r="I903" s="22" t="s">
        <v>9</v>
      </c>
      <c r="J903" s="22" t="s">
        <v>21</v>
      </c>
      <c r="K903" s="22" t="s">
        <v>11</v>
      </c>
      <c r="L903" s="22" t="s">
        <v>15</v>
      </c>
      <c r="M903" s="22" t="s">
        <v>27</v>
      </c>
      <c r="N903" s="22" t="s">
        <v>7</v>
      </c>
      <c r="O903" s="40" t="s">
        <v>31</v>
      </c>
      <c r="P903" s="31"/>
      <c r="Q903" s="22" t="s">
        <v>40</v>
      </c>
      <c r="S903" s="18" t="str">
        <f t="shared" si="26"/>
        <v>CGPA</v>
      </c>
      <c r="T903" s="18">
        <f t="shared" si="27"/>
        <v>160.5</v>
      </c>
    </row>
    <row r="904" spans="5:20" ht="22.5">
      <c r="E904" s="21" t="s">
        <v>41</v>
      </c>
      <c r="F904" s="21" t="s">
        <v>611</v>
      </c>
      <c r="G904" s="11" t="s">
        <v>43</v>
      </c>
      <c r="H904" s="23" t="s">
        <v>612</v>
      </c>
      <c r="I904" s="23" t="s">
        <v>613</v>
      </c>
      <c r="J904" s="23" t="s">
        <v>176</v>
      </c>
      <c r="K904" s="23" t="s">
        <v>614</v>
      </c>
      <c r="L904" s="23" t="s">
        <v>615</v>
      </c>
      <c r="M904" s="23" t="s">
        <v>616</v>
      </c>
      <c r="N904" s="23" t="s">
        <v>550</v>
      </c>
      <c r="O904" s="30" t="s">
        <v>51</v>
      </c>
      <c r="P904" s="31"/>
      <c r="Q904" s="11" t="s">
        <v>37</v>
      </c>
      <c r="S904" s="18" t="str">
        <f t="shared" si="26"/>
        <v>Result: PASS</v>
      </c>
      <c r="T904" s="18">
        <f t="shared" si="27"/>
        <v>418</v>
      </c>
    </row>
    <row r="905" spans="5:20">
      <c r="E905" s="32" t="s">
        <v>617</v>
      </c>
      <c r="F905" s="33"/>
      <c r="G905" s="11" t="s">
        <v>53</v>
      </c>
      <c r="H905" s="23" t="s">
        <v>51</v>
      </c>
      <c r="I905" s="23" t="s">
        <v>51</v>
      </c>
      <c r="J905" s="23" t="s">
        <v>51</v>
      </c>
      <c r="K905" s="23" t="s">
        <v>51</v>
      </c>
      <c r="L905" s="23" t="s">
        <v>51</v>
      </c>
      <c r="M905" s="23" t="s">
        <v>51</v>
      </c>
      <c r="N905" s="23" t="s">
        <v>51</v>
      </c>
      <c r="O905" s="30" t="s">
        <v>86</v>
      </c>
      <c r="P905" s="31"/>
      <c r="Q905" s="11" t="s">
        <v>37</v>
      </c>
      <c r="S905" s="18" t="str">
        <f t="shared" si="26"/>
        <v>Class</v>
      </c>
      <c r="T905" s="18">
        <f t="shared" si="27"/>
        <v>700</v>
      </c>
    </row>
    <row r="906" spans="5:20">
      <c r="E906" s="34"/>
      <c r="F906" s="35"/>
      <c r="G906" s="11" t="s">
        <v>55</v>
      </c>
      <c r="H906" s="23" t="s">
        <v>37</v>
      </c>
      <c r="I906" s="23" t="s">
        <v>37</v>
      </c>
      <c r="J906" s="23" t="s">
        <v>37</v>
      </c>
      <c r="K906" s="23">
        <v>1</v>
      </c>
      <c r="L906" s="23" t="s">
        <v>37</v>
      </c>
      <c r="M906" s="23" t="s">
        <v>37</v>
      </c>
      <c r="N906" s="23" t="s">
        <v>37</v>
      </c>
      <c r="O906" s="30" t="s">
        <v>37</v>
      </c>
      <c r="P906" s="31"/>
      <c r="Q906" s="11">
        <v>1</v>
      </c>
      <c r="S906" s="18" t="str">
        <f t="shared" si="26"/>
        <v>Term Grade: AB</v>
      </c>
      <c r="T906" s="18" t="str">
        <f t="shared" si="27"/>
        <v/>
      </c>
    </row>
    <row r="907" spans="5:20">
      <c r="E907" s="36"/>
      <c r="F907" s="37"/>
      <c r="G907" s="11" t="s">
        <v>56</v>
      </c>
      <c r="H907" s="23">
        <v>4</v>
      </c>
      <c r="I907" s="23">
        <v>4</v>
      </c>
      <c r="J907" s="23">
        <v>4</v>
      </c>
      <c r="K907" s="23">
        <v>3</v>
      </c>
      <c r="L907" s="23">
        <v>3</v>
      </c>
      <c r="M907" s="23">
        <v>3</v>
      </c>
      <c r="N907" s="23">
        <v>2</v>
      </c>
      <c r="O907" s="30">
        <v>2</v>
      </c>
      <c r="P907" s="31"/>
      <c r="Q907" s="11">
        <v>25</v>
      </c>
      <c r="S907" s="18" t="str">
        <f t="shared" si="26"/>
        <v>M.C.No</v>
      </c>
      <c r="T907" s="18" t="str">
        <f t="shared" si="27"/>
        <v/>
      </c>
    </row>
    <row r="908" spans="5:20">
      <c r="E908" s="21" t="s">
        <v>57</v>
      </c>
      <c r="F908" s="21">
        <v>6.42</v>
      </c>
      <c r="G908" s="11" t="s">
        <v>58</v>
      </c>
      <c r="H908" s="23">
        <v>6.5</v>
      </c>
      <c r="I908" s="23">
        <v>8</v>
      </c>
      <c r="J908" s="23">
        <v>5</v>
      </c>
      <c r="K908" s="23">
        <v>4.5</v>
      </c>
      <c r="L908" s="23">
        <v>6</v>
      </c>
      <c r="M908" s="23">
        <v>5</v>
      </c>
      <c r="N908" s="23">
        <v>8</v>
      </c>
      <c r="O908" s="30">
        <v>10</v>
      </c>
      <c r="P908" s="31"/>
      <c r="Q908" s="11" t="s">
        <v>37</v>
      </c>
      <c r="S908" s="18" t="str">
        <f t="shared" ref="S908:S971" si="28">$E914</f>
        <v/>
      </c>
      <c r="T908" s="18" t="str">
        <f t="shared" ref="T908:T971" si="29">$Q914</f>
        <v/>
      </c>
    </row>
    <row r="909" spans="5:20">
      <c r="E909" s="21" t="s">
        <v>59</v>
      </c>
      <c r="F909" s="14">
        <v>6.42</v>
      </c>
      <c r="G909" s="11" t="s">
        <v>60</v>
      </c>
      <c r="H909" s="23">
        <v>26</v>
      </c>
      <c r="I909" s="23">
        <v>32</v>
      </c>
      <c r="J909" s="23">
        <v>20</v>
      </c>
      <c r="K909" s="23">
        <v>13.5</v>
      </c>
      <c r="L909" s="23">
        <v>18</v>
      </c>
      <c r="M909" s="23">
        <v>15</v>
      </c>
      <c r="N909" s="23">
        <v>16</v>
      </c>
      <c r="O909" s="30">
        <v>20</v>
      </c>
      <c r="P909" s="31"/>
      <c r="Q909" s="11">
        <v>160.5</v>
      </c>
      <c r="S909" s="18">
        <f t="shared" si="28"/>
        <v>0</v>
      </c>
      <c r="T909" s="18">
        <f t="shared" si="29"/>
        <v>0</v>
      </c>
    </row>
    <row r="910" spans="5:20">
      <c r="E910" s="32" t="s">
        <v>61</v>
      </c>
      <c r="F910" s="31"/>
      <c r="G910" s="11" t="s">
        <v>40</v>
      </c>
      <c r="H910" s="23">
        <v>61</v>
      </c>
      <c r="I910" s="23">
        <v>78</v>
      </c>
      <c r="J910" s="23">
        <v>48</v>
      </c>
      <c r="K910" s="23">
        <v>42</v>
      </c>
      <c r="L910" s="23">
        <v>55</v>
      </c>
      <c r="M910" s="23">
        <v>48</v>
      </c>
      <c r="N910" s="23">
        <v>38</v>
      </c>
      <c r="O910" s="30">
        <v>48</v>
      </c>
      <c r="P910" s="31"/>
      <c r="Q910" s="11">
        <v>418</v>
      </c>
      <c r="S910" s="18">
        <f t="shared" si="28"/>
        <v>0</v>
      </c>
      <c r="T910" s="18">
        <f t="shared" si="29"/>
        <v>0</v>
      </c>
    </row>
    <row r="911" spans="5:20">
      <c r="E911" s="21" t="s">
        <v>62</v>
      </c>
      <c r="F911" s="21"/>
      <c r="G911" s="11" t="s">
        <v>63</v>
      </c>
      <c r="H911" s="23">
        <v>100</v>
      </c>
      <c r="I911" s="23">
        <v>100</v>
      </c>
      <c r="J911" s="23">
        <v>100</v>
      </c>
      <c r="K911" s="23">
        <v>100</v>
      </c>
      <c r="L911" s="23">
        <v>100</v>
      </c>
      <c r="M911" s="23">
        <v>100</v>
      </c>
      <c r="N911" s="23">
        <v>50</v>
      </c>
      <c r="O911" s="30">
        <v>50</v>
      </c>
      <c r="P911" s="31"/>
      <c r="Q911" s="11">
        <v>700</v>
      </c>
      <c r="S911" s="18" t="str">
        <f t="shared" si="28"/>
        <v>Dr. B.B. Hegde First Grade College, Kundapura, Udupi.</v>
      </c>
      <c r="T911" s="18" t="str">
        <f t="shared" si="29"/>
        <v/>
      </c>
    </row>
    <row r="912" spans="5:20">
      <c r="E912" s="32" t="s">
        <v>273</v>
      </c>
      <c r="F912" s="31"/>
      <c r="G912" s="11" t="s">
        <v>65</v>
      </c>
      <c r="H912" s="23" t="s">
        <v>69</v>
      </c>
      <c r="I912" s="23" t="s">
        <v>102</v>
      </c>
      <c r="J912" s="23" t="s">
        <v>127</v>
      </c>
      <c r="K912" s="23" t="s">
        <v>303</v>
      </c>
      <c r="L912" s="23" t="s">
        <v>103</v>
      </c>
      <c r="M912" s="23" t="s">
        <v>127</v>
      </c>
      <c r="N912" s="23" t="s">
        <v>102</v>
      </c>
      <c r="O912" s="30" t="s">
        <v>88</v>
      </c>
      <c r="P912" s="31"/>
      <c r="Q912" s="11" t="s">
        <v>37</v>
      </c>
      <c r="S912" s="18" t="str">
        <f t="shared" si="28"/>
        <v>00062</v>
      </c>
      <c r="T912" s="18" t="str">
        <f t="shared" si="29"/>
        <v>Total</v>
      </c>
    </row>
    <row r="913" spans="5:20">
      <c r="E913" s="15" t="s">
        <v>72</v>
      </c>
      <c r="F913" s="15" t="s">
        <v>618</v>
      </c>
      <c r="G913" s="11" t="s">
        <v>74</v>
      </c>
      <c r="H913" s="23" t="s">
        <v>75</v>
      </c>
      <c r="I913" s="23" t="s">
        <v>75</v>
      </c>
      <c r="J913" s="23" t="s">
        <v>75</v>
      </c>
      <c r="K913" s="23" t="s">
        <v>75</v>
      </c>
      <c r="L913" s="23" t="s">
        <v>75</v>
      </c>
      <c r="M913" s="23" t="s">
        <v>75</v>
      </c>
      <c r="N913" s="23" t="s">
        <v>75</v>
      </c>
      <c r="O913" s="30" t="s">
        <v>75</v>
      </c>
      <c r="P913" s="31"/>
      <c r="Q913" s="11" t="s">
        <v>37</v>
      </c>
      <c r="S913" s="18" t="str">
        <f t="shared" si="28"/>
        <v>USN</v>
      </c>
      <c r="T913" s="18" t="str">
        <f t="shared" si="29"/>
        <v/>
      </c>
    </row>
    <row r="914" spans="5:20">
      <c r="E914" s="16" t="s">
        <v>37</v>
      </c>
      <c r="F914" s="16" t="s">
        <v>37</v>
      </c>
      <c r="G914" s="16" t="s">
        <v>37</v>
      </c>
      <c r="H914" s="24" t="s">
        <v>37</v>
      </c>
      <c r="I914" s="24" t="s">
        <v>37</v>
      </c>
      <c r="J914" s="24" t="s">
        <v>37</v>
      </c>
      <c r="K914" s="24" t="s">
        <v>37</v>
      </c>
      <c r="L914" s="24" t="s">
        <v>37</v>
      </c>
      <c r="M914" s="24" t="s">
        <v>37</v>
      </c>
      <c r="N914" s="24" t="s">
        <v>37</v>
      </c>
      <c r="O914" s="41" t="s">
        <v>37</v>
      </c>
      <c r="P914" s="28"/>
      <c r="Q914" s="24" t="s">
        <v>37</v>
      </c>
      <c r="S914" s="18" t="str">
        <f t="shared" si="28"/>
        <v>SUSHANTHA SHETTY</v>
      </c>
      <c r="T914" s="18" t="str">
        <f t="shared" si="29"/>
        <v/>
      </c>
    </row>
    <row r="915" spans="5:20" ht="0" hidden="1" customHeight="1">
      <c r="S915" s="18">
        <f t="shared" si="28"/>
        <v>0</v>
      </c>
      <c r="T915" s="18">
        <f t="shared" si="29"/>
        <v>0</v>
      </c>
    </row>
    <row r="916" spans="5:20" ht="0.6" customHeight="1">
      <c r="S916" s="18">
        <f t="shared" si="28"/>
        <v>0</v>
      </c>
      <c r="T916" s="18">
        <f t="shared" si="29"/>
        <v>25</v>
      </c>
    </row>
    <row r="917" spans="5:20">
      <c r="E917" s="38" t="s">
        <v>35</v>
      </c>
      <c r="F917" s="31"/>
      <c r="G917" s="19" t="s">
        <v>36</v>
      </c>
      <c r="H917" s="20" t="s">
        <v>37</v>
      </c>
      <c r="I917" s="20" t="s">
        <v>37</v>
      </c>
      <c r="J917" s="20" t="s">
        <v>37</v>
      </c>
      <c r="K917" s="20" t="s">
        <v>37</v>
      </c>
      <c r="L917" s="20" t="s">
        <v>37</v>
      </c>
      <c r="M917" s="20" t="s">
        <v>37</v>
      </c>
      <c r="N917" s="20" t="s">
        <v>37</v>
      </c>
      <c r="O917" s="39" t="s">
        <v>37</v>
      </c>
      <c r="P917" s="28"/>
      <c r="Q917" s="20" t="s">
        <v>37</v>
      </c>
      <c r="S917" s="18" t="str">
        <f t="shared" si="28"/>
        <v>SGPA</v>
      </c>
      <c r="T917" s="18" t="str">
        <f t="shared" si="29"/>
        <v/>
      </c>
    </row>
    <row r="918" spans="5:20" ht="21">
      <c r="E918" s="32" t="s">
        <v>619</v>
      </c>
      <c r="F918" s="31"/>
      <c r="G918" s="22" t="s">
        <v>39</v>
      </c>
      <c r="H918" s="22" t="s">
        <v>19</v>
      </c>
      <c r="I918" s="22" t="s">
        <v>9</v>
      </c>
      <c r="J918" s="22" t="s">
        <v>21</v>
      </c>
      <c r="K918" s="22" t="s">
        <v>11</v>
      </c>
      <c r="L918" s="22" t="s">
        <v>17</v>
      </c>
      <c r="M918" s="22" t="s">
        <v>27</v>
      </c>
      <c r="N918" s="22" t="s">
        <v>7</v>
      </c>
      <c r="O918" s="40" t="s">
        <v>23</v>
      </c>
      <c r="P918" s="31"/>
      <c r="Q918" s="22" t="s">
        <v>40</v>
      </c>
      <c r="S918" s="18" t="str">
        <f t="shared" si="28"/>
        <v>CGPA</v>
      </c>
      <c r="T918" s="18">
        <f t="shared" si="29"/>
        <v>192</v>
      </c>
    </row>
    <row r="919" spans="5:20" ht="22.5">
      <c r="E919" s="21" t="s">
        <v>41</v>
      </c>
      <c r="F919" s="21" t="s">
        <v>620</v>
      </c>
      <c r="G919" s="11" t="s">
        <v>43</v>
      </c>
      <c r="H919" s="23" t="s">
        <v>234</v>
      </c>
      <c r="I919" s="23" t="s">
        <v>448</v>
      </c>
      <c r="J919" s="23" t="s">
        <v>241</v>
      </c>
      <c r="K919" s="23" t="s">
        <v>621</v>
      </c>
      <c r="L919" s="23" t="s">
        <v>622</v>
      </c>
      <c r="M919" s="23" t="s">
        <v>193</v>
      </c>
      <c r="N919" s="23" t="s">
        <v>176</v>
      </c>
      <c r="O919" s="30" t="s">
        <v>51</v>
      </c>
      <c r="P919" s="31"/>
      <c r="Q919" s="11" t="s">
        <v>37</v>
      </c>
      <c r="S919" s="18" t="str">
        <f t="shared" si="28"/>
        <v>Result: PASS</v>
      </c>
      <c r="T919" s="18">
        <f t="shared" si="29"/>
        <v>515</v>
      </c>
    </row>
    <row r="920" spans="5:20">
      <c r="E920" s="32" t="s">
        <v>623</v>
      </c>
      <c r="F920" s="33"/>
      <c r="G920" s="11" t="s">
        <v>53</v>
      </c>
      <c r="H920" s="23" t="s">
        <v>51</v>
      </c>
      <c r="I920" s="23" t="s">
        <v>51</v>
      </c>
      <c r="J920" s="23" t="s">
        <v>51</v>
      </c>
      <c r="K920" s="23" t="s">
        <v>51</v>
      </c>
      <c r="L920" s="23" t="s">
        <v>51</v>
      </c>
      <c r="M920" s="23" t="s">
        <v>51</v>
      </c>
      <c r="N920" s="23" t="s">
        <v>51</v>
      </c>
      <c r="O920" s="30" t="s">
        <v>259</v>
      </c>
      <c r="P920" s="31"/>
      <c r="Q920" s="11" t="s">
        <v>37</v>
      </c>
      <c r="S920" s="18" t="str">
        <f t="shared" si="28"/>
        <v>Class</v>
      </c>
      <c r="T920" s="18">
        <f t="shared" si="29"/>
        <v>700</v>
      </c>
    </row>
    <row r="921" spans="5:20">
      <c r="E921" s="34"/>
      <c r="F921" s="35"/>
      <c r="G921" s="11" t="s">
        <v>55</v>
      </c>
      <c r="H921" s="23" t="s">
        <v>37</v>
      </c>
      <c r="I921" s="23" t="s">
        <v>37</v>
      </c>
      <c r="J921" s="23" t="s">
        <v>37</v>
      </c>
      <c r="K921" s="23" t="s">
        <v>37</v>
      </c>
      <c r="L921" s="23" t="s">
        <v>37</v>
      </c>
      <c r="M921" s="23" t="s">
        <v>37</v>
      </c>
      <c r="N921" s="23" t="s">
        <v>37</v>
      </c>
      <c r="O921" s="30" t="s">
        <v>37</v>
      </c>
      <c r="P921" s="31"/>
      <c r="Q921" s="11">
        <v>0</v>
      </c>
      <c r="S921" s="18" t="str">
        <f t="shared" si="28"/>
        <v>Term Grade: AA+</v>
      </c>
      <c r="T921" s="18" t="str">
        <f t="shared" si="29"/>
        <v/>
      </c>
    </row>
    <row r="922" spans="5:20">
      <c r="E922" s="36"/>
      <c r="F922" s="37"/>
      <c r="G922" s="11" t="s">
        <v>56</v>
      </c>
      <c r="H922" s="23">
        <v>4</v>
      </c>
      <c r="I922" s="23">
        <v>4</v>
      </c>
      <c r="J922" s="23">
        <v>4</v>
      </c>
      <c r="K922" s="23">
        <v>3</v>
      </c>
      <c r="L922" s="23">
        <v>3</v>
      </c>
      <c r="M922" s="23">
        <v>3</v>
      </c>
      <c r="N922" s="23">
        <v>2</v>
      </c>
      <c r="O922" s="30">
        <v>2</v>
      </c>
      <c r="P922" s="31"/>
      <c r="Q922" s="11">
        <v>25</v>
      </c>
      <c r="S922" s="18" t="str">
        <f t="shared" si="28"/>
        <v>M.C.No</v>
      </c>
      <c r="T922" s="18" t="str">
        <f t="shared" si="29"/>
        <v/>
      </c>
    </row>
    <row r="923" spans="5:20">
      <c r="E923" s="21" t="s">
        <v>57</v>
      </c>
      <c r="F923" s="21">
        <v>7.68</v>
      </c>
      <c r="G923" s="11" t="s">
        <v>58</v>
      </c>
      <c r="H923" s="23">
        <v>7.5</v>
      </c>
      <c r="I923" s="23">
        <v>8</v>
      </c>
      <c r="J923" s="23">
        <v>7.5</v>
      </c>
      <c r="K923" s="23">
        <v>6</v>
      </c>
      <c r="L923" s="23">
        <v>8</v>
      </c>
      <c r="M923" s="23">
        <v>7</v>
      </c>
      <c r="N923" s="23">
        <v>10</v>
      </c>
      <c r="O923" s="30">
        <v>8.5</v>
      </c>
      <c r="P923" s="31"/>
      <c r="Q923" s="11" t="s">
        <v>37</v>
      </c>
      <c r="S923" s="18" t="str">
        <f t="shared" si="28"/>
        <v/>
      </c>
      <c r="T923" s="18" t="str">
        <f t="shared" si="29"/>
        <v/>
      </c>
    </row>
    <row r="924" spans="5:20">
      <c r="E924" s="21" t="s">
        <v>59</v>
      </c>
      <c r="F924" s="14">
        <v>7.68</v>
      </c>
      <c r="G924" s="11" t="s">
        <v>60</v>
      </c>
      <c r="H924" s="23">
        <v>30</v>
      </c>
      <c r="I924" s="23">
        <v>32</v>
      </c>
      <c r="J924" s="23">
        <v>30</v>
      </c>
      <c r="K924" s="23">
        <v>18</v>
      </c>
      <c r="L924" s="23">
        <v>24</v>
      </c>
      <c r="M924" s="23">
        <v>21</v>
      </c>
      <c r="N924" s="23">
        <v>20</v>
      </c>
      <c r="O924" s="30">
        <v>17</v>
      </c>
      <c r="P924" s="31"/>
      <c r="Q924" s="11">
        <v>192</v>
      </c>
      <c r="S924" s="18">
        <f t="shared" si="28"/>
        <v>0</v>
      </c>
      <c r="T924" s="18">
        <f t="shared" si="29"/>
        <v>0</v>
      </c>
    </row>
    <row r="925" spans="5:20">
      <c r="E925" s="32" t="s">
        <v>61</v>
      </c>
      <c r="F925" s="31"/>
      <c r="G925" s="11" t="s">
        <v>40</v>
      </c>
      <c r="H925" s="23">
        <v>72</v>
      </c>
      <c r="I925" s="23">
        <v>77</v>
      </c>
      <c r="J925" s="23">
        <v>74</v>
      </c>
      <c r="K925" s="23">
        <v>55</v>
      </c>
      <c r="L925" s="23">
        <v>79</v>
      </c>
      <c r="M925" s="23">
        <v>68</v>
      </c>
      <c r="N925" s="23">
        <v>48</v>
      </c>
      <c r="O925" s="30">
        <v>42</v>
      </c>
      <c r="P925" s="31"/>
      <c r="Q925" s="11">
        <v>515</v>
      </c>
      <c r="S925" s="18">
        <f t="shared" si="28"/>
        <v>0</v>
      </c>
      <c r="T925" s="18">
        <f t="shared" si="29"/>
        <v>0</v>
      </c>
    </row>
    <row r="926" spans="5:20">
      <c r="E926" s="21" t="s">
        <v>62</v>
      </c>
      <c r="F926" s="21"/>
      <c r="G926" s="11" t="s">
        <v>63</v>
      </c>
      <c r="H926" s="23">
        <v>100</v>
      </c>
      <c r="I926" s="23">
        <v>100</v>
      </c>
      <c r="J926" s="23">
        <v>100</v>
      </c>
      <c r="K926" s="23">
        <v>100</v>
      </c>
      <c r="L926" s="23">
        <v>100</v>
      </c>
      <c r="M926" s="23">
        <v>100</v>
      </c>
      <c r="N926" s="23">
        <v>50</v>
      </c>
      <c r="O926" s="30">
        <v>50</v>
      </c>
      <c r="P926" s="31"/>
      <c r="Q926" s="11">
        <v>700</v>
      </c>
      <c r="S926" s="18" t="str">
        <f t="shared" si="28"/>
        <v>Dr. B.B. Hegde First Grade College, Kundapura, Udupi.</v>
      </c>
      <c r="T926" s="18" t="str">
        <f t="shared" si="29"/>
        <v/>
      </c>
    </row>
    <row r="927" spans="5:20">
      <c r="E927" s="32" t="s">
        <v>64</v>
      </c>
      <c r="F927" s="31"/>
      <c r="G927" s="11" t="s">
        <v>65</v>
      </c>
      <c r="H927" s="23" t="s">
        <v>68</v>
      </c>
      <c r="I927" s="23" t="s">
        <v>102</v>
      </c>
      <c r="J927" s="23" t="s">
        <v>68</v>
      </c>
      <c r="K927" s="23" t="s">
        <v>103</v>
      </c>
      <c r="L927" s="23" t="s">
        <v>102</v>
      </c>
      <c r="M927" s="23" t="s">
        <v>66</v>
      </c>
      <c r="N927" s="23" t="s">
        <v>88</v>
      </c>
      <c r="O927" s="30" t="s">
        <v>70</v>
      </c>
      <c r="P927" s="31"/>
      <c r="Q927" s="11" t="s">
        <v>37</v>
      </c>
      <c r="S927" s="18" t="str">
        <f t="shared" si="28"/>
        <v>00063</v>
      </c>
      <c r="T927" s="18" t="str">
        <f t="shared" si="29"/>
        <v>Total</v>
      </c>
    </row>
    <row r="928" spans="5:20">
      <c r="E928" s="15" t="s">
        <v>72</v>
      </c>
      <c r="F928" s="15" t="s">
        <v>624</v>
      </c>
      <c r="G928" s="11" t="s">
        <v>74</v>
      </c>
      <c r="H928" s="23" t="s">
        <v>75</v>
      </c>
      <c r="I928" s="23" t="s">
        <v>75</v>
      </c>
      <c r="J928" s="23" t="s">
        <v>75</v>
      </c>
      <c r="K928" s="23" t="s">
        <v>75</v>
      </c>
      <c r="L928" s="23" t="s">
        <v>75</v>
      </c>
      <c r="M928" s="23" t="s">
        <v>75</v>
      </c>
      <c r="N928" s="23" t="s">
        <v>75</v>
      </c>
      <c r="O928" s="30" t="s">
        <v>75</v>
      </c>
      <c r="P928" s="31"/>
      <c r="Q928" s="11" t="s">
        <v>37</v>
      </c>
      <c r="S928" s="18" t="str">
        <f t="shared" si="28"/>
        <v>USN</v>
      </c>
      <c r="T928" s="18" t="str">
        <f t="shared" si="29"/>
        <v/>
      </c>
    </row>
    <row r="929" spans="5:20">
      <c r="E929" s="16" t="s">
        <v>37</v>
      </c>
      <c r="F929" s="16" t="s">
        <v>37</v>
      </c>
      <c r="G929" s="16" t="s">
        <v>37</v>
      </c>
      <c r="H929" s="24" t="s">
        <v>37</v>
      </c>
      <c r="I929" s="24" t="s">
        <v>37</v>
      </c>
      <c r="J929" s="24" t="s">
        <v>37</v>
      </c>
      <c r="K929" s="24" t="s">
        <v>37</v>
      </c>
      <c r="L929" s="24" t="s">
        <v>37</v>
      </c>
      <c r="M929" s="24" t="s">
        <v>37</v>
      </c>
      <c r="N929" s="24" t="s">
        <v>37</v>
      </c>
      <c r="O929" s="41" t="s">
        <v>37</v>
      </c>
      <c r="P929" s="28"/>
      <c r="Q929" s="24" t="s">
        <v>37</v>
      </c>
      <c r="S929" s="18" t="str">
        <f t="shared" si="28"/>
        <v>VISHNU</v>
      </c>
      <c r="T929" s="18" t="str">
        <f t="shared" si="29"/>
        <v/>
      </c>
    </row>
    <row r="930" spans="5:20" ht="0" hidden="1" customHeight="1">
      <c r="S930" s="18">
        <f t="shared" si="28"/>
        <v>0</v>
      </c>
      <c r="T930" s="18">
        <f t="shared" si="29"/>
        <v>0</v>
      </c>
    </row>
    <row r="931" spans="5:20" ht="0.6" customHeight="1">
      <c r="S931" s="18">
        <f t="shared" si="28"/>
        <v>0</v>
      </c>
      <c r="T931" s="18">
        <f t="shared" si="29"/>
        <v>25</v>
      </c>
    </row>
    <row r="932" spans="5:20">
      <c r="E932" s="38" t="s">
        <v>35</v>
      </c>
      <c r="F932" s="31"/>
      <c r="G932" s="19" t="s">
        <v>36</v>
      </c>
      <c r="H932" s="20" t="s">
        <v>37</v>
      </c>
      <c r="I932" s="20" t="s">
        <v>37</v>
      </c>
      <c r="J932" s="20" t="s">
        <v>37</v>
      </c>
      <c r="K932" s="20" t="s">
        <v>37</v>
      </c>
      <c r="L932" s="20" t="s">
        <v>37</v>
      </c>
      <c r="M932" s="20" t="s">
        <v>37</v>
      </c>
      <c r="N932" s="20" t="s">
        <v>37</v>
      </c>
      <c r="O932" s="39" t="s">
        <v>37</v>
      </c>
      <c r="P932" s="28"/>
      <c r="Q932" s="20" t="s">
        <v>37</v>
      </c>
      <c r="S932" s="18" t="str">
        <f t="shared" si="28"/>
        <v>SGPA</v>
      </c>
      <c r="T932" s="18" t="str">
        <f t="shared" si="29"/>
        <v/>
      </c>
    </row>
    <row r="933" spans="5:20" ht="21">
      <c r="E933" s="32" t="s">
        <v>625</v>
      </c>
      <c r="F933" s="31"/>
      <c r="G933" s="22" t="s">
        <v>39</v>
      </c>
      <c r="H933" s="22" t="s">
        <v>19</v>
      </c>
      <c r="I933" s="22" t="s">
        <v>9</v>
      </c>
      <c r="J933" s="22" t="s">
        <v>21</v>
      </c>
      <c r="K933" s="22" t="s">
        <v>11</v>
      </c>
      <c r="L933" s="22" t="s">
        <v>17</v>
      </c>
      <c r="M933" s="22" t="s">
        <v>27</v>
      </c>
      <c r="N933" s="22" t="s">
        <v>7</v>
      </c>
      <c r="O933" s="40" t="s">
        <v>23</v>
      </c>
      <c r="P933" s="31"/>
      <c r="Q933" s="22" t="s">
        <v>40</v>
      </c>
      <c r="S933" s="18" t="str">
        <f t="shared" si="28"/>
        <v>CGPA</v>
      </c>
      <c r="T933" s="18">
        <f t="shared" si="29"/>
        <v>153</v>
      </c>
    </row>
    <row r="934" spans="5:20" ht="22.5">
      <c r="E934" s="21" t="s">
        <v>41</v>
      </c>
      <c r="F934" s="21" t="s">
        <v>626</v>
      </c>
      <c r="G934" s="11" t="s">
        <v>43</v>
      </c>
      <c r="H934" s="23" t="s">
        <v>121</v>
      </c>
      <c r="I934" s="23" t="s">
        <v>193</v>
      </c>
      <c r="J934" s="23" t="s">
        <v>564</v>
      </c>
      <c r="K934" s="23" t="s">
        <v>627</v>
      </c>
      <c r="L934" s="23" t="s">
        <v>628</v>
      </c>
      <c r="M934" s="23" t="s">
        <v>629</v>
      </c>
      <c r="N934" s="23" t="s">
        <v>578</v>
      </c>
      <c r="O934" s="30" t="s">
        <v>51</v>
      </c>
      <c r="P934" s="31"/>
      <c r="Q934" s="11" t="s">
        <v>37</v>
      </c>
      <c r="S934" s="18" t="str">
        <f t="shared" si="28"/>
        <v>Result: PASS</v>
      </c>
      <c r="T934" s="18">
        <f t="shared" si="29"/>
        <v>396</v>
      </c>
    </row>
    <row r="935" spans="5:20">
      <c r="E935" s="32" t="s">
        <v>630</v>
      </c>
      <c r="F935" s="33"/>
      <c r="G935" s="11" t="s">
        <v>53</v>
      </c>
      <c r="H935" s="23" t="s">
        <v>51</v>
      </c>
      <c r="I935" s="23" t="s">
        <v>51</v>
      </c>
      <c r="J935" s="23" t="s">
        <v>51</v>
      </c>
      <c r="K935" s="23" t="s">
        <v>51</v>
      </c>
      <c r="L935" s="23" t="s">
        <v>51</v>
      </c>
      <c r="M935" s="23" t="s">
        <v>51</v>
      </c>
      <c r="N935" s="23" t="s">
        <v>51</v>
      </c>
      <c r="O935" s="30" t="s">
        <v>631</v>
      </c>
      <c r="P935" s="31"/>
      <c r="Q935" s="11" t="s">
        <v>37</v>
      </c>
      <c r="S935" s="18" t="str">
        <f t="shared" si="28"/>
        <v>Class</v>
      </c>
      <c r="T935" s="18">
        <f t="shared" si="29"/>
        <v>700</v>
      </c>
    </row>
    <row r="936" spans="5:20">
      <c r="E936" s="34"/>
      <c r="F936" s="35"/>
      <c r="G936" s="11" t="s">
        <v>55</v>
      </c>
      <c r="H936" s="23" t="s">
        <v>37</v>
      </c>
      <c r="I936" s="23" t="s">
        <v>37</v>
      </c>
      <c r="J936" s="23" t="s">
        <v>37</v>
      </c>
      <c r="K936" s="23" t="s">
        <v>37</v>
      </c>
      <c r="L936" s="23" t="s">
        <v>37</v>
      </c>
      <c r="M936" s="23" t="s">
        <v>37</v>
      </c>
      <c r="N936" s="23" t="s">
        <v>37</v>
      </c>
      <c r="O936" s="30" t="s">
        <v>37</v>
      </c>
      <c r="P936" s="31"/>
      <c r="Q936" s="11">
        <v>0</v>
      </c>
      <c r="S936" s="18" t="str">
        <f t="shared" si="28"/>
        <v>Term Grade: AB</v>
      </c>
      <c r="T936" s="18" t="str">
        <f t="shared" si="29"/>
        <v/>
      </c>
    </row>
    <row r="937" spans="5:20">
      <c r="E937" s="36"/>
      <c r="F937" s="37"/>
      <c r="G937" s="11" t="s">
        <v>56</v>
      </c>
      <c r="H937" s="23">
        <v>4</v>
      </c>
      <c r="I937" s="23">
        <v>4</v>
      </c>
      <c r="J937" s="23">
        <v>4</v>
      </c>
      <c r="K937" s="23">
        <v>3</v>
      </c>
      <c r="L937" s="23">
        <v>3</v>
      </c>
      <c r="M937" s="23">
        <v>3</v>
      </c>
      <c r="N937" s="23">
        <v>2</v>
      </c>
      <c r="O937" s="30">
        <v>2</v>
      </c>
      <c r="P937" s="31"/>
      <c r="Q937" s="11">
        <v>25</v>
      </c>
      <c r="S937" s="18" t="str">
        <f t="shared" si="28"/>
        <v>M.C.No</v>
      </c>
      <c r="T937" s="18" t="str">
        <f t="shared" si="29"/>
        <v/>
      </c>
    </row>
    <row r="938" spans="5:20">
      <c r="E938" s="21" t="s">
        <v>57</v>
      </c>
      <c r="F938" s="21">
        <v>6.12</v>
      </c>
      <c r="G938" s="11" t="s">
        <v>58</v>
      </c>
      <c r="H938" s="23">
        <v>7</v>
      </c>
      <c r="I938" s="23">
        <v>7</v>
      </c>
      <c r="J938" s="23">
        <v>5</v>
      </c>
      <c r="K938" s="23">
        <v>5</v>
      </c>
      <c r="L938" s="23">
        <v>5.5</v>
      </c>
      <c r="M938" s="23">
        <v>4.5</v>
      </c>
      <c r="N938" s="23">
        <v>8.5</v>
      </c>
      <c r="O938" s="30">
        <v>7.5</v>
      </c>
      <c r="P938" s="31"/>
      <c r="Q938" s="11" t="s">
        <v>37</v>
      </c>
      <c r="S938" s="18" t="str">
        <f t="shared" si="28"/>
        <v/>
      </c>
      <c r="T938" s="18" t="str">
        <f t="shared" si="29"/>
        <v/>
      </c>
    </row>
    <row r="939" spans="5:20">
      <c r="E939" s="21" t="s">
        <v>59</v>
      </c>
      <c r="F939" s="14">
        <v>6.12</v>
      </c>
      <c r="G939" s="11" t="s">
        <v>60</v>
      </c>
      <c r="H939" s="23">
        <v>28</v>
      </c>
      <c r="I939" s="23">
        <v>28</v>
      </c>
      <c r="J939" s="23">
        <v>20</v>
      </c>
      <c r="K939" s="23">
        <v>15</v>
      </c>
      <c r="L939" s="23">
        <v>16.5</v>
      </c>
      <c r="M939" s="23">
        <v>13.5</v>
      </c>
      <c r="N939" s="23">
        <v>17</v>
      </c>
      <c r="O939" s="30">
        <v>15</v>
      </c>
      <c r="P939" s="31"/>
      <c r="Q939" s="11">
        <v>153</v>
      </c>
      <c r="S939" s="18">
        <f t="shared" si="28"/>
        <v>0</v>
      </c>
      <c r="T939" s="18">
        <f t="shared" si="29"/>
        <v>0</v>
      </c>
    </row>
    <row r="940" spans="5:20">
      <c r="E940" s="32" t="s">
        <v>61</v>
      </c>
      <c r="F940" s="31"/>
      <c r="G940" s="11" t="s">
        <v>40</v>
      </c>
      <c r="H940" s="23">
        <v>65</v>
      </c>
      <c r="I940" s="23">
        <v>68</v>
      </c>
      <c r="J940" s="23">
        <v>49</v>
      </c>
      <c r="K940" s="23">
        <v>45</v>
      </c>
      <c r="L940" s="23">
        <v>50</v>
      </c>
      <c r="M940" s="23">
        <v>41</v>
      </c>
      <c r="N940" s="23">
        <v>42</v>
      </c>
      <c r="O940" s="30">
        <v>36</v>
      </c>
      <c r="P940" s="31"/>
      <c r="Q940" s="11">
        <v>396</v>
      </c>
      <c r="S940" s="18">
        <f t="shared" si="28"/>
        <v>0</v>
      </c>
      <c r="T940" s="18">
        <f t="shared" si="29"/>
        <v>0</v>
      </c>
    </row>
    <row r="941" spans="5:20">
      <c r="E941" s="21" t="s">
        <v>62</v>
      </c>
      <c r="F941" s="21"/>
      <c r="G941" s="11" t="s">
        <v>63</v>
      </c>
      <c r="H941" s="23">
        <v>100</v>
      </c>
      <c r="I941" s="23">
        <v>100</v>
      </c>
      <c r="J941" s="23">
        <v>100</v>
      </c>
      <c r="K941" s="23">
        <v>100</v>
      </c>
      <c r="L941" s="23">
        <v>100</v>
      </c>
      <c r="M941" s="23">
        <v>100</v>
      </c>
      <c r="N941" s="23">
        <v>50</v>
      </c>
      <c r="O941" s="30">
        <v>50</v>
      </c>
      <c r="P941" s="31"/>
      <c r="Q941" s="11">
        <v>700</v>
      </c>
      <c r="S941" s="18" t="str">
        <f t="shared" si="28"/>
        <v>Dr. B.B. Hegde First Grade College, Kundapura, Udupi.</v>
      </c>
      <c r="T941" s="18" t="str">
        <f t="shared" si="29"/>
        <v/>
      </c>
    </row>
    <row r="942" spans="5:20">
      <c r="E942" s="32" t="s">
        <v>273</v>
      </c>
      <c r="F942" s="31"/>
      <c r="G942" s="11" t="s">
        <v>65</v>
      </c>
      <c r="H942" s="23" t="s">
        <v>66</v>
      </c>
      <c r="I942" s="23" t="s">
        <v>66</v>
      </c>
      <c r="J942" s="23" t="s">
        <v>127</v>
      </c>
      <c r="K942" s="23" t="s">
        <v>127</v>
      </c>
      <c r="L942" s="23" t="s">
        <v>138</v>
      </c>
      <c r="M942" s="23" t="s">
        <v>303</v>
      </c>
      <c r="N942" s="23" t="s">
        <v>70</v>
      </c>
      <c r="O942" s="30" t="s">
        <v>68</v>
      </c>
      <c r="P942" s="31"/>
      <c r="Q942" s="11" t="s">
        <v>37</v>
      </c>
      <c r="S942" s="18" t="str">
        <f t="shared" si="28"/>
        <v>00064</v>
      </c>
      <c r="T942" s="18" t="str">
        <f t="shared" si="29"/>
        <v>Total</v>
      </c>
    </row>
    <row r="943" spans="5:20">
      <c r="E943" s="15" t="s">
        <v>72</v>
      </c>
      <c r="F943" s="15" t="s">
        <v>632</v>
      </c>
      <c r="G943" s="11" t="s">
        <v>74</v>
      </c>
      <c r="H943" s="23" t="s">
        <v>75</v>
      </c>
      <c r="I943" s="23" t="s">
        <v>75</v>
      </c>
      <c r="J943" s="23" t="s">
        <v>75</v>
      </c>
      <c r="K943" s="23" t="s">
        <v>75</v>
      </c>
      <c r="L943" s="23" t="s">
        <v>75</v>
      </c>
      <c r="M943" s="23" t="s">
        <v>75</v>
      </c>
      <c r="N943" s="23" t="s">
        <v>75</v>
      </c>
      <c r="O943" s="30" t="s">
        <v>75</v>
      </c>
      <c r="P943" s="31"/>
      <c r="Q943" s="11" t="s">
        <v>37</v>
      </c>
      <c r="S943" s="18" t="str">
        <f t="shared" si="28"/>
        <v>USN</v>
      </c>
      <c r="T943" s="18" t="str">
        <f t="shared" si="29"/>
        <v/>
      </c>
    </row>
    <row r="944" spans="5:20">
      <c r="E944" s="16" t="s">
        <v>37</v>
      </c>
      <c r="F944" s="16" t="s">
        <v>37</v>
      </c>
      <c r="G944" s="16" t="s">
        <v>37</v>
      </c>
      <c r="H944" s="24" t="s">
        <v>37</v>
      </c>
      <c r="I944" s="24" t="s">
        <v>37</v>
      </c>
      <c r="J944" s="24" t="s">
        <v>37</v>
      </c>
      <c r="K944" s="24" t="s">
        <v>37</v>
      </c>
      <c r="L944" s="24" t="s">
        <v>37</v>
      </c>
      <c r="M944" s="24" t="s">
        <v>37</v>
      </c>
      <c r="N944" s="24" t="s">
        <v>37</v>
      </c>
      <c r="O944" s="41" t="s">
        <v>37</v>
      </c>
      <c r="P944" s="28"/>
      <c r="Q944" s="24" t="s">
        <v>37</v>
      </c>
      <c r="S944" s="18" t="str">
        <f t="shared" si="28"/>
        <v>SAGAR</v>
      </c>
      <c r="T944" s="18" t="str">
        <f t="shared" si="29"/>
        <v/>
      </c>
    </row>
    <row r="945" spans="5:20" ht="0" hidden="1" customHeight="1">
      <c r="S945" s="18">
        <f t="shared" si="28"/>
        <v>0</v>
      </c>
      <c r="T945" s="18">
        <f t="shared" si="29"/>
        <v>0</v>
      </c>
    </row>
    <row r="946" spans="5:20" ht="0.6" customHeight="1">
      <c r="S946" s="18">
        <f t="shared" si="28"/>
        <v>0</v>
      </c>
      <c r="T946" s="18">
        <f t="shared" si="29"/>
        <v>25</v>
      </c>
    </row>
    <row r="947" spans="5:20">
      <c r="E947" s="38" t="s">
        <v>35</v>
      </c>
      <c r="F947" s="31"/>
      <c r="G947" s="19" t="s">
        <v>36</v>
      </c>
      <c r="H947" s="20" t="s">
        <v>37</v>
      </c>
      <c r="I947" s="20" t="s">
        <v>37</v>
      </c>
      <c r="J947" s="20" t="s">
        <v>37</v>
      </c>
      <c r="K947" s="20" t="s">
        <v>37</v>
      </c>
      <c r="L947" s="20" t="s">
        <v>37</v>
      </c>
      <c r="M947" s="20" t="s">
        <v>37</v>
      </c>
      <c r="N947" s="20" t="s">
        <v>37</v>
      </c>
      <c r="O947" s="39" t="s">
        <v>37</v>
      </c>
      <c r="P947" s="28"/>
      <c r="Q947" s="20" t="s">
        <v>37</v>
      </c>
      <c r="S947" s="18" t="str">
        <f t="shared" si="28"/>
        <v>SGPA</v>
      </c>
      <c r="T947" s="18" t="str">
        <f t="shared" si="29"/>
        <v/>
      </c>
    </row>
    <row r="948" spans="5:20" ht="21">
      <c r="E948" s="32" t="s">
        <v>633</v>
      </c>
      <c r="F948" s="31"/>
      <c r="G948" s="22" t="s">
        <v>39</v>
      </c>
      <c r="H948" s="22" t="s">
        <v>19</v>
      </c>
      <c r="I948" s="22" t="s">
        <v>9</v>
      </c>
      <c r="J948" s="22" t="s">
        <v>21</v>
      </c>
      <c r="K948" s="22" t="s">
        <v>11</v>
      </c>
      <c r="L948" s="22" t="s">
        <v>17</v>
      </c>
      <c r="M948" s="22" t="s">
        <v>27</v>
      </c>
      <c r="N948" s="22" t="s">
        <v>7</v>
      </c>
      <c r="O948" s="40" t="s">
        <v>33</v>
      </c>
      <c r="P948" s="31"/>
      <c r="Q948" s="22" t="s">
        <v>40</v>
      </c>
      <c r="S948" s="18" t="str">
        <f t="shared" si="28"/>
        <v>CGPA</v>
      </c>
      <c r="T948" s="18">
        <f t="shared" si="29"/>
        <v>223</v>
      </c>
    </row>
    <row r="949" spans="5:20" ht="22.5">
      <c r="E949" s="21" t="s">
        <v>41</v>
      </c>
      <c r="F949" s="21" t="s">
        <v>634</v>
      </c>
      <c r="G949" s="11" t="s">
        <v>43</v>
      </c>
      <c r="H949" s="23" t="s">
        <v>323</v>
      </c>
      <c r="I949" s="23" t="s">
        <v>183</v>
      </c>
      <c r="J949" s="23" t="s">
        <v>635</v>
      </c>
      <c r="K949" s="23" t="s">
        <v>132</v>
      </c>
      <c r="L949" s="23" t="s">
        <v>636</v>
      </c>
      <c r="M949" s="23" t="s">
        <v>80</v>
      </c>
      <c r="N949" s="23" t="s">
        <v>50</v>
      </c>
      <c r="O949" s="30" t="s">
        <v>51</v>
      </c>
      <c r="P949" s="31"/>
      <c r="Q949" s="11" t="s">
        <v>37</v>
      </c>
      <c r="S949" s="18" t="str">
        <f t="shared" si="28"/>
        <v>Result: PASS</v>
      </c>
      <c r="T949" s="18">
        <f t="shared" si="29"/>
        <v>601</v>
      </c>
    </row>
    <row r="950" spans="5:20">
      <c r="E950" s="32" t="s">
        <v>637</v>
      </c>
      <c r="F950" s="33"/>
      <c r="G950" s="11" t="s">
        <v>53</v>
      </c>
      <c r="H950" s="23" t="s">
        <v>51</v>
      </c>
      <c r="I950" s="23" t="s">
        <v>51</v>
      </c>
      <c r="J950" s="23" t="s">
        <v>51</v>
      </c>
      <c r="K950" s="23" t="s">
        <v>51</v>
      </c>
      <c r="L950" s="23" t="s">
        <v>51</v>
      </c>
      <c r="M950" s="23" t="s">
        <v>51</v>
      </c>
      <c r="N950" s="23" t="s">
        <v>51</v>
      </c>
      <c r="O950" s="30" t="s">
        <v>54</v>
      </c>
      <c r="P950" s="31"/>
      <c r="Q950" s="11" t="s">
        <v>37</v>
      </c>
      <c r="S950" s="18" t="str">
        <f t="shared" si="28"/>
        <v>Class</v>
      </c>
      <c r="T950" s="18">
        <f t="shared" si="29"/>
        <v>700</v>
      </c>
    </row>
    <row r="951" spans="5:20">
      <c r="E951" s="34"/>
      <c r="F951" s="35"/>
      <c r="G951" s="11" t="s">
        <v>55</v>
      </c>
      <c r="H951" s="23" t="s">
        <v>37</v>
      </c>
      <c r="I951" s="23" t="s">
        <v>37</v>
      </c>
      <c r="J951" s="23" t="s">
        <v>37</v>
      </c>
      <c r="K951" s="23" t="s">
        <v>37</v>
      </c>
      <c r="L951" s="23" t="s">
        <v>37</v>
      </c>
      <c r="M951" s="23" t="s">
        <v>37</v>
      </c>
      <c r="N951" s="23" t="s">
        <v>37</v>
      </c>
      <c r="O951" s="30" t="s">
        <v>37</v>
      </c>
      <c r="P951" s="31"/>
      <c r="Q951" s="11">
        <v>0</v>
      </c>
      <c r="S951" s="18" t="str">
        <f t="shared" si="28"/>
        <v>Term Grade: OA+</v>
      </c>
      <c r="T951" s="18" t="str">
        <f t="shared" si="29"/>
        <v/>
      </c>
    </row>
    <row r="952" spans="5:20">
      <c r="E952" s="36"/>
      <c r="F952" s="37"/>
      <c r="G952" s="11" t="s">
        <v>56</v>
      </c>
      <c r="H952" s="23">
        <v>4</v>
      </c>
      <c r="I952" s="23">
        <v>4</v>
      </c>
      <c r="J952" s="23">
        <v>4</v>
      </c>
      <c r="K952" s="23">
        <v>3</v>
      </c>
      <c r="L952" s="23">
        <v>3</v>
      </c>
      <c r="M952" s="23">
        <v>3</v>
      </c>
      <c r="N952" s="23">
        <v>2</v>
      </c>
      <c r="O952" s="30">
        <v>2</v>
      </c>
      <c r="P952" s="31"/>
      <c r="Q952" s="11">
        <v>25</v>
      </c>
      <c r="S952" s="18" t="str">
        <f t="shared" si="28"/>
        <v>M.C.No</v>
      </c>
      <c r="T952" s="18" t="str">
        <f t="shared" si="29"/>
        <v/>
      </c>
    </row>
    <row r="953" spans="5:20">
      <c r="E953" s="21" t="s">
        <v>57</v>
      </c>
      <c r="F953" s="21">
        <v>8.92</v>
      </c>
      <c r="G953" s="11" t="s">
        <v>58</v>
      </c>
      <c r="H953" s="23">
        <v>9</v>
      </c>
      <c r="I953" s="23">
        <v>9.5</v>
      </c>
      <c r="J953" s="23">
        <v>9</v>
      </c>
      <c r="K953" s="23">
        <v>7.5</v>
      </c>
      <c r="L953" s="23">
        <v>8.5</v>
      </c>
      <c r="M953" s="23">
        <v>9</v>
      </c>
      <c r="N953" s="23">
        <v>9.5</v>
      </c>
      <c r="O953" s="30">
        <v>9.5</v>
      </c>
      <c r="P953" s="31"/>
      <c r="Q953" s="11" t="s">
        <v>37</v>
      </c>
      <c r="S953" s="18" t="str">
        <f t="shared" si="28"/>
        <v/>
      </c>
      <c r="T953" s="18" t="str">
        <f t="shared" si="29"/>
        <v/>
      </c>
    </row>
    <row r="954" spans="5:20">
      <c r="E954" s="21" t="s">
        <v>59</v>
      </c>
      <c r="F954" s="14">
        <v>8.92</v>
      </c>
      <c r="G954" s="11" t="s">
        <v>60</v>
      </c>
      <c r="H954" s="23">
        <v>36</v>
      </c>
      <c r="I954" s="23">
        <v>38</v>
      </c>
      <c r="J954" s="23">
        <v>36</v>
      </c>
      <c r="K954" s="23">
        <v>22.5</v>
      </c>
      <c r="L954" s="23">
        <v>25.5</v>
      </c>
      <c r="M954" s="23">
        <v>27</v>
      </c>
      <c r="N954" s="23">
        <v>19</v>
      </c>
      <c r="O954" s="30">
        <v>19</v>
      </c>
      <c r="P954" s="31"/>
      <c r="Q954" s="11">
        <v>223</v>
      </c>
      <c r="S954" s="18">
        <f t="shared" si="28"/>
        <v>0</v>
      </c>
      <c r="T954" s="18">
        <f t="shared" si="29"/>
        <v>0</v>
      </c>
    </row>
    <row r="955" spans="5:20">
      <c r="E955" s="32" t="s">
        <v>61</v>
      </c>
      <c r="F955" s="31"/>
      <c r="G955" s="11" t="s">
        <v>40</v>
      </c>
      <c r="H955" s="23">
        <v>85</v>
      </c>
      <c r="I955" s="23">
        <v>94</v>
      </c>
      <c r="J955" s="23">
        <v>88</v>
      </c>
      <c r="K955" s="23">
        <v>73</v>
      </c>
      <c r="L955" s="23">
        <v>83</v>
      </c>
      <c r="M955" s="23">
        <v>88</v>
      </c>
      <c r="N955" s="23">
        <v>45</v>
      </c>
      <c r="O955" s="30">
        <v>45</v>
      </c>
      <c r="P955" s="31"/>
      <c r="Q955" s="11">
        <v>601</v>
      </c>
      <c r="S955" s="18">
        <f t="shared" si="28"/>
        <v>0</v>
      </c>
      <c r="T955" s="18">
        <f t="shared" si="29"/>
        <v>0</v>
      </c>
    </row>
    <row r="956" spans="5:20">
      <c r="E956" s="21" t="s">
        <v>62</v>
      </c>
      <c r="F956" s="21"/>
      <c r="G956" s="11" t="s">
        <v>63</v>
      </c>
      <c r="H956" s="23">
        <v>100</v>
      </c>
      <c r="I956" s="23">
        <v>100</v>
      </c>
      <c r="J956" s="23">
        <v>100</v>
      </c>
      <c r="K956" s="23">
        <v>100</v>
      </c>
      <c r="L956" s="23">
        <v>100</v>
      </c>
      <c r="M956" s="23">
        <v>100</v>
      </c>
      <c r="N956" s="23">
        <v>50</v>
      </c>
      <c r="O956" s="30">
        <v>50</v>
      </c>
      <c r="P956" s="31"/>
      <c r="Q956" s="11">
        <v>700</v>
      </c>
      <c r="S956" s="18" t="str">
        <f t="shared" si="28"/>
        <v>Dr. B.B. Hegde First Grade College, Kundapura, Udupi.</v>
      </c>
      <c r="T956" s="18" t="str">
        <f t="shared" si="29"/>
        <v/>
      </c>
    </row>
    <row r="957" spans="5:20">
      <c r="E957" s="32" t="s">
        <v>188</v>
      </c>
      <c r="F957" s="31"/>
      <c r="G957" s="11" t="s">
        <v>65</v>
      </c>
      <c r="H957" s="23" t="s">
        <v>67</v>
      </c>
      <c r="I957" s="23" t="s">
        <v>71</v>
      </c>
      <c r="J957" s="23" t="s">
        <v>67</v>
      </c>
      <c r="K957" s="23" t="s">
        <v>68</v>
      </c>
      <c r="L957" s="23" t="s">
        <v>70</v>
      </c>
      <c r="M957" s="23" t="s">
        <v>67</v>
      </c>
      <c r="N957" s="23" t="s">
        <v>71</v>
      </c>
      <c r="O957" s="30" t="s">
        <v>71</v>
      </c>
      <c r="P957" s="31"/>
      <c r="Q957" s="11" t="s">
        <v>37</v>
      </c>
      <c r="S957" s="18" t="str">
        <f t="shared" si="28"/>
        <v>00065</v>
      </c>
      <c r="T957" s="18" t="str">
        <f t="shared" si="29"/>
        <v>Total</v>
      </c>
    </row>
    <row r="958" spans="5:20">
      <c r="E958" s="15" t="s">
        <v>72</v>
      </c>
      <c r="F958" s="15" t="s">
        <v>638</v>
      </c>
      <c r="G958" s="11" t="s">
        <v>74</v>
      </c>
      <c r="H958" s="23" t="s">
        <v>75</v>
      </c>
      <c r="I958" s="23" t="s">
        <v>75</v>
      </c>
      <c r="J958" s="23" t="s">
        <v>75</v>
      </c>
      <c r="K958" s="23" t="s">
        <v>75</v>
      </c>
      <c r="L958" s="23" t="s">
        <v>75</v>
      </c>
      <c r="M958" s="23" t="s">
        <v>75</v>
      </c>
      <c r="N958" s="23" t="s">
        <v>75</v>
      </c>
      <c r="O958" s="30" t="s">
        <v>75</v>
      </c>
      <c r="P958" s="31"/>
      <c r="Q958" s="11" t="s">
        <v>37</v>
      </c>
      <c r="S958" s="18" t="str">
        <f t="shared" si="28"/>
        <v>USN</v>
      </c>
      <c r="T958" s="18" t="str">
        <f t="shared" si="29"/>
        <v/>
      </c>
    </row>
    <row r="959" spans="5:20">
      <c r="E959" s="16" t="s">
        <v>37</v>
      </c>
      <c r="F959" s="16" t="s">
        <v>37</v>
      </c>
      <c r="G959" s="16" t="s">
        <v>37</v>
      </c>
      <c r="H959" s="24" t="s">
        <v>37</v>
      </c>
      <c r="I959" s="24" t="s">
        <v>37</v>
      </c>
      <c r="J959" s="24" t="s">
        <v>37</v>
      </c>
      <c r="K959" s="24" t="s">
        <v>37</v>
      </c>
      <c r="L959" s="24" t="s">
        <v>37</v>
      </c>
      <c r="M959" s="24" t="s">
        <v>37</v>
      </c>
      <c r="N959" s="24" t="s">
        <v>37</v>
      </c>
      <c r="O959" s="41" t="s">
        <v>37</v>
      </c>
      <c r="P959" s="28"/>
      <c r="Q959" s="24" t="s">
        <v>37</v>
      </c>
      <c r="S959" s="18" t="str">
        <f t="shared" si="28"/>
        <v>SRAJAN S K</v>
      </c>
      <c r="T959" s="18" t="str">
        <f t="shared" si="29"/>
        <v/>
      </c>
    </row>
    <row r="960" spans="5:20" ht="0" hidden="1" customHeight="1">
      <c r="S960" s="18">
        <f t="shared" si="28"/>
        <v>0</v>
      </c>
      <c r="T960" s="18">
        <f t="shared" si="29"/>
        <v>0</v>
      </c>
    </row>
    <row r="961" spans="5:20" ht="0.6" customHeight="1">
      <c r="S961" s="18">
        <f t="shared" si="28"/>
        <v>0</v>
      </c>
      <c r="T961" s="18">
        <f t="shared" si="29"/>
        <v>25</v>
      </c>
    </row>
    <row r="962" spans="5:20">
      <c r="E962" s="38" t="s">
        <v>35</v>
      </c>
      <c r="F962" s="31"/>
      <c r="G962" s="19" t="s">
        <v>36</v>
      </c>
      <c r="H962" s="20" t="s">
        <v>37</v>
      </c>
      <c r="I962" s="20" t="s">
        <v>37</v>
      </c>
      <c r="J962" s="20" t="s">
        <v>37</v>
      </c>
      <c r="K962" s="20" t="s">
        <v>37</v>
      </c>
      <c r="L962" s="20" t="s">
        <v>37</v>
      </c>
      <c r="M962" s="20" t="s">
        <v>37</v>
      </c>
      <c r="N962" s="20" t="s">
        <v>37</v>
      </c>
      <c r="O962" s="39" t="s">
        <v>37</v>
      </c>
      <c r="P962" s="28"/>
      <c r="Q962" s="20" t="s">
        <v>37</v>
      </c>
      <c r="S962" s="18" t="str">
        <f t="shared" si="28"/>
        <v>SGPA</v>
      </c>
      <c r="T962" s="18" t="str">
        <f t="shared" si="29"/>
        <v/>
      </c>
    </row>
    <row r="963" spans="5:20" ht="21">
      <c r="E963" s="32" t="s">
        <v>639</v>
      </c>
      <c r="F963" s="31"/>
      <c r="G963" s="22" t="s">
        <v>39</v>
      </c>
      <c r="H963" s="22" t="s">
        <v>19</v>
      </c>
      <c r="I963" s="22" t="s">
        <v>9</v>
      </c>
      <c r="J963" s="22" t="s">
        <v>21</v>
      </c>
      <c r="K963" s="22" t="s">
        <v>11</v>
      </c>
      <c r="L963" s="22" t="s">
        <v>17</v>
      </c>
      <c r="M963" s="22" t="s">
        <v>27</v>
      </c>
      <c r="N963" s="22" t="s">
        <v>7</v>
      </c>
      <c r="O963" s="40" t="s">
        <v>33</v>
      </c>
      <c r="P963" s="31"/>
      <c r="Q963" s="22" t="s">
        <v>40</v>
      </c>
      <c r="S963" s="18" t="str">
        <f t="shared" si="28"/>
        <v>CGPA</v>
      </c>
      <c r="T963" s="18">
        <f t="shared" si="29"/>
        <v>222</v>
      </c>
    </row>
    <row r="964" spans="5:20" ht="22.5">
      <c r="E964" s="21" t="s">
        <v>41</v>
      </c>
      <c r="F964" s="21" t="s">
        <v>640</v>
      </c>
      <c r="G964" s="11" t="s">
        <v>43</v>
      </c>
      <c r="H964" s="23" t="s">
        <v>172</v>
      </c>
      <c r="I964" s="23" t="s">
        <v>223</v>
      </c>
      <c r="J964" s="23" t="s">
        <v>641</v>
      </c>
      <c r="K964" s="23" t="s">
        <v>642</v>
      </c>
      <c r="L964" s="23" t="s">
        <v>540</v>
      </c>
      <c r="M964" s="23" t="s">
        <v>643</v>
      </c>
      <c r="N964" s="23" t="s">
        <v>147</v>
      </c>
      <c r="O964" s="30" t="s">
        <v>51</v>
      </c>
      <c r="P964" s="31"/>
      <c r="Q964" s="11" t="s">
        <v>37</v>
      </c>
      <c r="S964" s="18" t="str">
        <f t="shared" si="28"/>
        <v>Result: PASS</v>
      </c>
      <c r="T964" s="18">
        <f t="shared" si="29"/>
        <v>603</v>
      </c>
    </row>
    <row r="965" spans="5:20">
      <c r="E965" s="32" t="s">
        <v>644</v>
      </c>
      <c r="F965" s="33"/>
      <c r="G965" s="11" t="s">
        <v>53</v>
      </c>
      <c r="H965" s="23" t="s">
        <v>51</v>
      </c>
      <c r="I965" s="23" t="s">
        <v>51</v>
      </c>
      <c r="J965" s="23" t="s">
        <v>51</v>
      </c>
      <c r="K965" s="23" t="s">
        <v>51</v>
      </c>
      <c r="L965" s="23" t="s">
        <v>51</v>
      </c>
      <c r="M965" s="23" t="s">
        <v>51</v>
      </c>
      <c r="N965" s="23" t="s">
        <v>51</v>
      </c>
      <c r="O965" s="30" t="s">
        <v>54</v>
      </c>
      <c r="P965" s="31"/>
      <c r="Q965" s="11" t="s">
        <v>37</v>
      </c>
      <c r="S965" s="18" t="str">
        <f t="shared" si="28"/>
        <v>Class</v>
      </c>
      <c r="T965" s="18">
        <f t="shared" si="29"/>
        <v>700</v>
      </c>
    </row>
    <row r="966" spans="5:20">
      <c r="E966" s="34"/>
      <c r="F966" s="35"/>
      <c r="G966" s="11" t="s">
        <v>55</v>
      </c>
      <c r="H966" s="23" t="s">
        <v>37</v>
      </c>
      <c r="I966" s="23" t="s">
        <v>37</v>
      </c>
      <c r="J966" s="23" t="s">
        <v>37</v>
      </c>
      <c r="K966" s="23" t="s">
        <v>37</v>
      </c>
      <c r="L966" s="23" t="s">
        <v>37</v>
      </c>
      <c r="M966" s="23" t="s">
        <v>37</v>
      </c>
      <c r="N966" s="23" t="s">
        <v>37</v>
      </c>
      <c r="O966" s="30" t="s">
        <v>37</v>
      </c>
      <c r="P966" s="31"/>
      <c r="Q966" s="11">
        <v>0</v>
      </c>
      <c r="S966" s="18" t="str">
        <f t="shared" si="28"/>
        <v>Term Grade: OA+</v>
      </c>
      <c r="T966" s="18" t="str">
        <f t="shared" si="29"/>
        <v/>
      </c>
    </row>
    <row r="967" spans="5:20">
      <c r="E967" s="36"/>
      <c r="F967" s="37"/>
      <c r="G967" s="11" t="s">
        <v>56</v>
      </c>
      <c r="H967" s="23">
        <v>4</v>
      </c>
      <c r="I967" s="23">
        <v>4</v>
      </c>
      <c r="J967" s="23">
        <v>4</v>
      </c>
      <c r="K967" s="23">
        <v>3</v>
      </c>
      <c r="L967" s="23">
        <v>3</v>
      </c>
      <c r="M967" s="23">
        <v>3</v>
      </c>
      <c r="N967" s="23">
        <v>2</v>
      </c>
      <c r="O967" s="30">
        <v>2</v>
      </c>
      <c r="P967" s="31"/>
      <c r="Q967" s="11">
        <v>25</v>
      </c>
      <c r="S967" s="18" t="str">
        <f t="shared" si="28"/>
        <v>M.C.No</v>
      </c>
      <c r="T967" s="18" t="str">
        <f t="shared" si="29"/>
        <v/>
      </c>
    </row>
    <row r="968" spans="5:20">
      <c r="E968" s="21" t="s">
        <v>57</v>
      </c>
      <c r="F968" s="21">
        <v>8.8800000000000008</v>
      </c>
      <c r="G968" s="11" t="s">
        <v>58</v>
      </c>
      <c r="H968" s="23">
        <v>8.5</v>
      </c>
      <c r="I968" s="23">
        <v>9.5</v>
      </c>
      <c r="J968" s="23">
        <v>9</v>
      </c>
      <c r="K968" s="23">
        <v>6.5</v>
      </c>
      <c r="L968" s="23">
        <v>9.5</v>
      </c>
      <c r="M968" s="23">
        <v>9</v>
      </c>
      <c r="N968" s="23">
        <v>10</v>
      </c>
      <c r="O968" s="30">
        <v>9.5</v>
      </c>
      <c r="P968" s="31"/>
      <c r="Q968" s="11" t="s">
        <v>37</v>
      </c>
      <c r="S968" s="18" t="str">
        <f t="shared" si="28"/>
        <v/>
      </c>
      <c r="T968" s="18" t="str">
        <f t="shared" si="29"/>
        <v/>
      </c>
    </row>
    <row r="969" spans="5:20">
      <c r="E969" s="21" t="s">
        <v>59</v>
      </c>
      <c r="F969" s="14">
        <v>8.8800000000000008</v>
      </c>
      <c r="G969" s="11" t="s">
        <v>60</v>
      </c>
      <c r="H969" s="23">
        <v>34</v>
      </c>
      <c r="I969" s="23">
        <v>38</v>
      </c>
      <c r="J969" s="23">
        <v>36</v>
      </c>
      <c r="K969" s="23">
        <v>19.5</v>
      </c>
      <c r="L969" s="23">
        <v>28.5</v>
      </c>
      <c r="M969" s="23">
        <v>27</v>
      </c>
      <c r="N969" s="23">
        <v>20</v>
      </c>
      <c r="O969" s="30">
        <v>19</v>
      </c>
      <c r="P969" s="31"/>
      <c r="Q969" s="11">
        <v>222</v>
      </c>
      <c r="S969" s="18">
        <f t="shared" si="28"/>
        <v>0</v>
      </c>
      <c r="T969" s="18">
        <f t="shared" si="29"/>
        <v>0</v>
      </c>
    </row>
    <row r="970" spans="5:20">
      <c r="E970" s="32" t="s">
        <v>61</v>
      </c>
      <c r="F970" s="31"/>
      <c r="G970" s="11" t="s">
        <v>40</v>
      </c>
      <c r="H970" s="23">
        <v>84</v>
      </c>
      <c r="I970" s="23">
        <v>93</v>
      </c>
      <c r="J970" s="23">
        <v>87</v>
      </c>
      <c r="K970" s="23">
        <v>64</v>
      </c>
      <c r="L970" s="23">
        <v>93</v>
      </c>
      <c r="M970" s="23">
        <v>89</v>
      </c>
      <c r="N970" s="23">
        <v>48</v>
      </c>
      <c r="O970" s="30">
        <v>45</v>
      </c>
      <c r="P970" s="31"/>
      <c r="Q970" s="11">
        <v>603</v>
      </c>
      <c r="S970" s="18">
        <f t="shared" si="28"/>
        <v>0</v>
      </c>
      <c r="T970" s="18">
        <f t="shared" si="29"/>
        <v>0</v>
      </c>
    </row>
    <row r="971" spans="5:20">
      <c r="E971" s="21" t="s">
        <v>62</v>
      </c>
      <c r="F971" s="21"/>
      <c r="G971" s="11" t="s">
        <v>63</v>
      </c>
      <c r="H971" s="23">
        <v>100</v>
      </c>
      <c r="I971" s="23">
        <v>100</v>
      </c>
      <c r="J971" s="23">
        <v>100</v>
      </c>
      <c r="K971" s="23">
        <v>100</v>
      </c>
      <c r="L971" s="23">
        <v>100</v>
      </c>
      <c r="M971" s="23">
        <v>100</v>
      </c>
      <c r="N971" s="23">
        <v>50</v>
      </c>
      <c r="O971" s="30">
        <v>50</v>
      </c>
      <c r="P971" s="31"/>
      <c r="Q971" s="11">
        <v>700</v>
      </c>
      <c r="S971" s="18">
        <f t="shared" si="28"/>
        <v>0</v>
      </c>
      <c r="T971" s="18">
        <f t="shared" si="29"/>
        <v>0</v>
      </c>
    </row>
    <row r="972" spans="5:20">
      <c r="E972" s="32" t="s">
        <v>188</v>
      </c>
      <c r="F972" s="31"/>
      <c r="G972" s="11" t="s">
        <v>65</v>
      </c>
      <c r="H972" s="23" t="s">
        <v>70</v>
      </c>
      <c r="I972" s="23" t="s">
        <v>71</v>
      </c>
      <c r="J972" s="23" t="s">
        <v>67</v>
      </c>
      <c r="K972" s="23" t="s">
        <v>69</v>
      </c>
      <c r="L972" s="23" t="s">
        <v>71</v>
      </c>
      <c r="M972" s="23" t="s">
        <v>67</v>
      </c>
      <c r="N972" s="23" t="s">
        <v>88</v>
      </c>
      <c r="O972" s="30" t="s">
        <v>71</v>
      </c>
      <c r="P972" s="31"/>
      <c r="Q972" s="11" t="s">
        <v>37</v>
      </c>
      <c r="S972" s="18">
        <f t="shared" ref="S972:S973" si="30">$E978</f>
        <v>0</v>
      </c>
      <c r="T972" s="18">
        <f t="shared" ref="T972:T973" si="31">$Q978</f>
        <v>0</v>
      </c>
    </row>
    <row r="973" spans="5:20">
      <c r="E973" s="15" t="s">
        <v>72</v>
      </c>
      <c r="F973" s="15" t="s">
        <v>645</v>
      </c>
      <c r="G973" s="11" t="s">
        <v>74</v>
      </c>
      <c r="H973" s="23" t="s">
        <v>75</v>
      </c>
      <c r="I973" s="23" t="s">
        <v>75</v>
      </c>
      <c r="J973" s="23" t="s">
        <v>75</v>
      </c>
      <c r="K973" s="23" t="s">
        <v>75</v>
      </c>
      <c r="L973" s="23" t="s">
        <v>75</v>
      </c>
      <c r="M973" s="23" t="s">
        <v>75</v>
      </c>
      <c r="N973" s="23" t="s">
        <v>75</v>
      </c>
      <c r="O973" s="30" t="s">
        <v>75</v>
      </c>
      <c r="P973" s="31"/>
      <c r="Q973" s="11" t="s">
        <v>37</v>
      </c>
      <c r="S973" s="18">
        <f t="shared" si="30"/>
        <v>0</v>
      </c>
      <c r="T973" s="18">
        <f t="shared" si="31"/>
        <v>0</v>
      </c>
    </row>
    <row r="974" spans="5:20">
      <c r="E974" s="16" t="s">
        <v>37</v>
      </c>
      <c r="F974" s="16" t="s">
        <v>37</v>
      </c>
      <c r="G974" s="16" t="s">
        <v>37</v>
      </c>
      <c r="H974" s="24" t="s">
        <v>37</v>
      </c>
      <c r="I974" s="24" t="s">
        <v>37</v>
      </c>
      <c r="J974" s="24" t="s">
        <v>37</v>
      </c>
      <c r="K974" s="24" t="s">
        <v>37</v>
      </c>
      <c r="L974" s="24" t="s">
        <v>37</v>
      </c>
      <c r="M974" s="24" t="s">
        <v>37</v>
      </c>
      <c r="N974" s="24" t="s">
        <v>37</v>
      </c>
      <c r="O974" s="41" t="s">
        <v>37</v>
      </c>
      <c r="P974" s="28"/>
      <c r="Q974" s="24" t="s">
        <v>37</v>
      </c>
    </row>
    <row r="975" spans="5:20" ht="0" hidden="1" customHeight="1"/>
  </sheetData>
  <mergeCells count="1172">
    <mergeCell ref="O16:P16"/>
    <mergeCell ref="E17:F17"/>
    <mergeCell ref="O17:P17"/>
    <mergeCell ref="O18:P18"/>
    <mergeCell ref="E19:F19"/>
    <mergeCell ref="O19:P19"/>
    <mergeCell ref="O11:P11"/>
    <mergeCell ref="E12:F14"/>
    <mergeCell ref="O12:P12"/>
    <mergeCell ref="O13:P13"/>
    <mergeCell ref="O14:P14"/>
    <mergeCell ref="O15:P15"/>
    <mergeCell ref="D2:O2"/>
    <mergeCell ref="D4:S4"/>
    <mergeCell ref="E9:F9"/>
    <mergeCell ref="O9:P9"/>
    <mergeCell ref="E10:F10"/>
    <mergeCell ref="O10:P10"/>
    <mergeCell ref="O31:P31"/>
    <mergeCell ref="E32:F32"/>
    <mergeCell ref="O32:P32"/>
    <mergeCell ref="O33:P33"/>
    <mergeCell ref="E34:F34"/>
    <mergeCell ref="O34:P34"/>
    <mergeCell ref="O26:P26"/>
    <mergeCell ref="E27:F29"/>
    <mergeCell ref="O27:P27"/>
    <mergeCell ref="O28:P28"/>
    <mergeCell ref="O29:P29"/>
    <mergeCell ref="O30:P30"/>
    <mergeCell ref="O20:P20"/>
    <mergeCell ref="O21:P21"/>
    <mergeCell ref="E24:F24"/>
    <mergeCell ref="O24:P24"/>
    <mergeCell ref="E25:F25"/>
    <mergeCell ref="O25:P25"/>
    <mergeCell ref="O46:P46"/>
    <mergeCell ref="E47:F47"/>
    <mergeCell ref="O47:P47"/>
    <mergeCell ref="O48:P48"/>
    <mergeCell ref="E49:F49"/>
    <mergeCell ref="O49:P49"/>
    <mergeCell ref="O41:P41"/>
    <mergeCell ref="E42:F44"/>
    <mergeCell ref="O42:P42"/>
    <mergeCell ref="O43:P43"/>
    <mergeCell ref="O44:P44"/>
    <mergeCell ref="O45:P45"/>
    <mergeCell ref="O35:P35"/>
    <mergeCell ref="O36:P36"/>
    <mergeCell ref="E39:F39"/>
    <mergeCell ref="O39:P39"/>
    <mergeCell ref="E40:F40"/>
    <mergeCell ref="O40:P40"/>
    <mergeCell ref="O61:P61"/>
    <mergeCell ref="E62:F62"/>
    <mergeCell ref="O62:P62"/>
    <mergeCell ref="O63:P63"/>
    <mergeCell ref="E64:F64"/>
    <mergeCell ref="O64:P64"/>
    <mergeCell ref="O56:P56"/>
    <mergeCell ref="E57:F59"/>
    <mergeCell ref="O57:P57"/>
    <mergeCell ref="O58:P58"/>
    <mergeCell ref="O59:P59"/>
    <mergeCell ref="O60:P60"/>
    <mergeCell ref="O50:P50"/>
    <mergeCell ref="O51:P51"/>
    <mergeCell ref="E54:F54"/>
    <mergeCell ref="O54:P54"/>
    <mergeCell ref="E55:F55"/>
    <mergeCell ref="O55:P55"/>
    <mergeCell ref="O75:P75"/>
    <mergeCell ref="E76:F76"/>
    <mergeCell ref="O76:P76"/>
    <mergeCell ref="O77:P77"/>
    <mergeCell ref="E78:F78"/>
    <mergeCell ref="O78:P78"/>
    <mergeCell ref="O70:P70"/>
    <mergeCell ref="E71:F73"/>
    <mergeCell ref="O71:P71"/>
    <mergeCell ref="O72:P72"/>
    <mergeCell ref="O73:P73"/>
    <mergeCell ref="O74:P74"/>
    <mergeCell ref="O65:P65"/>
    <mergeCell ref="O66:P66"/>
    <mergeCell ref="E68:F68"/>
    <mergeCell ref="O68:P68"/>
    <mergeCell ref="E69:F69"/>
    <mergeCell ref="O69:P69"/>
    <mergeCell ref="O90:P90"/>
    <mergeCell ref="E91:F91"/>
    <mergeCell ref="O91:P91"/>
    <mergeCell ref="O92:P92"/>
    <mergeCell ref="E93:F93"/>
    <mergeCell ref="O93:P93"/>
    <mergeCell ref="O85:P85"/>
    <mergeCell ref="E86:F88"/>
    <mergeCell ref="O86:P86"/>
    <mergeCell ref="O87:P87"/>
    <mergeCell ref="O88:P88"/>
    <mergeCell ref="O89:P89"/>
    <mergeCell ref="O79:P79"/>
    <mergeCell ref="O80:P80"/>
    <mergeCell ref="E83:F83"/>
    <mergeCell ref="O83:P83"/>
    <mergeCell ref="E84:F84"/>
    <mergeCell ref="O84:P84"/>
    <mergeCell ref="O105:P105"/>
    <mergeCell ref="E106:F106"/>
    <mergeCell ref="O106:P106"/>
    <mergeCell ref="O107:P107"/>
    <mergeCell ref="E108:F108"/>
    <mergeCell ref="O108:P108"/>
    <mergeCell ref="O100:P100"/>
    <mergeCell ref="E101:F103"/>
    <mergeCell ref="O101:P101"/>
    <mergeCell ref="O102:P102"/>
    <mergeCell ref="O103:P103"/>
    <mergeCell ref="O104:P104"/>
    <mergeCell ref="O94:P94"/>
    <mergeCell ref="O95:P95"/>
    <mergeCell ref="E98:F98"/>
    <mergeCell ref="O98:P98"/>
    <mergeCell ref="E99:F99"/>
    <mergeCell ref="O99:P99"/>
    <mergeCell ref="O120:P120"/>
    <mergeCell ref="E121:F121"/>
    <mergeCell ref="O121:P121"/>
    <mergeCell ref="O122:P122"/>
    <mergeCell ref="E123:F123"/>
    <mergeCell ref="O123:P123"/>
    <mergeCell ref="O115:P115"/>
    <mergeCell ref="E116:F118"/>
    <mergeCell ref="O116:P116"/>
    <mergeCell ref="O117:P117"/>
    <mergeCell ref="O118:P118"/>
    <mergeCell ref="O119:P119"/>
    <mergeCell ref="O109:P109"/>
    <mergeCell ref="O110:P110"/>
    <mergeCell ref="E113:F113"/>
    <mergeCell ref="O113:P113"/>
    <mergeCell ref="E114:F114"/>
    <mergeCell ref="O114:P114"/>
    <mergeCell ref="O135:P135"/>
    <mergeCell ref="E136:F136"/>
    <mergeCell ref="O136:P136"/>
    <mergeCell ref="O137:P137"/>
    <mergeCell ref="E138:F138"/>
    <mergeCell ref="O138:P138"/>
    <mergeCell ref="O130:P130"/>
    <mergeCell ref="E131:F133"/>
    <mergeCell ref="O131:P131"/>
    <mergeCell ref="O132:P132"/>
    <mergeCell ref="O133:P133"/>
    <mergeCell ref="O134:P134"/>
    <mergeCell ref="O124:P124"/>
    <mergeCell ref="O125:P125"/>
    <mergeCell ref="E128:F128"/>
    <mergeCell ref="O128:P128"/>
    <mergeCell ref="E129:F129"/>
    <mergeCell ref="O129:P129"/>
    <mergeCell ref="O150:P150"/>
    <mergeCell ref="E151:F151"/>
    <mergeCell ref="O151:P151"/>
    <mergeCell ref="O152:P152"/>
    <mergeCell ref="E153:F153"/>
    <mergeCell ref="O153:P153"/>
    <mergeCell ref="O145:P145"/>
    <mergeCell ref="E146:F148"/>
    <mergeCell ref="O146:P146"/>
    <mergeCell ref="O147:P147"/>
    <mergeCell ref="O148:P148"/>
    <mergeCell ref="O149:P149"/>
    <mergeCell ref="O139:P139"/>
    <mergeCell ref="O140:P140"/>
    <mergeCell ref="E143:F143"/>
    <mergeCell ref="O143:P143"/>
    <mergeCell ref="E144:F144"/>
    <mergeCell ref="O144:P144"/>
    <mergeCell ref="O165:P165"/>
    <mergeCell ref="E166:F166"/>
    <mergeCell ref="O166:P166"/>
    <mergeCell ref="O167:P167"/>
    <mergeCell ref="E168:F168"/>
    <mergeCell ref="O168:P168"/>
    <mergeCell ref="O160:P160"/>
    <mergeCell ref="E161:F163"/>
    <mergeCell ref="O161:P161"/>
    <mergeCell ref="O162:P162"/>
    <mergeCell ref="O163:P163"/>
    <mergeCell ref="O164:P164"/>
    <mergeCell ref="O154:P154"/>
    <mergeCell ref="O155:P155"/>
    <mergeCell ref="E158:F158"/>
    <mergeCell ref="O158:P158"/>
    <mergeCell ref="E159:F159"/>
    <mergeCell ref="O159:P159"/>
    <mergeCell ref="O180:P180"/>
    <mergeCell ref="E181:F181"/>
    <mergeCell ref="O181:P181"/>
    <mergeCell ref="O182:P182"/>
    <mergeCell ref="E183:F183"/>
    <mergeCell ref="O183:P183"/>
    <mergeCell ref="O175:P175"/>
    <mergeCell ref="E176:F178"/>
    <mergeCell ref="O176:P176"/>
    <mergeCell ref="O177:P177"/>
    <mergeCell ref="O178:P178"/>
    <mergeCell ref="O179:P179"/>
    <mergeCell ref="O169:P169"/>
    <mergeCell ref="O170:P170"/>
    <mergeCell ref="E173:F173"/>
    <mergeCell ref="O173:P173"/>
    <mergeCell ref="E174:F174"/>
    <mergeCell ref="O174:P174"/>
    <mergeCell ref="O195:P195"/>
    <mergeCell ref="E196:F196"/>
    <mergeCell ref="O196:P196"/>
    <mergeCell ref="O197:P197"/>
    <mergeCell ref="E198:F198"/>
    <mergeCell ref="O198:P198"/>
    <mergeCell ref="O190:P190"/>
    <mergeCell ref="E191:F193"/>
    <mergeCell ref="O191:P191"/>
    <mergeCell ref="O192:P192"/>
    <mergeCell ref="O193:P193"/>
    <mergeCell ref="O194:P194"/>
    <mergeCell ref="O184:P184"/>
    <mergeCell ref="O185:P185"/>
    <mergeCell ref="E188:F188"/>
    <mergeCell ref="O188:P188"/>
    <mergeCell ref="E189:F189"/>
    <mergeCell ref="O189:P189"/>
    <mergeCell ref="O209:P209"/>
    <mergeCell ref="E210:F210"/>
    <mergeCell ref="O210:P210"/>
    <mergeCell ref="O211:P211"/>
    <mergeCell ref="E212:F212"/>
    <mergeCell ref="O212:P212"/>
    <mergeCell ref="O204:P204"/>
    <mergeCell ref="E205:F207"/>
    <mergeCell ref="O205:P205"/>
    <mergeCell ref="O206:P206"/>
    <mergeCell ref="O207:P207"/>
    <mergeCell ref="O208:P208"/>
    <mergeCell ref="O199:P199"/>
    <mergeCell ref="O200:P200"/>
    <mergeCell ref="E202:F202"/>
    <mergeCell ref="O202:P202"/>
    <mergeCell ref="E203:F203"/>
    <mergeCell ref="O203:P203"/>
    <mergeCell ref="O224:P224"/>
    <mergeCell ref="E225:F225"/>
    <mergeCell ref="O225:P225"/>
    <mergeCell ref="O226:P226"/>
    <mergeCell ref="E227:F227"/>
    <mergeCell ref="O227:P227"/>
    <mergeCell ref="O219:P219"/>
    <mergeCell ref="E220:F222"/>
    <mergeCell ref="O220:P220"/>
    <mergeCell ref="O221:P221"/>
    <mergeCell ref="O222:P222"/>
    <mergeCell ref="O223:P223"/>
    <mergeCell ref="O213:P213"/>
    <mergeCell ref="O214:P214"/>
    <mergeCell ref="E217:F217"/>
    <mergeCell ref="O217:P217"/>
    <mergeCell ref="E218:F218"/>
    <mergeCell ref="O218:P218"/>
    <mergeCell ref="O239:P239"/>
    <mergeCell ref="E240:F240"/>
    <mergeCell ref="O240:P240"/>
    <mergeCell ref="O241:P241"/>
    <mergeCell ref="E242:F242"/>
    <mergeCell ref="O242:P242"/>
    <mergeCell ref="O234:P234"/>
    <mergeCell ref="E235:F237"/>
    <mergeCell ref="O235:P235"/>
    <mergeCell ref="O236:P236"/>
    <mergeCell ref="O237:P237"/>
    <mergeCell ref="O238:P238"/>
    <mergeCell ref="O228:P228"/>
    <mergeCell ref="O229:P229"/>
    <mergeCell ref="E232:F232"/>
    <mergeCell ref="O232:P232"/>
    <mergeCell ref="E233:F233"/>
    <mergeCell ref="O233:P233"/>
    <mergeCell ref="O254:P254"/>
    <mergeCell ref="E255:F255"/>
    <mergeCell ref="O255:P255"/>
    <mergeCell ref="O256:P256"/>
    <mergeCell ref="E257:F257"/>
    <mergeCell ref="O257:P257"/>
    <mergeCell ref="O249:P249"/>
    <mergeCell ref="E250:F252"/>
    <mergeCell ref="O250:P250"/>
    <mergeCell ref="O251:P251"/>
    <mergeCell ref="O252:P252"/>
    <mergeCell ref="O253:P253"/>
    <mergeCell ref="O243:P243"/>
    <mergeCell ref="O244:P244"/>
    <mergeCell ref="E247:F247"/>
    <mergeCell ref="O247:P247"/>
    <mergeCell ref="E248:F248"/>
    <mergeCell ref="O248:P248"/>
    <mergeCell ref="O269:P269"/>
    <mergeCell ref="E270:F270"/>
    <mergeCell ref="O270:P270"/>
    <mergeCell ref="O271:P271"/>
    <mergeCell ref="E272:F272"/>
    <mergeCell ref="O272:P272"/>
    <mergeCell ref="O264:P264"/>
    <mergeCell ref="E265:F267"/>
    <mergeCell ref="O265:P265"/>
    <mergeCell ref="O266:P266"/>
    <mergeCell ref="O267:P267"/>
    <mergeCell ref="O268:P268"/>
    <mergeCell ref="O258:P258"/>
    <mergeCell ref="O259:P259"/>
    <mergeCell ref="E262:F262"/>
    <mergeCell ref="O262:P262"/>
    <mergeCell ref="E263:F263"/>
    <mergeCell ref="O263:P263"/>
    <mergeCell ref="O284:P284"/>
    <mergeCell ref="E285:F285"/>
    <mergeCell ref="O285:P285"/>
    <mergeCell ref="O286:P286"/>
    <mergeCell ref="E287:F287"/>
    <mergeCell ref="O287:P287"/>
    <mergeCell ref="O279:P279"/>
    <mergeCell ref="E280:F282"/>
    <mergeCell ref="O280:P280"/>
    <mergeCell ref="O281:P281"/>
    <mergeCell ref="O282:P282"/>
    <mergeCell ref="O283:P283"/>
    <mergeCell ref="O273:P273"/>
    <mergeCell ref="O274:P274"/>
    <mergeCell ref="E277:F277"/>
    <mergeCell ref="O277:P277"/>
    <mergeCell ref="E278:F278"/>
    <mergeCell ref="O278:P278"/>
    <mergeCell ref="O299:P299"/>
    <mergeCell ref="E300:F300"/>
    <mergeCell ref="O300:P300"/>
    <mergeCell ref="O301:P301"/>
    <mergeCell ref="E302:F302"/>
    <mergeCell ref="O302:P302"/>
    <mergeCell ref="O294:P294"/>
    <mergeCell ref="E295:F297"/>
    <mergeCell ref="O295:P295"/>
    <mergeCell ref="O296:P296"/>
    <mergeCell ref="O297:P297"/>
    <mergeCell ref="O298:P298"/>
    <mergeCell ref="O288:P288"/>
    <mergeCell ref="O289:P289"/>
    <mergeCell ref="E292:F292"/>
    <mergeCell ref="O292:P292"/>
    <mergeCell ref="E293:F293"/>
    <mergeCell ref="O293:P293"/>
    <mergeCell ref="O314:P314"/>
    <mergeCell ref="E315:F315"/>
    <mergeCell ref="O315:P315"/>
    <mergeCell ref="O316:P316"/>
    <mergeCell ref="E317:F317"/>
    <mergeCell ref="O317:P317"/>
    <mergeCell ref="O309:P309"/>
    <mergeCell ref="E310:F312"/>
    <mergeCell ref="O310:P310"/>
    <mergeCell ref="O311:P311"/>
    <mergeCell ref="O312:P312"/>
    <mergeCell ref="O313:P313"/>
    <mergeCell ref="O303:P303"/>
    <mergeCell ref="O304:P304"/>
    <mergeCell ref="E307:F307"/>
    <mergeCell ref="O307:P307"/>
    <mergeCell ref="E308:F308"/>
    <mergeCell ref="O308:P308"/>
    <mergeCell ref="O329:P329"/>
    <mergeCell ref="E330:F330"/>
    <mergeCell ref="O330:P330"/>
    <mergeCell ref="O331:P331"/>
    <mergeCell ref="E332:F332"/>
    <mergeCell ref="O332:P332"/>
    <mergeCell ref="O324:P324"/>
    <mergeCell ref="E325:F327"/>
    <mergeCell ref="O325:P325"/>
    <mergeCell ref="O326:P326"/>
    <mergeCell ref="O327:P327"/>
    <mergeCell ref="O328:P328"/>
    <mergeCell ref="O318:P318"/>
    <mergeCell ref="O319:P319"/>
    <mergeCell ref="E322:F322"/>
    <mergeCell ref="O322:P322"/>
    <mergeCell ref="E323:F323"/>
    <mergeCell ref="O323:P323"/>
    <mergeCell ref="O343:P343"/>
    <mergeCell ref="E344:F344"/>
    <mergeCell ref="O344:P344"/>
    <mergeCell ref="O345:P345"/>
    <mergeCell ref="E346:F346"/>
    <mergeCell ref="O346:P346"/>
    <mergeCell ref="O338:P338"/>
    <mergeCell ref="E339:F341"/>
    <mergeCell ref="O339:P339"/>
    <mergeCell ref="O340:P340"/>
    <mergeCell ref="O341:P341"/>
    <mergeCell ref="O342:P342"/>
    <mergeCell ref="O333:P333"/>
    <mergeCell ref="O334:P334"/>
    <mergeCell ref="E336:F336"/>
    <mergeCell ref="O336:P336"/>
    <mergeCell ref="E337:F337"/>
    <mergeCell ref="O337:P337"/>
    <mergeCell ref="O358:P358"/>
    <mergeCell ref="E359:F359"/>
    <mergeCell ref="O359:P359"/>
    <mergeCell ref="O360:P360"/>
    <mergeCell ref="E361:F361"/>
    <mergeCell ref="O361:P361"/>
    <mergeCell ref="O353:P353"/>
    <mergeCell ref="E354:F356"/>
    <mergeCell ref="O354:P354"/>
    <mergeCell ref="O355:P355"/>
    <mergeCell ref="O356:P356"/>
    <mergeCell ref="O357:P357"/>
    <mergeCell ref="O347:P347"/>
    <mergeCell ref="O348:P348"/>
    <mergeCell ref="E351:F351"/>
    <mergeCell ref="O351:P351"/>
    <mergeCell ref="E352:F352"/>
    <mergeCell ref="O352:P352"/>
    <mergeCell ref="O373:P373"/>
    <mergeCell ref="E374:F374"/>
    <mergeCell ref="O374:P374"/>
    <mergeCell ref="O375:P375"/>
    <mergeCell ref="E376:F376"/>
    <mergeCell ref="O376:P376"/>
    <mergeCell ref="O368:P368"/>
    <mergeCell ref="E369:F371"/>
    <mergeCell ref="O369:P369"/>
    <mergeCell ref="O370:P370"/>
    <mergeCell ref="O371:P371"/>
    <mergeCell ref="O372:P372"/>
    <mergeCell ref="O362:P362"/>
    <mergeCell ref="O363:P363"/>
    <mergeCell ref="E366:F366"/>
    <mergeCell ref="O366:P366"/>
    <mergeCell ref="E367:F367"/>
    <mergeCell ref="O367:P367"/>
    <mergeCell ref="O388:P388"/>
    <mergeCell ref="E389:F389"/>
    <mergeCell ref="O389:P389"/>
    <mergeCell ref="O390:P390"/>
    <mergeCell ref="E391:F391"/>
    <mergeCell ref="O391:P391"/>
    <mergeCell ref="O383:P383"/>
    <mergeCell ref="E384:F386"/>
    <mergeCell ref="O384:P384"/>
    <mergeCell ref="O385:P385"/>
    <mergeCell ref="O386:P386"/>
    <mergeCell ref="O387:P387"/>
    <mergeCell ref="O377:P377"/>
    <mergeCell ref="O378:P378"/>
    <mergeCell ref="E381:F381"/>
    <mergeCell ref="O381:P381"/>
    <mergeCell ref="E382:F382"/>
    <mergeCell ref="O382:P382"/>
    <mergeCell ref="O403:P403"/>
    <mergeCell ref="E404:F404"/>
    <mergeCell ref="O404:P404"/>
    <mergeCell ref="O405:P405"/>
    <mergeCell ref="E406:F406"/>
    <mergeCell ref="O406:P406"/>
    <mergeCell ref="O398:P398"/>
    <mergeCell ref="E399:F401"/>
    <mergeCell ref="O399:P399"/>
    <mergeCell ref="O400:P400"/>
    <mergeCell ref="O401:P401"/>
    <mergeCell ref="O402:P402"/>
    <mergeCell ref="O392:P392"/>
    <mergeCell ref="O393:P393"/>
    <mergeCell ref="E396:F396"/>
    <mergeCell ref="O396:P396"/>
    <mergeCell ref="E397:F397"/>
    <mergeCell ref="O397:P397"/>
    <mergeCell ref="O418:P418"/>
    <mergeCell ref="E419:F419"/>
    <mergeCell ref="O419:P419"/>
    <mergeCell ref="O420:P420"/>
    <mergeCell ref="E421:F421"/>
    <mergeCell ref="O421:P421"/>
    <mergeCell ref="O413:P413"/>
    <mergeCell ref="E414:F416"/>
    <mergeCell ref="O414:P414"/>
    <mergeCell ref="O415:P415"/>
    <mergeCell ref="O416:P416"/>
    <mergeCell ref="O417:P417"/>
    <mergeCell ref="O407:P407"/>
    <mergeCell ref="O408:P408"/>
    <mergeCell ref="E411:F411"/>
    <mergeCell ref="O411:P411"/>
    <mergeCell ref="E412:F412"/>
    <mergeCell ref="O412:P412"/>
    <mergeCell ref="O433:P433"/>
    <mergeCell ref="E434:F434"/>
    <mergeCell ref="O434:P434"/>
    <mergeCell ref="O435:P435"/>
    <mergeCell ref="E436:F436"/>
    <mergeCell ref="O436:P436"/>
    <mergeCell ref="O428:P428"/>
    <mergeCell ref="E429:F431"/>
    <mergeCell ref="O429:P429"/>
    <mergeCell ref="O430:P430"/>
    <mergeCell ref="O431:P431"/>
    <mergeCell ref="O432:P432"/>
    <mergeCell ref="O422:P422"/>
    <mergeCell ref="O423:P423"/>
    <mergeCell ref="E426:F426"/>
    <mergeCell ref="O426:P426"/>
    <mergeCell ref="E427:F427"/>
    <mergeCell ref="O427:P427"/>
    <mergeCell ref="O448:P448"/>
    <mergeCell ref="E449:F449"/>
    <mergeCell ref="O449:P449"/>
    <mergeCell ref="O450:P450"/>
    <mergeCell ref="E451:F451"/>
    <mergeCell ref="O451:P451"/>
    <mergeCell ref="O443:P443"/>
    <mergeCell ref="E444:F446"/>
    <mergeCell ref="O444:P444"/>
    <mergeCell ref="O445:P445"/>
    <mergeCell ref="O446:P446"/>
    <mergeCell ref="O447:P447"/>
    <mergeCell ref="O437:P437"/>
    <mergeCell ref="O438:P438"/>
    <mergeCell ref="E441:F441"/>
    <mergeCell ref="O441:P441"/>
    <mergeCell ref="E442:F442"/>
    <mergeCell ref="O442:P442"/>
    <mergeCell ref="O462:P462"/>
    <mergeCell ref="E463:F463"/>
    <mergeCell ref="O463:P463"/>
    <mergeCell ref="O464:P464"/>
    <mergeCell ref="E465:F465"/>
    <mergeCell ref="O465:P465"/>
    <mergeCell ref="O457:P457"/>
    <mergeCell ref="E458:F460"/>
    <mergeCell ref="O458:P458"/>
    <mergeCell ref="O459:P459"/>
    <mergeCell ref="O460:P460"/>
    <mergeCell ref="O461:P461"/>
    <mergeCell ref="O452:P452"/>
    <mergeCell ref="O453:P453"/>
    <mergeCell ref="E455:F455"/>
    <mergeCell ref="O455:P455"/>
    <mergeCell ref="E456:F456"/>
    <mergeCell ref="O456:P456"/>
    <mergeCell ref="O477:P477"/>
    <mergeCell ref="E478:F478"/>
    <mergeCell ref="O478:P478"/>
    <mergeCell ref="O479:P479"/>
    <mergeCell ref="E480:F480"/>
    <mergeCell ref="O480:P480"/>
    <mergeCell ref="O472:P472"/>
    <mergeCell ref="E473:F475"/>
    <mergeCell ref="O473:P473"/>
    <mergeCell ref="O474:P474"/>
    <mergeCell ref="O475:P475"/>
    <mergeCell ref="O476:P476"/>
    <mergeCell ref="O466:P466"/>
    <mergeCell ref="O467:P467"/>
    <mergeCell ref="E470:F470"/>
    <mergeCell ref="O470:P470"/>
    <mergeCell ref="E471:F471"/>
    <mergeCell ref="O471:P471"/>
    <mergeCell ref="O492:P492"/>
    <mergeCell ref="E493:F493"/>
    <mergeCell ref="O493:P493"/>
    <mergeCell ref="O494:P494"/>
    <mergeCell ref="E495:F495"/>
    <mergeCell ref="O495:P495"/>
    <mergeCell ref="O487:P487"/>
    <mergeCell ref="E488:F490"/>
    <mergeCell ref="O488:P488"/>
    <mergeCell ref="O489:P489"/>
    <mergeCell ref="O490:P490"/>
    <mergeCell ref="O491:P491"/>
    <mergeCell ref="O481:P481"/>
    <mergeCell ref="O482:P482"/>
    <mergeCell ref="E485:F485"/>
    <mergeCell ref="O485:P485"/>
    <mergeCell ref="E486:F486"/>
    <mergeCell ref="O486:P486"/>
    <mergeCell ref="O507:P507"/>
    <mergeCell ref="E508:F508"/>
    <mergeCell ref="O508:P508"/>
    <mergeCell ref="O509:P509"/>
    <mergeCell ref="E510:F510"/>
    <mergeCell ref="O510:P510"/>
    <mergeCell ref="O502:P502"/>
    <mergeCell ref="E503:F505"/>
    <mergeCell ref="O503:P503"/>
    <mergeCell ref="O504:P504"/>
    <mergeCell ref="O505:P505"/>
    <mergeCell ref="O506:P506"/>
    <mergeCell ref="O496:P496"/>
    <mergeCell ref="O497:P497"/>
    <mergeCell ref="E500:F500"/>
    <mergeCell ref="O500:P500"/>
    <mergeCell ref="E501:F501"/>
    <mergeCell ref="O501:P501"/>
    <mergeCell ref="O522:P522"/>
    <mergeCell ref="E523:F523"/>
    <mergeCell ref="O523:P523"/>
    <mergeCell ref="O524:P524"/>
    <mergeCell ref="E525:F525"/>
    <mergeCell ref="O525:P525"/>
    <mergeCell ref="O517:P517"/>
    <mergeCell ref="E518:F520"/>
    <mergeCell ref="O518:P518"/>
    <mergeCell ref="O519:P519"/>
    <mergeCell ref="O520:P520"/>
    <mergeCell ref="O521:P521"/>
    <mergeCell ref="O511:P511"/>
    <mergeCell ref="O512:P512"/>
    <mergeCell ref="E515:F515"/>
    <mergeCell ref="O515:P515"/>
    <mergeCell ref="E516:F516"/>
    <mergeCell ref="O516:P516"/>
    <mergeCell ref="O537:P537"/>
    <mergeCell ref="E538:F538"/>
    <mergeCell ref="O538:P538"/>
    <mergeCell ref="O539:P539"/>
    <mergeCell ref="E540:F540"/>
    <mergeCell ref="O540:P540"/>
    <mergeCell ref="O532:P532"/>
    <mergeCell ref="E533:F535"/>
    <mergeCell ref="O533:P533"/>
    <mergeCell ref="O534:P534"/>
    <mergeCell ref="O535:P535"/>
    <mergeCell ref="O536:P536"/>
    <mergeCell ref="O526:P526"/>
    <mergeCell ref="O527:P527"/>
    <mergeCell ref="E530:F530"/>
    <mergeCell ref="O530:P530"/>
    <mergeCell ref="E531:F531"/>
    <mergeCell ref="O531:P531"/>
    <mergeCell ref="O552:P552"/>
    <mergeCell ref="E553:F553"/>
    <mergeCell ref="O553:P553"/>
    <mergeCell ref="O554:P554"/>
    <mergeCell ref="E555:F555"/>
    <mergeCell ref="O555:P555"/>
    <mergeCell ref="O547:P547"/>
    <mergeCell ref="E548:F550"/>
    <mergeCell ref="O548:P548"/>
    <mergeCell ref="O549:P549"/>
    <mergeCell ref="O550:P550"/>
    <mergeCell ref="O551:P551"/>
    <mergeCell ref="O541:P541"/>
    <mergeCell ref="O542:P542"/>
    <mergeCell ref="E545:F545"/>
    <mergeCell ref="O545:P545"/>
    <mergeCell ref="E546:F546"/>
    <mergeCell ref="O546:P546"/>
    <mergeCell ref="O567:P567"/>
    <mergeCell ref="E568:F568"/>
    <mergeCell ref="O568:P568"/>
    <mergeCell ref="O569:P569"/>
    <mergeCell ref="E570:F570"/>
    <mergeCell ref="O570:P570"/>
    <mergeCell ref="O562:P562"/>
    <mergeCell ref="E563:F565"/>
    <mergeCell ref="O563:P563"/>
    <mergeCell ref="O564:P564"/>
    <mergeCell ref="O565:P565"/>
    <mergeCell ref="O566:P566"/>
    <mergeCell ref="O556:P556"/>
    <mergeCell ref="O557:P557"/>
    <mergeCell ref="E560:F560"/>
    <mergeCell ref="O560:P560"/>
    <mergeCell ref="E561:F561"/>
    <mergeCell ref="O561:P561"/>
    <mergeCell ref="O582:P582"/>
    <mergeCell ref="E583:F583"/>
    <mergeCell ref="O583:P583"/>
    <mergeCell ref="O584:P584"/>
    <mergeCell ref="E585:F585"/>
    <mergeCell ref="O585:P585"/>
    <mergeCell ref="O577:P577"/>
    <mergeCell ref="E578:F580"/>
    <mergeCell ref="O578:P578"/>
    <mergeCell ref="O579:P579"/>
    <mergeCell ref="O580:P580"/>
    <mergeCell ref="O581:P581"/>
    <mergeCell ref="O571:P571"/>
    <mergeCell ref="O572:P572"/>
    <mergeCell ref="E575:F575"/>
    <mergeCell ref="O575:P575"/>
    <mergeCell ref="E576:F576"/>
    <mergeCell ref="O576:P576"/>
    <mergeCell ref="O596:P596"/>
    <mergeCell ref="E597:F597"/>
    <mergeCell ref="O597:P597"/>
    <mergeCell ref="O598:P598"/>
    <mergeCell ref="E599:F599"/>
    <mergeCell ref="O599:P599"/>
    <mergeCell ref="O591:P591"/>
    <mergeCell ref="E592:F594"/>
    <mergeCell ref="O592:P592"/>
    <mergeCell ref="O593:P593"/>
    <mergeCell ref="O594:P594"/>
    <mergeCell ref="O595:P595"/>
    <mergeCell ref="O586:P586"/>
    <mergeCell ref="O587:P587"/>
    <mergeCell ref="E589:F589"/>
    <mergeCell ref="O589:P589"/>
    <mergeCell ref="E590:F590"/>
    <mergeCell ref="O590:P590"/>
    <mergeCell ref="O611:P611"/>
    <mergeCell ref="E612:F612"/>
    <mergeCell ref="O612:P612"/>
    <mergeCell ref="O613:P613"/>
    <mergeCell ref="E614:F614"/>
    <mergeCell ref="O614:P614"/>
    <mergeCell ref="O606:P606"/>
    <mergeCell ref="E607:F609"/>
    <mergeCell ref="O607:P607"/>
    <mergeCell ref="O608:P608"/>
    <mergeCell ref="O609:P609"/>
    <mergeCell ref="O610:P610"/>
    <mergeCell ref="O600:P600"/>
    <mergeCell ref="O601:P601"/>
    <mergeCell ref="E604:F604"/>
    <mergeCell ref="O604:P604"/>
    <mergeCell ref="E605:F605"/>
    <mergeCell ref="O605:P605"/>
    <mergeCell ref="O626:P626"/>
    <mergeCell ref="E627:F627"/>
    <mergeCell ref="O627:P627"/>
    <mergeCell ref="O628:P628"/>
    <mergeCell ref="E629:F629"/>
    <mergeCell ref="O629:P629"/>
    <mergeCell ref="O621:P621"/>
    <mergeCell ref="E622:F624"/>
    <mergeCell ref="O622:P622"/>
    <mergeCell ref="O623:P623"/>
    <mergeCell ref="O624:P624"/>
    <mergeCell ref="O625:P625"/>
    <mergeCell ref="O615:P615"/>
    <mergeCell ref="O616:P616"/>
    <mergeCell ref="E619:F619"/>
    <mergeCell ref="O619:P619"/>
    <mergeCell ref="E620:F620"/>
    <mergeCell ref="O620:P620"/>
    <mergeCell ref="O641:P641"/>
    <mergeCell ref="E642:F642"/>
    <mergeCell ref="O642:P642"/>
    <mergeCell ref="O643:P643"/>
    <mergeCell ref="E644:F644"/>
    <mergeCell ref="O644:P644"/>
    <mergeCell ref="O636:P636"/>
    <mergeCell ref="E637:F639"/>
    <mergeCell ref="O637:P637"/>
    <mergeCell ref="O638:P638"/>
    <mergeCell ref="O639:P639"/>
    <mergeCell ref="O640:P640"/>
    <mergeCell ref="O630:P630"/>
    <mergeCell ref="O631:P631"/>
    <mergeCell ref="E634:F634"/>
    <mergeCell ref="O634:P634"/>
    <mergeCell ref="E635:F635"/>
    <mergeCell ref="O635:P635"/>
    <mergeCell ref="O656:P656"/>
    <mergeCell ref="E657:F657"/>
    <mergeCell ref="O657:P657"/>
    <mergeCell ref="O658:P658"/>
    <mergeCell ref="E659:F659"/>
    <mergeCell ref="O659:P659"/>
    <mergeCell ref="O651:P651"/>
    <mergeCell ref="E652:F654"/>
    <mergeCell ref="O652:P652"/>
    <mergeCell ref="O653:P653"/>
    <mergeCell ref="O654:P654"/>
    <mergeCell ref="O655:P655"/>
    <mergeCell ref="O645:P645"/>
    <mergeCell ref="O646:P646"/>
    <mergeCell ref="E649:F649"/>
    <mergeCell ref="O649:P649"/>
    <mergeCell ref="E650:F650"/>
    <mergeCell ref="O650:P650"/>
    <mergeCell ref="O671:P671"/>
    <mergeCell ref="E672:F672"/>
    <mergeCell ref="O672:P672"/>
    <mergeCell ref="O673:P673"/>
    <mergeCell ref="E674:F674"/>
    <mergeCell ref="O674:P674"/>
    <mergeCell ref="O666:P666"/>
    <mergeCell ref="E667:F669"/>
    <mergeCell ref="O667:P667"/>
    <mergeCell ref="O668:P668"/>
    <mergeCell ref="O669:P669"/>
    <mergeCell ref="O670:P670"/>
    <mergeCell ref="O660:P660"/>
    <mergeCell ref="O661:P661"/>
    <mergeCell ref="E664:F664"/>
    <mergeCell ref="O664:P664"/>
    <mergeCell ref="E665:F665"/>
    <mergeCell ref="O665:P665"/>
    <mergeCell ref="O686:P686"/>
    <mergeCell ref="E687:F687"/>
    <mergeCell ref="O687:P687"/>
    <mergeCell ref="O688:P688"/>
    <mergeCell ref="E689:F689"/>
    <mergeCell ref="O689:P689"/>
    <mergeCell ref="O681:P681"/>
    <mergeCell ref="E682:F684"/>
    <mergeCell ref="O682:P682"/>
    <mergeCell ref="O683:P683"/>
    <mergeCell ref="O684:P684"/>
    <mergeCell ref="O685:P685"/>
    <mergeCell ref="O675:P675"/>
    <mergeCell ref="O676:P676"/>
    <mergeCell ref="E679:F679"/>
    <mergeCell ref="O679:P679"/>
    <mergeCell ref="E680:F680"/>
    <mergeCell ref="O680:P680"/>
    <mergeCell ref="O701:P701"/>
    <mergeCell ref="E702:F702"/>
    <mergeCell ref="O702:P702"/>
    <mergeCell ref="O703:P703"/>
    <mergeCell ref="E704:F704"/>
    <mergeCell ref="O704:P704"/>
    <mergeCell ref="O696:P696"/>
    <mergeCell ref="E697:F699"/>
    <mergeCell ref="O697:P697"/>
    <mergeCell ref="O698:P698"/>
    <mergeCell ref="O699:P699"/>
    <mergeCell ref="O700:P700"/>
    <mergeCell ref="O690:P690"/>
    <mergeCell ref="O691:P691"/>
    <mergeCell ref="E694:F694"/>
    <mergeCell ref="O694:P694"/>
    <mergeCell ref="E695:F695"/>
    <mergeCell ref="O695:P695"/>
    <mergeCell ref="O716:P716"/>
    <mergeCell ref="E717:F717"/>
    <mergeCell ref="O717:P717"/>
    <mergeCell ref="O718:P718"/>
    <mergeCell ref="E719:F719"/>
    <mergeCell ref="O719:P719"/>
    <mergeCell ref="O711:P711"/>
    <mergeCell ref="E712:F714"/>
    <mergeCell ref="O712:P712"/>
    <mergeCell ref="O713:P713"/>
    <mergeCell ref="O714:P714"/>
    <mergeCell ref="O715:P715"/>
    <mergeCell ref="O705:P705"/>
    <mergeCell ref="O706:P706"/>
    <mergeCell ref="E709:F709"/>
    <mergeCell ref="O709:P709"/>
    <mergeCell ref="E710:F710"/>
    <mergeCell ref="O710:P710"/>
    <mergeCell ref="O730:P730"/>
    <mergeCell ref="E731:F731"/>
    <mergeCell ref="O731:P731"/>
    <mergeCell ref="O732:P732"/>
    <mergeCell ref="E733:F733"/>
    <mergeCell ref="O733:P733"/>
    <mergeCell ref="O725:P725"/>
    <mergeCell ref="E726:F728"/>
    <mergeCell ref="O726:P726"/>
    <mergeCell ref="O727:P727"/>
    <mergeCell ref="O728:P728"/>
    <mergeCell ref="O729:P729"/>
    <mergeCell ref="O720:P720"/>
    <mergeCell ref="O721:P721"/>
    <mergeCell ref="E723:F723"/>
    <mergeCell ref="O723:P723"/>
    <mergeCell ref="E724:F724"/>
    <mergeCell ref="O724:P724"/>
    <mergeCell ref="O745:P745"/>
    <mergeCell ref="E746:F746"/>
    <mergeCell ref="O746:P746"/>
    <mergeCell ref="O747:P747"/>
    <mergeCell ref="E748:F748"/>
    <mergeCell ref="O748:P748"/>
    <mergeCell ref="O740:P740"/>
    <mergeCell ref="E741:F743"/>
    <mergeCell ref="O741:P741"/>
    <mergeCell ref="O742:P742"/>
    <mergeCell ref="O743:P743"/>
    <mergeCell ref="O744:P744"/>
    <mergeCell ref="O734:P734"/>
    <mergeCell ref="O735:P735"/>
    <mergeCell ref="E738:F738"/>
    <mergeCell ref="O738:P738"/>
    <mergeCell ref="E739:F739"/>
    <mergeCell ref="O739:P739"/>
    <mergeCell ref="O760:P760"/>
    <mergeCell ref="E761:F761"/>
    <mergeCell ref="O761:P761"/>
    <mergeCell ref="O762:P762"/>
    <mergeCell ref="E763:F763"/>
    <mergeCell ref="O763:P763"/>
    <mergeCell ref="O755:P755"/>
    <mergeCell ref="E756:F758"/>
    <mergeCell ref="O756:P756"/>
    <mergeCell ref="O757:P757"/>
    <mergeCell ref="O758:P758"/>
    <mergeCell ref="O759:P759"/>
    <mergeCell ref="O749:P749"/>
    <mergeCell ref="O750:P750"/>
    <mergeCell ref="E753:F753"/>
    <mergeCell ref="O753:P753"/>
    <mergeCell ref="E754:F754"/>
    <mergeCell ref="O754:P754"/>
    <mergeCell ref="O775:P775"/>
    <mergeCell ref="E776:F776"/>
    <mergeCell ref="O776:P776"/>
    <mergeCell ref="O777:P777"/>
    <mergeCell ref="E778:F778"/>
    <mergeCell ref="O778:P778"/>
    <mergeCell ref="O770:P770"/>
    <mergeCell ref="E771:F773"/>
    <mergeCell ref="O771:P771"/>
    <mergeCell ref="O772:P772"/>
    <mergeCell ref="O773:P773"/>
    <mergeCell ref="O774:P774"/>
    <mergeCell ref="O764:P764"/>
    <mergeCell ref="O765:P765"/>
    <mergeCell ref="E768:F768"/>
    <mergeCell ref="O768:P768"/>
    <mergeCell ref="E769:F769"/>
    <mergeCell ref="O769:P769"/>
    <mergeCell ref="O790:P790"/>
    <mergeCell ref="E791:F791"/>
    <mergeCell ref="O791:P791"/>
    <mergeCell ref="O792:P792"/>
    <mergeCell ref="E793:F793"/>
    <mergeCell ref="O793:P793"/>
    <mergeCell ref="O785:P785"/>
    <mergeCell ref="E786:F788"/>
    <mergeCell ref="O786:P786"/>
    <mergeCell ref="O787:P787"/>
    <mergeCell ref="O788:P788"/>
    <mergeCell ref="O789:P789"/>
    <mergeCell ref="O779:P779"/>
    <mergeCell ref="O780:P780"/>
    <mergeCell ref="E783:F783"/>
    <mergeCell ref="O783:P783"/>
    <mergeCell ref="E784:F784"/>
    <mergeCell ref="O784:P784"/>
    <mergeCell ref="O805:P805"/>
    <mergeCell ref="E806:F806"/>
    <mergeCell ref="O806:P806"/>
    <mergeCell ref="O807:P807"/>
    <mergeCell ref="E808:F808"/>
    <mergeCell ref="O808:P808"/>
    <mergeCell ref="O800:P800"/>
    <mergeCell ref="E801:F803"/>
    <mergeCell ref="O801:P801"/>
    <mergeCell ref="O802:P802"/>
    <mergeCell ref="O803:P803"/>
    <mergeCell ref="O804:P804"/>
    <mergeCell ref="O794:P794"/>
    <mergeCell ref="O795:P795"/>
    <mergeCell ref="E798:F798"/>
    <mergeCell ref="O798:P798"/>
    <mergeCell ref="E799:F799"/>
    <mergeCell ref="O799:P799"/>
    <mergeCell ref="O820:P820"/>
    <mergeCell ref="E821:F821"/>
    <mergeCell ref="O821:P821"/>
    <mergeCell ref="O822:P822"/>
    <mergeCell ref="E823:F823"/>
    <mergeCell ref="O823:P823"/>
    <mergeCell ref="O815:P815"/>
    <mergeCell ref="E816:F818"/>
    <mergeCell ref="O816:P816"/>
    <mergeCell ref="O817:P817"/>
    <mergeCell ref="O818:P818"/>
    <mergeCell ref="O819:P819"/>
    <mergeCell ref="O809:P809"/>
    <mergeCell ref="O810:P810"/>
    <mergeCell ref="E813:F813"/>
    <mergeCell ref="O813:P813"/>
    <mergeCell ref="E814:F814"/>
    <mergeCell ref="O814:P814"/>
    <mergeCell ref="O835:P835"/>
    <mergeCell ref="E836:F836"/>
    <mergeCell ref="O836:P836"/>
    <mergeCell ref="O837:P837"/>
    <mergeCell ref="E838:F838"/>
    <mergeCell ref="O838:P838"/>
    <mergeCell ref="O830:P830"/>
    <mergeCell ref="E831:F833"/>
    <mergeCell ref="O831:P831"/>
    <mergeCell ref="O832:P832"/>
    <mergeCell ref="O833:P833"/>
    <mergeCell ref="O834:P834"/>
    <mergeCell ref="O824:P824"/>
    <mergeCell ref="O825:P825"/>
    <mergeCell ref="E828:F828"/>
    <mergeCell ref="O828:P828"/>
    <mergeCell ref="E829:F829"/>
    <mergeCell ref="O829:P829"/>
    <mergeCell ref="O850:P850"/>
    <mergeCell ref="E851:F851"/>
    <mergeCell ref="O851:P851"/>
    <mergeCell ref="O852:P852"/>
    <mergeCell ref="E853:F853"/>
    <mergeCell ref="O853:P853"/>
    <mergeCell ref="O845:P845"/>
    <mergeCell ref="E846:F848"/>
    <mergeCell ref="O846:P846"/>
    <mergeCell ref="O847:P847"/>
    <mergeCell ref="O848:P848"/>
    <mergeCell ref="O849:P849"/>
    <mergeCell ref="O839:P839"/>
    <mergeCell ref="O840:P840"/>
    <mergeCell ref="E843:F843"/>
    <mergeCell ref="O843:P843"/>
    <mergeCell ref="E844:F844"/>
    <mergeCell ref="O844:P844"/>
    <mergeCell ref="O864:P864"/>
    <mergeCell ref="E865:F865"/>
    <mergeCell ref="O865:P865"/>
    <mergeCell ref="O866:P866"/>
    <mergeCell ref="E867:F867"/>
    <mergeCell ref="O867:P867"/>
    <mergeCell ref="O859:P859"/>
    <mergeCell ref="E860:F862"/>
    <mergeCell ref="O860:P860"/>
    <mergeCell ref="O861:P861"/>
    <mergeCell ref="O862:P862"/>
    <mergeCell ref="O863:P863"/>
    <mergeCell ref="O854:P854"/>
    <mergeCell ref="O855:P855"/>
    <mergeCell ref="E857:F857"/>
    <mergeCell ref="O857:P857"/>
    <mergeCell ref="E858:F858"/>
    <mergeCell ref="O858:P858"/>
    <mergeCell ref="O879:P879"/>
    <mergeCell ref="E880:F880"/>
    <mergeCell ref="O880:P880"/>
    <mergeCell ref="O881:P881"/>
    <mergeCell ref="E882:F882"/>
    <mergeCell ref="O882:P882"/>
    <mergeCell ref="O874:P874"/>
    <mergeCell ref="E875:F877"/>
    <mergeCell ref="O875:P875"/>
    <mergeCell ref="O876:P876"/>
    <mergeCell ref="O877:P877"/>
    <mergeCell ref="O878:P878"/>
    <mergeCell ref="O868:P868"/>
    <mergeCell ref="O869:P869"/>
    <mergeCell ref="E872:F872"/>
    <mergeCell ref="O872:P872"/>
    <mergeCell ref="E873:F873"/>
    <mergeCell ref="O873:P873"/>
    <mergeCell ref="O894:P894"/>
    <mergeCell ref="E895:F895"/>
    <mergeCell ref="O895:P895"/>
    <mergeCell ref="O896:P896"/>
    <mergeCell ref="E897:F897"/>
    <mergeCell ref="O897:P897"/>
    <mergeCell ref="O889:P889"/>
    <mergeCell ref="E890:F892"/>
    <mergeCell ref="O890:P890"/>
    <mergeCell ref="O891:P891"/>
    <mergeCell ref="O892:P892"/>
    <mergeCell ref="O893:P893"/>
    <mergeCell ref="O883:P883"/>
    <mergeCell ref="O884:P884"/>
    <mergeCell ref="E887:F887"/>
    <mergeCell ref="O887:P887"/>
    <mergeCell ref="E888:F888"/>
    <mergeCell ref="O888:P888"/>
    <mergeCell ref="O909:P909"/>
    <mergeCell ref="E910:F910"/>
    <mergeCell ref="O910:P910"/>
    <mergeCell ref="O911:P911"/>
    <mergeCell ref="E912:F912"/>
    <mergeCell ref="O912:P912"/>
    <mergeCell ref="O904:P904"/>
    <mergeCell ref="E905:F907"/>
    <mergeCell ref="O905:P905"/>
    <mergeCell ref="O906:P906"/>
    <mergeCell ref="O907:P907"/>
    <mergeCell ref="O908:P908"/>
    <mergeCell ref="O898:P898"/>
    <mergeCell ref="O899:P899"/>
    <mergeCell ref="E902:F902"/>
    <mergeCell ref="O902:P902"/>
    <mergeCell ref="E903:F903"/>
    <mergeCell ref="O903:P903"/>
    <mergeCell ref="O924:P924"/>
    <mergeCell ref="E925:F925"/>
    <mergeCell ref="O925:P925"/>
    <mergeCell ref="O926:P926"/>
    <mergeCell ref="E927:F927"/>
    <mergeCell ref="O927:P927"/>
    <mergeCell ref="O919:P919"/>
    <mergeCell ref="E920:F922"/>
    <mergeCell ref="O920:P920"/>
    <mergeCell ref="O921:P921"/>
    <mergeCell ref="O922:P922"/>
    <mergeCell ref="O923:P923"/>
    <mergeCell ref="O913:P913"/>
    <mergeCell ref="O914:P914"/>
    <mergeCell ref="E917:F917"/>
    <mergeCell ref="O917:P917"/>
    <mergeCell ref="E918:F918"/>
    <mergeCell ref="O918:P918"/>
    <mergeCell ref="O939:P939"/>
    <mergeCell ref="E940:F940"/>
    <mergeCell ref="O940:P940"/>
    <mergeCell ref="O941:P941"/>
    <mergeCell ref="E942:F942"/>
    <mergeCell ref="O942:P942"/>
    <mergeCell ref="O934:P934"/>
    <mergeCell ref="E935:F937"/>
    <mergeCell ref="O935:P935"/>
    <mergeCell ref="O936:P936"/>
    <mergeCell ref="O937:P937"/>
    <mergeCell ref="O938:P938"/>
    <mergeCell ref="O928:P928"/>
    <mergeCell ref="O929:P929"/>
    <mergeCell ref="E932:F932"/>
    <mergeCell ref="O932:P932"/>
    <mergeCell ref="E933:F933"/>
    <mergeCell ref="O933:P933"/>
    <mergeCell ref="O954:P954"/>
    <mergeCell ref="E955:F955"/>
    <mergeCell ref="O955:P955"/>
    <mergeCell ref="O956:P956"/>
    <mergeCell ref="E957:F957"/>
    <mergeCell ref="O957:P957"/>
    <mergeCell ref="O949:P949"/>
    <mergeCell ref="E950:F952"/>
    <mergeCell ref="O950:P950"/>
    <mergeCell ref="O951:P951"/>
    <mergeCell ref="O952:P952"/>
    <mergeCell ref="O953:P953"/>
    <mergeCell ref="O943:P943"/>
    <mergeCell ref="O944:P944"/>
    <mergeCell ref="E947:F947"/>
    <mergeCell ref="O947:P947"/>
    <mergeCell ref="E948:F948"/>
    <mergeCell ref="O948:P948"/>
    <mergeCell ref="O973:P973"/>
    <mergeCell ref="O974:P974"/>
    <mergeCell ref="O969:P969"/>
    <mergeCell ref="E970:F970"/>
    <mergeCell ref="O970:P970"/>
    <mergeCell ref="O971:P971"/>
    <mergeCell ref="E972:F972"/>
    <mergeCell ref="O972:P972"/>
    <mergeCell ref="O964:P964"/>
    <mergeCell ref="E965:F967"/>
    <mergeCell ref="O965:P965"/>
    <mergeCell ref="O966:P966"/>
    <mergeCell ref="O967:P967"/>
    <mergeCell ref="O968:P968"/>
    <mergeCell ref="O958:P958"/>
    <mergeCell ref="O959:P959"/>
    <mergeCell ref="E962:F962"/>
    <mergeCell ref="O962:P962"/>
    <mergeCell ref="E963:F963"/>
    <mergeCell ref="O963:P963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&amp;"-,Regular"18/05/2024 10:14 AM &amp;C&amp;"Segoe UI,Regular"&amp;9 Page 2   of   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D1:F975"/>
  <sheetViews>
    <sheetView showGridLines="0" workbookViewId="0">
      <pane ySplit="5" topLeftCell="A950" activePane="bottomLeft" state="frozen"/>
      <selection pane="bottomLeft" activeCell="M967" sqref="M967"/>
    </sheetView>
  </sheetViews>
  <sheetFormatPr defaultRowHeight="15"/>
  <cols>
    <col min="1" max="1" width="0.28515625" style="18" customWidth="1"/>
    <col min="2" max="2" width="0.42578125" style="18" customWidth="1"/>
    <col min="3" max="3" width="0.28515625" style="18" customWidth="1"/>
    <col min="4" max="4" width="0.140625" style="18" customWidth="1"/>
    <col min="5" max="5" width="19.140625" style="18" customWidth="1"/>
    <col min="6" max="6" width="21.7109375" style="18" customWidth="1"/>
    <col min="7" max="16384" width="9.140625" style="18"/>
  </cols>
  <sheetData>
    <row r="1" spans="4:6" ht="0.95" customHeight="1"/>
    <row r="2" spans="4:6" ht="16.149999999999999" customHeight="1">
      <c r="D2" s="27" t="s">
        <v>0</v>
      </c>
      <c r="E2" s="28"/>
    </row>
    <row r="3" spans="4:6" ht="6.6" customHeight="1"/>
    <row r="4" spans="4:6" ht="23.85" customHeight="1">
      <c r="D4" s="29" t="s">
        <v>1</v>
      </c>
      <c r="E4" s="28"/>
    </row>
    <row r="5" spans="4:6" ht="5.0999999999999996" customHeight="1"/>
    <row r="6" spans="4:6" ht="11.25" customHeight="1"/>
    <row r="7" spans="4:6" ht="7.7" customHeight="1"/>
    <row r="8" spans="4:6" ht="0.6" customHeight="1"/>
    <row r="9" spans="4:6" ht="15" customHeight="1">
      <c r="E9" s="25"/>
    </row>
    <row r="10" spans="4:6" ht="15" customHeight="1">
      <c r="E10" s="26"/>
    </row>
    <row r="11" spans="4:6">
      <c r="E11" s="21" t="s">
        <v>42</v>
      </c>
      <c r="F11" s="18">
        <v>534</v>
      </c>
    </row>
    <row r="12" spans="4:6">
      <c r="E12" s="33"/>
      <c r="F12" s="18">
        <v>700</v>
      </c>
    </row>
    <row r="13" spans="4:6">
      <c r="E13" s="35"/>
      <c r="F13" s="18" t="s">
        <v>37</v>
      </c>
    </row>
    <row r="14" spans="4:6">
      <c r="E14" s="37"/>
      <c r="F14" s="18" t="s">
        <v>37</v>
      </c>
    </row>
    <row r="15" spans="4:6">
      <c r="E15" s="21">
        <v>7.98</v>
      </c>
      <c r="F15" s="18" t="s">
        <v>37</v>
      </c>
    </row>
    <row r="16" spans="4:6">
      <c r="E16" s="14">
        <v>7.98</v>
      </c>
      <c r="F16" s="18">
        <v>0</v>
      </c>
    </row>
    <row r="17" spans="5:6" ht="15" customHeight="1">
      <c r="E17" s="26"/>
      <c r="F17" s="18">
        <v>0</v>
      </c>
    </row>
    <row r="18" spans="5:6">
      <c r="E18" s="21"/>
      <c r="F18" s="18" t="s">
        <v>37</v>
      </c>
    </row>
    <row r="19" spans="5:6" ht="15" customHeight="1">
      <c r="E19" s="26"/>
      <c r="F19" s="18" t="s">
        <v>40</v>
      </c>
    </row>
    <row r="20" spans="5:6">
      <c r="E20" s="15" t="s">
        <v>73</v>
      </c>
      <c r="F20" s="18" t="s">
        <v>37</v>
      </c>
    </row>
    <row r="21" spans="5:6">
      <c r="E21" s="16" t="s">
        <v>37</v>
      </c>
      <c r="F21" s="18" t="s">
        <v>37</v>
      </c>
    </row>
    <row r="22" spans="5:6" ht="0" hidden="1" customHeight="1">
      <c r="F22" s="18">
        <v>0</v>
      </c>
    </row>
    <row r="23" spans="5:6" ht="0.6" customHeight="1">
      <c r="F23" s="18">
        <v>25</v>
      </c>
    </row>
    <row r="24" spans="5:6" ht="15" customHeight="1">
      <c r="E24" s="25"/>
      <c r="F24" s="18" t="s">
        <v>37</v>
      </c>
    </row>
    <row r="25" spans="5:6" ht="15" customHeight="1">
      <c r="E25" s="26"/>
      <c r="F25" s="18">
        <v>233</v>
      </c>
    </row>
    <row r="26" spans="5:6">
      <c r="E26" s="21" t="s">
        <v>77</v>
      </c>
      <c r="F26" s="18">
        <v>631</v>
      </c>
    </row>
    <row r="27" spans="5:6">
      <c r="E27" s="33"/>
      <c r="F27" s="18">
        <v>700</v>
      </c>
    </row>
    <row r="28" spans="5:6">
      <c r="E28" s="35"/>
      <c r="F28" s="18" t="s">
        <v>37</v>
      </c>
    </row>
    <row r="29" spans="5:6">
      <c r="E29" s="37"/>
      <c r="F29" s="18" t="s">
        <v>37</v>
      </c>
    </row>
    <row r="30" spans="5:6">
      <c r="E30" s="21">
        <v>9.32</v>
      </c>
      <c r="F30" s="18" t="s">
        <v>37</v>
      </c>
    </row>
    <row r="31" spans="5:6">
      <c r="E31" s="14">
        <v>9.32</v>
      </c>
      <c r="F31" s="18">
        <v>0</v>
      </c>
    </row>
    <row r="32" spans="5:6" ht="15" customHeight="1">
      <c r="E32" s="26"/>
      <c r="F32" s="18">
        <v>0</v>
      </c>
    </row>
    <row r="33" spans="5:6">
      <c r="E33" s="21"/>
      <c r="F33" s="18" t="s">
        <v>37</v>
      </c>
    </row>
    <row r="34" spans="5:6" ht="15" customHeight="1">
      <c r="E34" s="26"/>
      <c r="F34" s="18" t="s">
        <v>40</v>
      </c>
    </row>
    <row r="35" spans="5:6">
      <c r="E35" s="15" t="s">
        <v>89</v>
      </c>
      <c r="F35" s="18" t="s">
        <v>37</v>
      </c>
    </row>
    <row r="36" spans="5:6">
      <c r="E36" s="16" t="s">
        <v>37</v>
      </c>
      <c r="F36" s="18" t="s">
        <v>37</v>
      </c>
    </row>
    <row r="37" spans="5:6" ht="0" hidden="1" customHeight="1">
      <c r="F37" s="18">
        <v>0</v>
      </c>
    </row>
    <row r="38" spans="5:6" ht="0.6" customHeight="1">
      <c r="F38" s="18">
        <v>25</v>
      </c>
    </row>
    <row r="39" spans="5:6" ht="15" customHeight="1">
      <c r="E39" s="25"/>
      <c r="F39" s="18" t="s">
        <v>37</v>
      </c>
    </row>
    <row r="40" spans="5:6" ht="15" customHeight="1">
      <c r="E40" s="26"/>
      <c r="F40" s="18">
        <v>186</v>
      </c>
    </row>
    <row r="41" spans="5:6" ht="15" customHeight="1">
      <c r="E41" s="21" t="s">
        <v>91</v>
      </c>
      <c r="F41" s="18">
        <v>492</v>
      </c>
    </row>
    <row r="42" spans="5:6">
      <c r="E42" s="33"/>
      <c r="F42" s="18">
        <v>700</v>
      </c>
    </row>
    <row r="43" spans="5:6">
      <c r="E43" s="35"/>
      <c r="F43" s="18" t="s">
        <v>37</v>
      </c>
    </row>
    <row r="44" spans="5:6">
      <c r="E44" s="37"/>
      <c r="F44" s="18" t="s">
        <v>37</v>
      </c>
    </row>
    <row r="45" spans="5:6">
      <c r="E45" s="21">
        <v>7.44</v>
      </c>
      <c r="F45" s="18" t="s">
        <v>37</v>
      </c>
    </row>
    <row r="46" spans="5:6">
      <c r="E46" s="14">
        <v>7.44</v>
      </c>
      <c r="F46" s="18">
        <v>0</v>
      </c>
    </row>
    <row r="47" spans="5:6" ht="15" customHeight="1">
      <c r="E47" s="26"/>
      <c r="F47" s="18">
        <v>0</v>
      </c>
    </row>
    <row r="48" spans="5:6">
      <c r="E48" s="21"/>
      <c r="F48" s="18" t="s">
        <v>37</v>
      </c>
    </row>
    <row r="49" spans="5:6" ht="15" customHeight="1">
      <c r="E49" s="26"/>
      <c r="F49" s="18" t="s">
        <v>40</v>
      </c>
    </row>
    <row r="50" spans="5:6">
      <c r="E50" s="15" t="s">
        <v>104</v>
      </c>
      <c r="F50" s="18" t="s">
        <v>37</v>
      </c>
    </row>
    <row r="51" spans="5:6">
      <c r="E51" s="16" t="s">
        <v>37</v>
      </c>
      <c r="F51" s="18" t="s">
        <v>37</v>
      </c>
    </row>
    <row r="52" spans="5:6" ht="0" hidden="1" customHeight="1">
      <c r="F52" s="18">
        <v>0</v>
      </c>
    </row>
    <row r="53" spans="5:6" ht="0.6" customHeight="1">
      <c r="F53" s="18">
        <v>25</v>
      </c>
    </row>
    <row r="54" spans="5:6" ht="15" customHeight="1">
      <c r="E54" s="25"/>
      <c r="F54" s="18" t="s">
        <v>37</v>
      </c>
    </row>
    <row r="55" spans="5:6" ht="15" customHeight="1">
      <c r="E55" s="26"/>
      <c r="F55" s="18">
        <v>188</v>
      </c>
    </row>
    <row r="56" spans="5:6" ht="15" customHeight="1">
      <c r="E56" s="21" t="s">
        <v>106</v>
      </c>
      <c r="F56" s="18">
        <v>503</v>
      </c>
    </row>
    <row r="57" spans="5:6">
      <c r="E57" s="33"/>
      <c r="F57" s="18">
        <v>700</v>
      </c>
    </row>
    <row r="58" spans="5:6">
      <c r="E58" s="35"/>
      <c r="F58" s="18" t="s">
        <v>37</v>
      </c>
    </row>
    <row r="59" spans="5:6">
      <c r="E59" s="37"/>
      <c r="F59" s="18" t="s">
        <v>37</v>
      </c>
    </row>
    <row r="60" spans="5:6">
      <c r="E60" s="21">
        <v>7.52</v>
      </c>
      <c r="F60" s="18" t="s">
        <v>37</v>
      </c>
    </row>
    <row r="61" spans="5:6">
      <c r="E61" s="14">
        <v>7.52</v>
      </c>
      <c r="F61" s="18">
        <v>0</v>
      </c>
    </row>
    <row r="62" spans="5:6" ht="15" customHeight="1">
      <c r="E62" s="26"/>
      <c r="F62" s="18" t="s">
        <v>37</v>
      </c>
    </row>
    <row r="63" spans="5:6">
      <c r="E63" s="21"/>
      <c r="F63" s="18" t="s">
        <v>40</v>
      </c>
    </row>
    <row r="64" spans="5:6" ht="15" customHeight="1">
      <c r="E64" s="26"/>
      <c r="F64" s="18" t="s">
        <v>37</v>
      </c>
    </row>
    <row r="65" spans="5:6">
      <c r="E65" s="15" t="s">
        <v>114</v>
      </c>
      <c r="F65" s="18" t="s">
        <v>37</v>
      </c>
    </row>
    <row r="66" spans="5:6">
      <c r="E66" s="16" t="s">
        <v>37</v>
      </c>
      <c r="F66" s="18">
        <v>3</v>
      </c>
    </row>
    <row r="67" spans="5:6" ht="0.6" customHeight="1">
      <c r="F67" s="18">
        <v>25</v>
      </c>
    </row>
    <row r="68" spans="5:6" ht="15" customHeight="1">
      <c r="E68" s="25"/>
      <c r="F68" s="18" t="s">
        <v>37</v>
      </c>
    </row>
    <row r="69" spans="5:6" ht="15" customHeight="1">
      <c r="E69" s="26"/>
      <c r="F69" s="18">
        <v>168</v>
      </c>
    </row>
    <row r="70" spans="5:6">
      <c r="E70" s="21" t="s">
        <v>116</v>
      </c>
      <c r="F70" s="18">
        <v>444</v>
      </c>
    </row>
    <row r="71" spans="5:6">
      <c r="E71" s="33"/>
      <c r="F71" s="18">
        <v>700</v>
      </c>
    </row>
    <row r="72" spans="5:6">
      <c r="E72" s="35"/>
      <c r="F72" s="18" t="s">
        <v>37</v>
      </c>
    </row>
    <row r="73" spans="5:6">
      <c r="E73" s="37"/>
      <c r="F73" s="18" t="s">
        <v>37</v>
      </c>
    </row>
    <row r="74" spans="5:6">
      <c r="E74" s="21">
        <v>6.72</v>
      </c>
      <c r="F74" s="18" t="s">
        <v>37</v>
      </c>
    </row>
    <row r="75" spans="5:6">
      <c r="E75" s="14">
        <v>6.72</v>
      </c>
      <c r="F75" s="18">
        <v>0</v>
      </c>
    </row>
    <row r="76" spans="5:6" ht="15" customHeight="1">
      <c r="E76" s="26"/>
      <c r="F76" s="18">
        <v>0</v>
      </c>
    </row>
    <row r="77" spans="5:6">
      <c r="E77" s="21"/>
      <c r="F77" s="18" t="s">
        <v>37</v>
      </c>
    </row>
    <row r="78" spans="5:6" ht="15" customHeight="1">
      <c r="E78" s="26"/>
      <c r="F78" s="18" t="s">
        <v>40</v>
      </c>
    </row>
    <row r="79" spans="5:6">
      <c r="E79" s="15" t="s">
        <v>128</v>
      </c>
      <c r="F79" s="18" t="s">
        <v>37</v>
      </c>
    </row>
    <row r="80" spans="5:6">
      <c r="E80" s="16" t="s">
        <v>37</v>
      </c>
      <c r="F80" s="18" t="s">
        <v>37</v>
      </c>
    </row>
    <row r="81" spans="5:6" ht="0" hidden="1" customHeight="1">
      <c r="F81" s="18">
        <v>0</v>
      </c>
    </row>
    <row r="82" spans="5:6" ht="0.6" customHeight="1">
      <c r="F82" s="18">
        <v>25</v>
      </c>
    </row>
    <row r="83" spans="5:6" ht="15" customHeight="1">
      <c r="E83" s="25"/>
      <c r="F83" s="18" t="s">
        <v>37</v>
      </c>
    </row>
    <row r="84" spans="5:6" ht="15" customHeight="1">
      <c r="E84" s="26"/>
      <c r="F84" s="18">
        <v>163</v>
      </c>
    </row>
    <row r="85" spans="5:6">
      <c r="E85" s="21" t="s">
        <v>130</v>
      </c>
      <c r="F85" s="18">
        <v>433</v>
      </c>
    </row>
    <row r="86" spans="5:6">
      <c r="E86" s="33"/>
      <c r="F86" s="18">
        <v>700</v>
      </c>
    </row>
    <row r="87" spans="5:6">
      <c r="E87" s="35"/>
      <c r="F87" s="18" t="s">
        <v>37</v>
      </c>
    </row>
    <row r="88" spans="5:6">
      <c r="E88" s="37"/>
      <c r="F88" s="18" t="s">
        <v>37</v>
      </c>
    </row>
    <row r="89" spans="5:6">
      <c r="E89" s="21">
        <v>6.52</v>
      </c>
      <c r="F89" s="18" t="s">
        <v>37</v>
      </c>
    </row>
    <row r="90" spans="5:6">
      <c r="E90" s="14">
        <v>6.52</v>
      </c>
      <c r="F90" s="18">
        <v>0</v>
      </c>
    </row>
    <row r="91" spans="5:6" ht="15" customHeight="1">
      <c r="E91" s="26"/>
      <c r="F91" s="18">
        <v>0</v>
      </c>
    </row>
    <row r="92" spans="5:6">
      <c r="E92" s="21"/>
      <c r="F92" s="18" t="s">
        <v>37</v>
      </c>
    </row>
    <row r="93" spans="5:6" ht="15" customHeight="1">
      <c r="E93" s="26"/>
      <c r="F93" s="18" t="s">
        <v>40</v>
      </c>
    </row>
    <row r="94" spans="5:6">
      <c r="E94" s="15" t="s">
        <v>139</v>
      </c>
      <c r="F94" s="18" t="s">
        <v>37</v>
      </c>
    </row>
    <row r="95" spans="5:6">
      <c r="E95" s="16" t="s">
        <v>37</v>
      </c>
      <c r="F95" s="18" t="s">
        <v>37</v>
      </c>
    </row>
    <row r="96" spans="5:6" ht="0" hidden="1" customHeight="1">
      <c r="F96" s="18">
        <v>0</v>
      </c>
    </row>
    <row r="97" spans="5:6" ht="0.6" customHeight="1">
      <c r="F97" s="18">
        <v>25</v>
      </c>
    </row>
    <row r="98" spans="5:6" ht="15" customHeight="1">
      <c r="E98" s="25"/>
      <c r="F98" s="18" t="s">
        <v>37</v>
      </c>
    </row>
    <row r="99" spans="5:6" ht="15" customHeight="1">
      <c r="E99" s="26"/>
      <c r="F99" s="18">
        <v>185.5</v>
      </c>
    </row>
    <row r="100" spans="5:6">
      <c r="E100" s="21" t="s">
        <v>141</v>
      </c>
      <c r="F100" s="18">
        <v>497</v>
      </c>
    </row>
    <row r="101" spans="5:6">
      <c r="E101" s="33"/>
      <c r="F101" s="18">
        <v>700</v>
      </c>
    </row>
    <row r="102" spans="5:6">
      <c r="E102" s="35"/>
      <c r="F102" s="18" t="s">
        <v>37</v>
      </c>
    </row>
    <row r="103" spans="5:6">
      <c r="E103" s="37"/>
      <c r="F103" s="18" t="s">
        <v>37</v>
      </c>
    </row>
    <row r="104" spans="5:6">
      <c r="E104" s="21">
        <v>7.42</v>
      </c>
      <c r="F104" s="18" t="s">
        <v>37</v>
      </c>
    </row>
    <row r="105" spans="5:6">
      <c r="E105" s="14">
        <v>7.42</v>
      </c>
      <c r="F105" s="18">
        <v>0</v>
      </c>
    </row>
    <row r="106" spans="5:6" ht="15" customHeight="1">
      <c r="E106" s="26"/>
      <c r="F106" s="18">
        <v>0</v>
      </c>
    </row>
    <row r="107" spans="5:6">
      <c r="E107" s="21"/>
      <c r="F107" s="18" t="s">
        <v>37</v>
      </c>
    </row>
    <row r="108" spans="5:6" ht="15" customHeight="1">
      <c r="E108" s="26"/>
      <c r="F108" s="18" t="s">
        <v>40</v>
      </c>
    </row>
    <row r="109" spans="5:6">
      <c r="E109" s="15" t="s">
        <v>149</v>
      </c>
      <c r="F109" s="18" t="s">
        <v>37</v>
      </c>
    </row>
    <row r="110" spans="5:6">
      <c r="E110" s="16" t="s">
        <v>37</v>
      </c>
      <c r="F110" s="18" t="s">
        <v>37</v>
      </c>
    </row>
    <row r="111" spans="5:6" ht="0" hidden="1" customHeight="1">
      <c r="F111" s="18">
        <v>0</v>
      </c>
    </row>
    <row r="112" spans="5:6" ht="0.6" customHeight="1">
      <c r="F112" s="18">
        <v>25</v>
      </c>
    </row>
    <row r="113" spans="5:6" ht="15" customHeight="1">
      <c r="E113" s="25"/>
      <c r="F113" s="18" t="s">
        <v>37</v>
      </c>
    </row>
    <row r="114" spans="5:6" ht="15" customHeight="1">
      <c r="E114" s="26"/>
      <c r="F114" s="18">
        <v>193</v>
      </c>
    </row>
    <row r="115" spans="5:6">
      <c r="E115" s="21" t="s">
        <v>151</v>
      </c>
      <c r="F115" s="18">
        <v>521</v>
      </c>
    </row>
    <row r="116" spans="5:6">
      <c r="E116" s="33"/>
      <c r="F116" s="18">
        <v>700</v>
      </c>
    </row>
    <row r="117" spans="5:6">
      <c r="E117" s="35"/>
      <c r="F117" s="18" t="s">
        <v>37</v>
      </c>
    </row>
    <row r="118" spans="5:6">
      <c r="E118" s="37"/>
      <c r="F118" s="18" t="s">
        <v>37</v>
      </c>
    </row>
    <row r="119" spans="5:6">
      <c r="E119" s="21">
        <v>7.72</v>
      </c>
      <c r="F119" s="18" t="s">
        <v>37</v>
      </c>
    </row>
    <row r="120" spans="5:6">
      <c r="E120" s="14">
        <v>7.72</v>
      </c>
      <c r="F120" s="18">
        <v>0</v>
      </c>
    </row>
    <row r="121" spans="5:6" ht="15" customHeight="1">
      <c r="E121" s="26"/>
      <c r="F121" s="18">
        <v>0</v>
      </c>
    </row>
    <row r="122" spans="5:6">
      <c r="E122" s="21"/>
      <c r="F122" s="18" t="s">
        <v>37</v>
      </c>
    </row>
    <row r="123" spans="5:6" ht="15" customHeight="1">
      <c r="E123" s="26"/>
      <c r="F123" s="18" t="s">
        <v>40</v>
      </c>
    </row>
    <row r="124" spans="5:6">
      <c r="E124" s="15" t="s">
        <v>157</v>
      </c>
      <c r="F124" s="18" t="s">
        <v>37</v>
      </c>
    </row>
    <row r="125" spans="5:6">
      <c r="E125" s="16" t="s">
        <v>37</v>
      </c>
      <c r="F125" s="18" t="s">
        <v>37</v>
      </c>
    </row>
    <row r="126" spans="5:6" ht="0" hidden="1" customHeight="1">
      <c r="F126" s="18">
        <v>0</v>
      </c>
    </row>
    <row r="127" spans="5:6" ht="0.6" customHeight="1">
      <c r="F127" s="18">
        <v>25</v>
      </c>
    </row>
    <row r="128" spans="5:6" ht="15" customHeight="1">
      <c r="E128" s="25"/>
      <c r="F128" s="18" t="s">
        <v>37</v>
      </c>
    </row>
    <row r="129" spans="5:6" ht="15" customHeight="1">
      <c r="E129" s="26"/>
      <c r="F129" s="18">
        <v>193.5</v>
      </c>
    </row>
    <row r="130" spans="5:6">
      <c r="E130" s="21" t="s">
        <v>159</v>
      </c>
      <c r="F130" s="18">
        <v>512</v>
      </c>
    </row>
    <row r="131" spans="5:6">
      <c r="E131" s="33"/>
      <c r="F131" s="18">
        <v>700</v>
      </c>
    </row>
    <row r="132" spans="5:6">
      <c r="E132" s="35"/>
      <c r="F132" s="18" t="s">
        <v>37</v>
      </c>
    </row>
    <row r="133" spans="5:6">
      <c r="E133" s="37"/>
      <c r="F133" s="18" t="s">
        <v>37</v>
      </c>
    </row>
    <row r="134" spans="5:6">
      <c r="E134" s="21">
        <v>7.74</v>
      </c>
      <c r="F134" s="18" t="s">
        <v>37</v>
      </c>
    </row>
    <row r="135" spans="5:6">
      <c r="E135" s="14">
        <v>7.74</v>
      </c>
      <c r="F135" s="18">
        <v>0</v>
      </c>
    </row>
    <row r="136" spans="5:6" ht="15" customHeight="1">
      <c r="E136" s="26"/>
      <c r="F136" s="18">
        <v>0</v>
      </c>
    </row>
    <row r="137" spans="5:6">
      <c r="E137" s="21"/>
      <c r="F137" s="18" t="s">
        <v>37</v>
      </c>
    </row>
    <row r="138" spans="5:6" ht="15" customHeight="1">
      <c r="E138" s="26"/>
      <c r="F138" s="18" t="s">
        <v>40</v>
      </c>
    </row>
    <row r="139" spans="5:6">
      <c r="E139" s="15" t="s">
        <v>168</v>
      </c>
      <c r="F139" s="18" t="s">
        <v>37</v>
      </c>
    </row>
    <row r="140" spans="5:6">
      <c r="E140" s="16" t="s">
        <v>37</v>
      </c>
      <c r="F140" s="18" t="s">
        <v>37</v>
      </c>
    </row>
    <row r="141" spans="5:6" ht="0" hidden="1" customHeight="1">
      <c r="F141" s="18">
        <v>0</v>
      </c>
    </row>
    <row r="142" spans="5:6" ht="0.6" customHeight="1">
      <c r="F142" s="18">
        <v>25</v>
      </c>
    </row>
    <row r="143" spans="5:6" ht="15" customHeight="1">
      <c r="E143" s="25"/>
      <c r="F143" s="18" t="s">
        <v>37</v>
      </c>
    </row>
    <row r="144" spans="5:6" ht="15" customHeight="1">
      <c r="E144" s="26"/>
      <c r="F144" s="18">
        <v>193.5</v>
      </c>
    </row>
    <row r="145" spans="5:6">
      <c r="E145" s="21" t="s">
        <v>170</v>
      </c>
      <c r="F145" s="18">
        <v>512</v>
      </c>
    </row>
    <row r="146" spans="5:6">
      <c r="E146" s="33"/>
      <c r="F146" s="18">
        <v>700</v>
      </c>
    </row>
    <row r="147" spans="5:6">
      <c r="E147" s="35"/>
      <c r="F147" s="18" t="s">
        <v>37</v>
      </c>
    </row>
    <row r="148" spans="5:6">
      <c r="E148" s="37"/>
      <c r="F148" s="18" t="s">
        <v>37</v>
      </c>
    </row>
    <row r="149" spans="5:6">
      <c r="E149" s="21">
        <v>7.74</v>
      </c>
      <c r="F149" s="18" t="s">
        <v>37</v>
      </c>
    </row>
    <row r="150" spans="5:6">
      <c r="E150" s="14">
        <v>7.74</v>
      </c>
      <c r="F150" s="18">
        <v>0</v>
      </c>
    </row>
    <row r="151" spans="5:6" ht="15" customHeight="1">
      <c r="E151" s="26"/>
      <c r="F151" s="18">
        <v>0</v>
      </c>
    </row>
    <row r="152" spans="5:6">
      <c r="E152" s="21"/>
      <c r="F152" s="18" t="s">
        <v>37</v>
      </c>
    </row>
    <row r="153" spans="5:6" ht="15" customHeight="1">
      <c r="E153" s="26"/>
      <c r="F153" s="18" t="s">
        <v>40</v>
      </c>
    </row>
    <row r="154" spans="5:6">
      <c r="E154" s="15" t="s">
        <v>179</v>
      </c>
      <c r="F154" s="18" t="s">
        <v>37</v>
      </c>
    </row>
    <row r="155" spans="5:6">
      <c r="E155" s="16" t="s">
        <v>37</v>
      </c>
      <c r="F155" s="18" t="s">
        <v>37</v>
      </c>
    </row>
    <row r="156" spans="5:6" ht="0" hidden="1" customHeight="1">
      <c r="F156" s="18">
        <v>0</v>
      </c>
    </row>
    <row r="157" spans="5:6" ht="0.6" customHeight="1">
      <c r="F157" s="18">
        <v>25</v>
      </c>
    </row>
    <row r="158" spans="5:6" ht="15" customHeight="1">
      <c r="E158" s="25"/>
      <c r="F158" s="18" t="s">
        <v>37</v>
      </c>
    </row>
    <row r="159" spans="5:6" ht="15" customHeight="1">
      <c r="E159" s="26"/>
      <c r="F159" s="18">
        <v>216</v>
      </c>
    </row>
    <row r="160" spans="5:6">
      <c r="E160" s="21" t="s">
        <v>181</v>
      </c>
      <c r="F160" s="18">
        <v>582</v>
      </c>
    </row>
    <row r="161" spans="5:6">
      <c r="E161" s="33"/>
      <c r="F161" s="18">
        <v>700</v>
      </c>
    </row>
    <row r="162" spans="5:6">
      <c r="E162" s="35"/>
      <c r="F162" s="18" t="s">
        <v>37</v>
      </c>
    </row>
    <row r="163" spans="5:6">
      <c r="E163" s="37"/>
      <c r="F163" s="18" t="s">
        <v>37</v>
      </c>
    </row>
    <row r="164" spans="5:6">
      <c r="E164" s="21">
        <v>8.64</v>
      </c>
      <c r="F164" s="18" t="s">
        <v>37</v>
      </c>
    </row>
    <row r="165" spans="5:6">
      <c r="E165" s="14">
        <v>8.64</v>
      </c>
      <c r="F165" s="18">
        <v>0</v>
      </c>
    </row>
    <row r="166" spans="5:6" ht="15" customHeight="1">
      <c r="E166" s="26"/>
      <c r="F166" s="18">
        <v>0</v>
      </c>
    </row>
    <row r="167" spans="5:6">
      <c r="E167" s="21"/>
      <c r="F167" s="18" t="s">
        <v>37</v>
      </c>
    </row>
    <row r="168" spans="5:6" ht="15" customHeight="1">
      <c r="E168" s="26"/>
      <c r="F168" s="18" t="s">
        <v>40</v>
      </c>
    </row>
    <row r="169" spans="5:6">
      <c r="E169" s="15" t="s">
        <v>189</v>
      </c>
      <c r="F169" s="18" t="s">
        <v>37</v>
      </c>
    </row>
    <row r="170" spans="5:6">
      <c r="E170" s="16" t="s">
        <v>37</v>
      </c>
      <c r="F170" s="18" t="s">
        <v>37</v>
      </c>
    </row>
    <row r="171" spans="5:6" ht="0" hidden="1" customHeight="1">
      <c r="F171" s="18">
        <v>0</v>
      </c>
    </row>
    <row r="172" spans="5:6" ht="0.6" customHeight="1">
      <c r="F172" s="18">
        <v>25</v>
      </c>
    </row>
    <row r="173" spans="5:6" ht="15" customHeight="1">
      <c r="E173" s="25"/>
      <c r="F173" s="18" t="s">
        <v>37</v>
      </c>
    </row>
    <row r="174" spans="5:6" ht="15" customHeight="1">
      <c r="E174" s="26"/>
      <c r="F174" s="18">
        <v>203.5</v>
      </c>
    </row>
    <row r="175" spans="5:6">
      <c r="E175" s="21" t="s">
        <v>191</v>
      </c>
      <c r="F175" s="18">
        <v>547</v>
      </c>
    </row>
    <row r="176" spans="5:6">
      <c r="E176" s="33"/>
      <c r="F176" s="18">
        <v>700</v>
      </c>
    </row>
    <row r="177" spans="5:6">
      <c r="E177" s="35"/>
      <c r="F177" s="18" t="s">
        <v>37</v>
      </c>
    </row>
    <row r="178" spans="5:6">
      <c r="E178" s="37"/>
      <c r="F178" s="18" t="s">
        <v>37</v>
      </c>
    </row>
    <row r="179" spans="5:6">
      <c r="E179" s="21">
        <v>8.14</v>
      </c>
      <c r="F179" s="18" t="s">
        <v>37</v>
      </c>
    </row>
    <row r="180" spans="5:6">
      <c r="E180" s="14">
        <v>8.14</v>
      </c>
      <c r="F180" s="18">
        <v>0</v>
      </c>
    </row>
    <row r="181" spans="5:6" ht="15" customHeight="1">
      <c r="E181" s="26"/>
      <c r="F181" s="18">
        <v>0</v>
      </c>
    </row>
    <row r="182" spans="5:6">
      <c r="E182" s="21"/>
      <c r="F182" s="18" t="s">
        <v>37</v>
      </c>
    </row>
    <row r="183" spans="5:6" ht="15" customHeight="1">
      <c r="E183" s="26"/>
      <c r="F183" s="18" t="s">
        <v>40</v>
      </c>
    </row>
    <row r="184" spans="5:6">
      <c r="E184" s="15" t="s">
        <v>201</v>
      </c>
      <c r="F184" s="18" t="s">
        <v>37</v>
      </c>
    </row>
    <row r="185" spans="5:6">
      <c r="E185" s="16" t="s">
        <v>37</v>
      </c>
      <c r="F185" s="18" t="s">
        <v>37</v>
      </c>
    </row>
    <row r="186" spans="5:6" ht="0" hidden="1" customHeight="1">
      <c r="F186" s="18">
        <v>0</v>
      </c>
    </row>
    <row r="187" spans="5:6" ht="0.6" customHeight="1">
      <c r="F187" s="18">
        <v>25</v>
      </c>
    </row>
    <row r="188" spans="5:6" ht="15" customHeight="1">
      <c r="E188" s="25"/>
      <c r="F188" s="18" t="s">
        <v>37</v>
      </c>
    </row>
    <row r="189" spans="5:6" ht="15" customHeight="1">
      <c r="E189" s="26"/>
      <c r="F189" s="18">
        <v>219</v>
      </c>
    </row>
    <row r="190" spans="5:6">
      <c r="E190" s="21" t="s">
        <v>203</v>
      </c>
      <c r="F190" s="18">
        <v>591</v>
      </c>
    </row>
    <row r="191" spans="5:6">
      <c r="E191" s="33"/>
      <c r="F191" s="18">
        <v>700</v>
      </c>
    </row>
    <row r="192" spans="5:6">
      <c r="E192" s="35"/>
      <c r="F192" s="18" t="s">
        <v>37</v>
      </c>
    </row>
    <row r="193" spans="5:6">
      <c r="E193" s="37"/>
      <c r="F193" s="18" t="s">
        <v>37</v>
      </c>
    </row>
    <row r="194" spans="5:6">
      <c r="E194" s="21">
        <v>8.76</v>
      </c>
      <c r="F194" s="18" t="s">
        <v>37</v>
      </c>
    </row>
    <row r="195" spans="5:6">
      <c r="E195" s="14">
        <v>8.76</v>
      </c>
      <c r="F195" s="18">
        <v>0</v>
      </c>
    </row>
    <row r="196" spans="5:6" ht="15" customHeight="1">
      <c r="E196" s="26"/>
      <c r="F196" s="18" t="s">
        <v>37</v>
      </c>
    </row>
    <row r="197" spans="5:6">
      <c r="E197" s="21"/>
      <c r="F197" s="18" t="s">
        <v>40</v>
      </c>
    </row>
    <row r="198" spans="5:6" ht="15" customHeight="1">
      <c r="E198" s="26"/>
      <c r="F198" s="18" t="s">
        <v>37</v>
      </c>
    </row>
    <row r="199" spans="5:6">
      <c r="E199" s="15" t="s">
        <v>211</v>
      </c>
      <c r="F199" s="18" t="s">
        <v>37</v>
      </c>
    </row>
    <row r="200" spans="5:6">
      <c r="E200" s="16" t="s">
        <v>37</v>
      </c>
      <c r="F200" s="18">
        <v>0</v>
      </c>
    </row>
    <row r="201" spans="5:6" ht="0.6" customHeight="1">
      <c r="F201" s="18">
        <v>25</v>
      </c>
    </row>
    <row r="202" spans="5:6" ht="15" customHeight="1">
      <c r="E202" s="25"/>
      <c r="F202" s="18" t="s">
        <v>37</v>
      </c>
    </row>
    <row r="203" spans="5:6" ht="15" customHeight="1">
      <c r="E203" s="26"/>
      <c r="F203" s="18">
        <v>197.5</v>
      </c>
    </row>
    <row r="204" spans="5:6">
      <c r="E204" s="21" t="s">
        <v>213</v>
      </c>
      <c r="F204" s="18">
        <v>533</v>
      </c>
    </row>
    <row r="205" spans="5:6">
      <c r="E205" s="33"/>
      <c r="F205" s="18">
        <v>700</v>
      </c>
    </row>
    <row r="206" spans="5:6">
      <c r="E206" s="35"/>
      <c r="F206" s="18" t="s">
        <v>37</v>
      </c>
    </row>
    <row r="207" spans="5:6">
      <c r="E207" s="37"/>
      <c r="F207" s="18" t="s">
        <v>37</v>
      </c>
    </row>
    <row r="208" spans="5:6">
      <c r="E208" s="21">
        <v>7.9</v>
      </c>
      <c r="F208" s="18" t="s">
        <v>37</v>
      </c>
    </row>
    <row r="209" spans="5:6">
      <c r="E209" s="14">
        <v>7.9</v>
      </c>
      <c r="F209" s="18">
        <v>0</v>
      </c>
    </row>
    <row r="210" spans="5:6" ht="15" customHeight="1">
      <c r="E210" s="26"/>
      <c r="F210" s="18">
        <v>0</v>
      </c>
    </row>
    <row r="211" spans="5:6">
      <c r="E211" s="21"/>
      <c r="F211" s="18" t="s">
        <v>37</v>
      </c>
    </row>
    <row r="212" spans="5:6" ht="15" customHeight="1">
      <c r="E212" s="26"/>
      <c r="F212" s="18" t="s">
        <v>40</v>
      </c>
    </row>
    <row r="213" spans="5:6">
      <c r="E213" s="15" t="s">
        <v>219</v>
      </c>
      <c r="F213" s="18" t="s">
        <v>37</v>
      </c>
    </row>
    <row r="214" spans="5:6">
      <c r="E214" s="16" t="s">
        <v>37</v>
      </c>
      <c r="F214" s="18" t="s">
        <v>37</v>
      </c>
    </row>
    <row r="215" spans="5:6" ht="0" hidden="1" customHeight="1">
      <c r="F215" s="18">
        <v>0</v>
      </c>
    </row>
    <row r="216" spans="5:6" ht="0.6" customHeight="1">
      <c r="F216" s="18">
        <v>25</v>
      </c>
    </row>
    <row r="217" spans="5:6" ht="15" customHeight="1">
      <c r="E217" s="25"/>
      <c r="F217" s="18" t="s">
        <v>37</v>
      </c>
    </row>
    <row r="218" spans="5:6" ht="15" customHeight="1">
      <c r="E218" s="26"/>
      <c r="F218" s="18">
        <v>209</v>
      </c>
    </row>
    <row r="219" spans="5:6">
      <c r="E219" s="21" t="s">
        <v>221</v>
      </c>
      <c r="F219" s="18">
        <v>564</v>
      </c>
    </row>
    <row r="220" spans="5:6">
      <c r="E220" s="33"/>
      <c r="F220" s="18">
        <v>700</v>
      </c>
    </row>
    <row r="221" spans="5:6">
      <c r="E221" s="35"/>
      <c r="F221" s="18" t="s">
        <v>37</v>
      </c>
    </row>
    <row r="222" spans="5:6">
      <c r="E222" s="37"/>
      <c r="F222" s="18" t="s">
        <v>37</v>
      </c>
    </row>
    <row r="223" spans="5:6">
      <c r="E223" s="21">
        <v>8.36</v>
      </c>
      <c r="F223" s="18" t="s">
        <v>37</v>
      </c>
    </row>
    <row r="224" spans="5:6">
      <c r="E224" s="14">
        <v>8.36</v>
      </c>
      <c r="F224" s="18">
        <v>0</v>
      </c>
    </row>
    <row r="225" spans="5:6" ht="15" customHeight="1">
      <c r="E225" s="26"/>
      <c r="F225" s="18">
        <v>0</v>
      </c>
    </row>
    <row r="226" spans="5:6">
      <c r="E226" s="21"/>
      <c r="F226" s="18" t="s">
        <v>37</v>
      </c>
    </row>
    <row r="227" spans="5:6" ht="15" customHeight="1">
      <c r="E227" s="26"/>
      <c r="F227" s="18" t="s">
        <v>40</v>
      </c>
    </row>
    <row r="228" spans="5:6">
      <c r="E228" s="15" t="s">
        <v>229</v>
      </c>
      <c r="F228" s="18" t="s">
        <v>37</v>
      </c>
    </row>
    <row r="229" spans="5:6">
      <c r="E229" s="16" t="s">
        <v>37</v>
      </c>
      <c r="F229" s="18" t="s">
        <v>37</v>
      </c>
    </row>
    <row r="230" spans="5:6" ht="0" hidden="1" customHeight="1">
      <c r="F230" s="18">
        <v>0</v>
      </c>
    </row>
    <row r="231" spans="5:6" ht="0.6" customHeight="1">
      <c r="F231" s="18">
        <v>25</v>
      </c>
    </row>
    <row r="232" spans="5:6" ht="15" customHeight="1">
      <c r="E232" s="25"/>
      <c r="F232" s="18" t="s">
        <v>37</v>
      </c>
    </row>
    <row r="233" spans="5:6" ht="15" customHeight="1">
      <c r="E233" s="26"/>
      <c r="F233" s="18">
        <v>177</v>
      </c>
    </row>
    <row r="234" spans="5:6" ht="15" customHeight="1">
      <c r="E234" s="21" t="s">
        <v>231</v>
      </c>
      <c r="F234" s="18">
        <v>469</v>
      </c>
    </row>
    <row r="235" spans="5:6">
      <c r="E235" s="33"/>
      <c r="F235" s="18">
        <v>700</v>
      </c>
    </row>
    <row r="236" spans="5:6">
      <c r="E236" s="35"/>
      <c r="F236" s="18" t="s">
        <v>37</v>
      </c>
    </row>
    <row r="237" spans="5:6">
      <c r="E237" s="37"/>
      <c r="F237" s="18" t="s">
        <v>37</v>
      </c>
    </row>
    <row r="238" spans="5:6">
      <c r="E238" s="21">
        <v>7.08</v>
      </c>
      <c r="F238" s="18" t="s">
        <v>37</v>
      </c>
    </row>
    <row r="239" spans="5:6">
      <c r="E239" s="14">
        <v>7.08</v>
      </c>
      <c r="F239" s="18">
        <v>0</v>
      </c>
    </row>
    <row r="240" spans="5:6" ht="15" customHeight="1">
      <c r="E240" s="26"/>
      <c r="F240" s="18">
        <v>0</v>
      </c>
    </row>
    <row r="241" spans="5:6">
      <c r="E241" s="21"/>
      <c r="F241" s="18" t="s">
        <v>37</v>
      </c>
    </row>
    <row r="242" spans="5:6" ht="15" customHeight="1">
      <c r="E242" s="26"/>
      <c r="F242" s="18" t="s">
        <v>40</v>
      </c>
    </row>
    <row r="243" spans="5:6">
      <c r="E243" s="15" t="s">
        <v>238</v>
      </c>
      <c r="F243" s="18" t="s">
        <v>37</v>
      </c>
    </row>
    <row r="244" spans="5:6">
      <c r="E244" s="16" t="s">
        <v>37</v>
      </c>
      <c r="F244" s="18" t="s">
        <v>37</v>
      </c>
    </row>
    <row r="245" spans="5:6" ht="0" hidden="1" customHeight="1">
      <c r="F245" s="18">
        <v>0</v>
      </c>
    </row>
    <row r="246" spans="5:6" ht="0.6" customHeight="1">
      <c r="F246" s="18">
        <v>25</v>
      </c>
    </row>
    <row r="247" spans="5:6" ht="15" customHeight="1">
      <c r="E247" s="25"/>
      <c r="F247" s="18" t="s">
        <v>37</v>
      </c>
    </row>
    <row r="248" spans="5:6" ht="15" customHeight="1">
      <c r="E248" s="26"/>
      <c r="F248" s="18">
        <v>200.5</v>
      </c>
    </row>
    <row r="249" spans="5:6" ht="15" customHeight="1">
      <c r="E249" s="21" t="s">
        <v>240</v>
      </c>
      <c r="F249" s="18">
        <v>548</v>
      </c>
    </row>
    <row r="250" spans="5:6">
      <c r="E250" s="33"/>
      <c r="F250" s="18">
        <v>700</v>
      </c>
    </row>
    <row r="251" spans="5:6">
      <c r="E251" s="35"/>
      <c r="F251" s="18" t="s">
        <v>37</v>
      </c>
    </row>
    <row r="252" spans="5:6">
      <c r="E252" s="37"/>
      <c r="F252" s="18" t="s">
        <v>37</v>
      </c>
    </row>
    <row r="253" spans="5:6">
      <c r="E253" s="21">
        <v>8.02</v>
      </c>
      <c r="F253" s="18" t="s">
        <v>37</v>
      </c>
    </row>
    <row r="254" spans="5:6">
      <c r="E254" s="14">
        <v>8.02</v>
      </c>
      <c r="F254" s="18">
        <v>0</v>
      </c>
    </row>
    <row r="255" spans="5:6" ht="15" customHeight="1">
      <c r="E255" s="26"/>
      <c r="F255" s="18">
        <v>0</v>
      </c>
    </row>
    <row r="256" spans="5:6">
      <c r="E256" s="21"/>
      <c r="F256" s="18" t="s">
        <v>37</v>
      </c>
    </row>
    <row r="257" spans="5:6" ht="15" customHeight="1">
      <c r="E257" s="26"/>
      <c r="F257" s="18" t="s">
        <v>40</v>
      </c>
    </row>
    <row r="258" spans="5:6">
      <c r="E258" s="15" t="s">
        <v>249</v>
      </c>
      <c r="F258" s="18" t="s">
        <v>37</v>
      </c>
    </row>
    <row r="259" spans="5:6">
      <c r="E259" s="16" t="s">
        <v>37</v>
      </c>
      <c r="F259" s="18" t="s">
        <v>37</v>
      </c>
    </row>
    <row r="260" spans="5:6" ht="0" hidden="1" customHeight="1">
      <c r="F260" s="18">
        <v>0</v>
      </c>
    </row>
    <row r="261" spans="5:6" ht="0.6" customHeight="1">
      <c r="F261" s="18">
        <v>15</v>
      </c>
    </row>
    <row r="262" spans="5:6" ht="15" customHeight="1">
      <c r="E262" s="25"/>
      <c r="F262" s="18" t="s">
        <v>37</v>
      </c>
    </row>
    <row r="263" spans="5:6" ht="15" customHeight="1">
      <c r="E263" s="26"/>
      <c r="F263" s="18">
        <v>86.5</v>
      </c>
    </row>
    <row r="264" spans="5:6">
      <c r="E264" s="21" t="s">
        <v>251</v>
      </c>
      <c r="F264" s="18">
        <v>322</v>
      </c>
    </row>
    <row r="265" spans="5:6">
      <c r="E265" s="33"/>
      <c r="F265" s="18">
        <v>700</v>
      </c>
    </row>
    <row r="266" spans="5:6">
      <c r="E266" s="35"/>
      <c r="F266" s="18" t="s">
        <v>37</v>
      </c>
    </row>
    <row r="267" spans="5:6">
      <c r="E267" s="37"/>
      <c r="F267" s="18" t="s">
        <v>37</v>
      </c>
    </row>
    <row r="268" spans="5:6">
      <c r="E268" s="21">
        <v>3.46</v>
      </c>
      <c r="F268" s="18" t="s">
        <v>37</v>
      </c>
    </row>
    <row r="269" spans="5:6">
      <c r="E269" s="21"/>
      <c r="F269" s="18">
        <v>0</v>
      </c>
    </row>
    <row r="270" spans="5:6" ht="15" customHeight="1">
      <c r="E270" s="26"/>
      <c r="F270" s="18">
        <v>0</v>
      </c>
    </row>
    <row r="271" spans="5:6">
      <c r="E271" s="21"/>
      <c r="F271" s="18" t="s">
        <v>37</v>
      </c>
    </row>
    <row r="272" spans="5:6" ht="15" customHeight="1">
      <c r="E272" s="26"/>
      <c r="F272" s="18" t="s">
        <v>40</v>
      </c>
    </row>
    <row r="273" spans="5:6">
      <c r="E273" s="15" t="s">
        <v>262</v>
      </c>
      <c r="F273" s="18" t="s">
        <v>37</v>
      </c>
    </row>
    <row r="274" spans="5:6">
      <c r="E274" s="16" t="s">
        <v>37</v>
      </c>
      <c r="F274" s="18" t="s">
        <v>37</v>
      </c>
    </row>
    <row r="275" spans="5:6" ht="0" hidden="1" customHeight="1">
      <c r="F275" s="18">
        <v>0</v>
      </c>
    </row>
    <row r="276" spans="5:6" ht="0.6" customHeight="1">
      <c r="F276" s="18">
        <v>25</v>
      </c>
    </row>
    <row r="277" spans="5:6" ht="15" customHeight="1">
      <c r="E277" s="25"/>
      <c r="F277" s="18" t="s">
        <v>37</v>
      </c>
    </row>
    <row r="278" spans="5:6" ht="15" customHeight="1">
      <c r="E278" s="26"/>
      <c r="F278" s="18">
        <v>157</v>
      </c>
    </row>
    <row r="279" spans="5:6">
      <c r="E279" s="21" t="s">
        <v>265</v>
      </c>
      <c r="F279" s="18">
        <v>414</v>
      </c>
    </row>
    <row r="280" spans="5:6">
      <c r="E280" s="33"/>
      <c r="F280" s="18">
        <v>700</v>
      </c>
    </row>
    <row r="281" spans="5:6">
      <c r="E281" s="35"/>
      <c r="F281" s="18" t="s">
        <v>37</v>
      </c>
    </row>
    <row r="282" spans="5:6">
      <c r="E282" s="37"/>
      <c r="F282" s="18" t="s">
        <v>37</v>
      </c>
    </row>
    <row r="283" spans="5:6">
      <c r="E283" s="21">
        <v>6.28</v>
      </c>
      <c r="F283" s="18" t="s">
        <v>37</v>
      </c>
    </row>
    <row r="284" spans="5:6">
      <c r="E284" s="14">
        <v>6.28</v>
      </c>
      <c r="F284" s="18">
        <v>0</v>
      </c>
    </row>
    <row r="285" spans="5:6" ht="15" customHeight="1">
      <c r="E285" s="26"/>
      <c r="F285" s="18">
        <v>0</v>
      </c>
    </row>
    <row r="286" spans="5:6">
      <c r="E286" s="21"/>
      <c r="F286" s="18" t="s">
        <v>37</v>
      </c>
    </row>
    <row r="287" spans="5:6" ht="15" customHeight="1">
      <c r="E287" s="26"/>
      <c r="F287" s="18" t="s">
        <v>40</v>
      </c>
    </row>
    <row r="288" spans="5:6">
      <c r="E288" s="15" t="s">
        <v>274</v>
      </c>
      <c r="F288" s="18" t="s">
        <v>37</v>
      </c>
    </row>
    <row r="289" spans="5:6">
      <c r="E289" s="16" t="s">
        <v>37</v>
      </c>
      <c r="F289" s="18" t="s">
        <v>37</v>
      </c>
    </row>
    <row r="290" spans="5:6" ht="0" hidden="1" customHeight="1">
      <c r="F290" s="18">
        <v>0</v>
      </c>
    </row>
    <row r="291" spans="5:6" ht="0.6" customHeight="1">
      <c r="F291" s="18">
        <v>25</v>
      </c>
    </row>
    <row r="292" spans="5:6" ht="15" customHeight="1">
      <c r="E292" s="25"/>
      <c r="F292" s="18" t="s">
        <v>37</v>
      </c>
    </row>
    <row r="293" spans="5:6" ht="15" customHeight="1">
      <c r="E293" s="26"/>
      <c r="F293" s="18">
        <v>221.5</v>
      </c>
    </row>
    <row r="294" spans="5:6">
      <c r="E294" s="21" t="s">
        <v>276</v>
      </c>
      <c r="F294" s="18">
        <v>602</v>
      </c>
    </row>
    <row r="295" spans="5:6">
      <c r="E295" s="33"/>
      <c r="F295" s="18">
        <v>700</v>
      </c>
    </row>
    <row r="296" spans="5:6">
      <c r="E296" s="35"/>
      <c r="F296" s="18" t="s">
        <v>37</v>
      </c>
    </row>
    <row r="297" spans="5:6">
      <c r="E297" s="37"/>
      <c r="F297" s="18" t="s">
        <v>37</v>
      </c>
    </row>
    <row r="298" spans="5:6">
      <c r="E298" s="21">
        <v>8.86</v>
      </c>
      <c r="F298" s="18" t="s">
        <v>37</v>
      </c>
    </row>
    <row r="299" spans="5:6">
      <c r="E299" s="14">
        <v>8.86</v>
      </c>
      <c r="F299" s="18">
        <v>0</v>
      </c>
    </row>
    <row r="300" spans="5:6" ht="15" customHeight="1">
      <c r="E300" s="26"/>
      <c r="F300" s="18">
        <v>0</v>
      </c>
    </row>
    <row r="301" spans="5:6">
      <c r="E301" s="21"/>
      <c r="F301" s="18" t="s">
        <v>37</v>
      </c>
    </row>
    <row r="302" spans="5:6" ht="15" customHeight="1">
      <c r="E302" s="26"/>
      <c r="F302" s="18" t="s">
        <v>40</v>
      </c>
    </row>
    <row r="303" spans="5:6">
      <c r="E303" s="15" t="s">
        <v>284</v>
      </c>
      <c r="F303" s="18" t="s">
        <v>37</v>
      </c>
    </row>
    <row r="304" spans="5:6">
      <c r="E304" s="16" t="s">
        <v>37</v>
      </c>
      <c r="F304" s="18" t="s">
        <v>37</v>
      </c>
    </row>
    <row r="305" spans="5:6" ht="0" hidden="1" customHeight="1">
      <c r="F305" s="18">
        <v>0</v>
      </c>
    </row>
    <row r="306" spans="5:6" ht="0.6" customHeight="1">
      <c r="F306" s="18">
        <v>25</v>
      </c>
    </row>
    <row r="307" spans="5:6" ht="15" customHeight="1">
      <c r="E307" s="25"/>
      <c r="F307" s="18" t="s">
        <v>37</v>
      </c>
    </row>
    <row r="308" spans="5:6" ht="15" customHeight="1">
      <c r="E308" s="26"/>
      <c r="F308" s="18">
        <v>227.5</v>
      </c>
    </row>
    <row r="309" spans="5:6">
      <c r="E309" s="21" t="s">
        <v>286</v>
      </c>
      <c r="F309" s="18">
        <v>610</v>
      </c>
    </row>
    <row r="310" spans="5:6">
      <c r="E310" s="33"/>
      <c r="F310" s="18">
        <v>700</v>
      </c>
    </row>
    <row r="311" spans="5:6">
      <c r="E311" s="35"/>
      <c r="F311" s="18" t="s">
        <v>37</v>
      </c>
    </row>
    <row r="312" spans="5:6">
      <c r="E312" s="37"/>
      <c r="F312" s="18" t="s">
        <v>37</v>
      </c>
    </row>
    <row r="313" spans="5:6">
      <c r="E313" s="21">
        <v>9.1</v>
      </c>
      <c r="F313" s="18" t="s">
        <v>37</v>
      </c>
    </row>
    <row r="314" spans="5:6">
      <c r="E314" s="14">
        <v>9.1</v>
      </c>
      <c r="F314" s="18">
        <v>0</v>
      </c>
    </row>
    <row r="315" spans="5:6" ht="15" customHeight="1">
      <c r="E315" s="26"/>
      <c r="F315" s="18">
        <v>0</v>
      </c>
    </row>
    <row r="316" spans="5:6">
      <c r="E316" s="21"/>
      <c r="F316" s="18" t="s">
        <v>37</v>
      </c>
    </row>
    <row r="317" spans="5:6" ht="15" customHeight="1">
      <c r="E317" s="26"/>
      <c r="F317" s="18" t="s">
        <v>40</v>
      </c>
    </row>
    <row r="318" spans="5:6">
      <c r="E318" s="15" t="s">
        <v>292</v>
      </c>
      <c r="F318" s="18" t="s">
        <v>37</v>
      </c>
    </row>
    <row r="319" spans="5:6">
      <c r="E319" s="16" t="s">
        <v>37</v>
      </c>
      <c r="F319" s="18" t="s">
        <v>37</v>
      </c>
    </row>
    <row r="320" spans="5:6" ht="0" hidden="1" customHeight="1">
      <c r="F320" s="18">
        <v>0</v>
      </c>
    </row>
    <row r="321" spans="5:6" ht="0.6" customHeight="1">
      <c r="F321" s="18">
        <v>25</v>
      </c>
    </row>
    <row r="322" spans="5:6" ht="15" customHeight="1">
      <c r="E322" s="25"/>
      <c r="F322" s="18" t="s">
        <v>37</v>
      </c>
    </row>
    <row r="323" spans="5:6" ht="15" customHeight="1">
      <c r="E323" s="26"/>
      <c r="F323" s="18">
        <v>169.5</v>
      </c>
    </row>
    <row r="324" spans="5:6">
      <c r="E324" s="21" t="s">
        <v>294</v>
      </c>
      <c r="F324" s="18">
        <v>452</v>
      </c>
    </row>
    <row r="325" spans="5:6">
      <c r="E325" s="33"/>
      <c r="F325" s="18">
        <v>700</v>
      </c>
    </row>
    <row r="326" spans="5:6">
      <c r="E326" s="35"/>
      <c r="F326" s="18" t="s">
        <v>37</v>
      </c>
    </row>
    <row r="327" spans="5:6">
      <c r="E327" s="37"/>
      <c r="F327" s="18" t="s">
        <v>37</v>
      </c>
    </row>
    <row r="328" spans="5:6">
      <c r="E328" s="21">
        <v>6.78</v>
      </c>
      <c r="F328" s="18" t="s">
        <v>37</v>
      </c>
    </row>
    <row r="329" spans="5:6">
      <c r="E329" s="14">
        <v>6.78</v>
      </c>
      <c r="F329" s="18">
        <v>0</v>
      </c>
    </row>
    <row r="330" spans="5:6" ht="15" customHeight="1">
      <c r="E330" s="26"/>
      <c r="F330" s="18" t="s">
        <v>37</v>
      </c>
    </row>
    <row r="331" spans="5:6">
      <c r="E331" s="21"/>
      <c r="F331" s="18" t="s">
        <v>40</v>
      </c>
    </row>
    <row r="332" spans="5:6" ht="15" customHeight="1">
      <c r="E332" s="26"/>
      <c r="F332" s="18" t="s">
        <v>37</v>
      </c>
    </row>
    <row r="333" spans="5:6">
      <c r="E333" s="15" t="s">
        <v>304</v>
      </c>
      <c r="F333" s="18" t="s">
        <v>37</v>
      </c>
    </row>
    <row r="334" spans="5:6">
      <c r="E334" s="16" t="s">
        <v>37</v>
      </c>
      <c r="F334" s="18">
        <v>0</v>
      </c>
    </row>
    <row r="335" spans="5:6" ht="0.6" customHeight="1">
      <c r="F335" s="18">
        <v>25</v>
      </c>
    </row>
    <row r="336" spans="5:6" ht="15" customHeight="1">
      <c r="E336" s="25"/>
      <c r="F336" s="18" t="s">
        <v>37</v>
      </c>
    </row>
    <row r="337" spans="5:6" ht="15" customHeight="1">
      <c r="E337" s="26"/>
      <c r="F337" s="18">
        <v>194</v>
      </c>
    </row>
    <row r="338" spans="5:6">
      <c r="E338" s="21" t="s">
        <v>306</v>
      </c>
      <c r="F338" s="18">
        <v>523</v>
      </c>
    </row>
    <row r="339" spans="5:6">
      <c r="E339" s="33"/>
      <c r="F339" s="18">
        <v>700</v>
      </c>
    </row>
    <row r="340" spans="5:6">
      <c r="E340" s="35"/>
      <c r="F340" s="18" t="s">
        <v>37</v>
      </c>
    </row>
    <row r="341" spans="5:6">
      <c r="E341" s="37"/>
      <c r="F341" s="18" t="s">
        <v>37</v>
      </c>
    </row>
    <row r="342" spans="5:6">
      <c r="E342" s="21">
        <v>7.76</v>
      </c>
      <c r="F342" s="18" t="s">
        <v>37</v>
      </c>
    </row>
    <row r="343" spans="5:6">
      <c r="E343" s="14">
        <v>7.76</v>
      </c>
      <c r="F343" s="18">
        <v>0</v>
      </c>
    </row>
    <row r="344" spans="5:6" ht="15" customHeight="1">
      <c r="E344" s="26"/>
      <c r="F344" s="18">
        <v>0</v>
      </c>
    </row>
    <row r="345" spans="5:6">
      <c r="E345" s="21"/>
      <c r="F345" s="18" t="s">
        <v>37</v>
      </c>
    </row>
    <row r="346" spans="5:6" ht="15" customHeight="1">
      <c r="E346" s="26"/>
      <c r="F346" s="18" t="s">
        <v>40</v>
      </c>
    </row>
    <row r="347" spans="5:6">
      <c r="E347" s="15" t="s">
        <v>312</v>
      </c>
      <c r="F347" s="18" t="s">
        <v>37</v>
      </c>
    </row>
    <row r="348" spans="5:6">
      <c r="E348" s="16" t="s">
        <v>37</v>
      </c>
      <c r="F348" s="18" t="s">
        <v>37</v>
      </c>
    </row>
    <row r="349" spans="5:6" ht="0" hidden="1" customHeight="1">
      <c r="F349" s="18">
        <v>0</v>
      </c>
    </row>
    <row r="350" spans="5:6" ht="0.6" customHeight="1">
      <c r="F350" s="18">
        <v>25</v>
      </c>
    </row>
    <row r="351" spans="5:6" ht="15" customHeight="1">
      <c r="E351" s="25"/>
      <c r="F351" s="18" t="s">
        <v>37</v>
      </c>
    </row>
    <row r="352" spans="5:6" ht="15" customHeight="1">
      <c r="E352" s="26"/>
      <c r="F352" s="18">
        <v>226.5</v>
      </c>
    </row>
    <row r="353" spans="5:6">
      <c r="E353" s="21" t="s">
        <v>314</v>
      </c>
      <c r="F353" s="18">
        <v>608</v>
      </c>
    </row>
    <row r="354" spans="5:6">
      <c r="E354" s="33"/>
      <c r="F354" s="18">
        <v>700</v>
      </c>
    </row>
    <row r="355" spans="5:6">
      <c r="E355" s="35"/>
      <c r="F355" s="18" t="s">
        <v>37</v>
      </c>
    </row>
    <row r="356" spans="5:6">
      <c r="E356" s="37"/>
      <c r="F356" s="18" t="s">
        <v>37</v>
      </c>
    </row>
    <row r="357" spans="5:6">
      <c r="E357" s="21">
        <v>9.06</v>
      </c>
      <c r="F357" s="18" t="s">
        <v>37</v>
      </c>
    </row>
    <row r="358" spans="5:6">
      <c r="E358" s="14">
        <v>9.06</v>
      </c>
      <c r="F358" s="18">
        <v>0</v>
      </c>
    </row>
    <row r="359" spans="5:6" ht="15" customHeight="1">
      <c r="E359" s="26"/>
      <c r="F359" s="18">
        <v>0</v>
      </c>
    </row>
    <row r="360" spans="5:6">
      <c r="E360" s="21"/>
      <c r="F360" s="18" t="s">
        <v>37</v>
      </c>
    </row>
    <row r="361" spans="5:6" ht="15" customHeight="1">
      <c r="E361" s="26"/>
      <c r="F361" s="18" t="s">
        <v>40</v>
      </c>
    </row>
    <row r="362" spans="5:6">
      <c r="E362" s="15" t="s">
        <v>320</v>
      </c>
      <c r="F362" s="18" t="s">
        <v>37</v>
      </c>
    </row>
    <row r="363" spans="5:6">
      <c r="E363" s="16" t="s">
        <v>37</v>
      </c>
      <c r="F363" s="18" t="s">
        <v>37</v>
      </c>
    </row>
    <row r="364" spans="5:6" ht="0" hidden="1" customHeight="1">
      <c r="F364" s="18">
        <v>0</v>
      </c>
    </row>
    <row r="365" spans="5:6" ht="0.6" customHeight="1">
      <c r="F365" s="18">
        <v>25</v>
      </c>
    </row>
    <row r="366" spans="5:6" ht="15" customHeight="1">
      <c r="E366" s="25"/>
      <c r="F366" s="18" t="s">
        <v>37</v>
      </c>
    </row>
    <row r="367" spans="5:6" ht="15" customHeight="1">
      <c r="E367" s="26"/>
      <c r="F367" s="18">
        <v>215</v>
      </c>
    </row>
    <row r="368" spans="5:6">
      <c r="E368" s="21" t="s">
        <v>322</v>
      </c>
      <c r="F368" s="18">
        <v>587</v>
      </c>
    </row>
    <row r="369" spans="5:6">
      <c r="E369" s="33"/>
      <c r="F369" s="18">
        <v>700</v>
      </c>
    </row>
    <row r="370" spans="5:6">
      <c r="E370" s="35"/>
      <c r="F370" s="18" t="s">
        <v>37</v>
      </c>
    </row>
    <row r="371" spans="5:6">
      <c r="E371" s="37"/>
      <c r="F371" s="18" t="s">
        <v>37</v>
      </c>
    </row>
    <row r="372" spans="5:6">
      <c r="E372" s="21">
        <v>8.6</v>
      </c>
      <c r="F372" s="18" t="s">
        <v>37</v>
      </c>
    </row>
    <row r="373" spans="5:6">
      <c r="E373" s="14">
        <v>8.6</v>
      </c>
      <c r="F373" s="18">
        <v>0</v>
      </c>
    </row>
    <row r="374" spans="5:6" ht="15" customHeight="1">
      <c r="E374" s="26"/>
      <c r="F374" s="18">
        <v>0</v>
      </c>
    </row>
    <row r="375" spans="5:6">
      <c r="E375" s="21"/>
      <c r="F375" s="18" t="s">
        <v>37</v>
      </c>
    </row>
    <row r="376" spans="5:6" ht="15" customHeight="1">
      <c r="E376" s="26"/>
      <c r="F376" s="18" t="s">
        <v>40</v>
      </c>
    </row>
    <row r="377" spans="5:6">
      <c r="E377" s="15" t="s">
        <v>328</v>
      </c>
      <c r="F377" s="18" t="s">
        <v>37</v>
      </c>
    </row>
    <row r="378" spans="5:6">
      <c r="E378" s="16" t="s">
        <v>37</v>
      </c>
      <c r="F378" s="18" t="s">
        <v>37</v>
      </c>
    </row>
    <row r="379" spans="5:6" ht="0" hidden="1" customHeight="1">
      <c r="F379" s="18">
        <v>0</v>
      </c>
    </row>
    <row r="380" spans="5:6" ht="0.6" customHeight="1">
      <c r="F380" s="18">
        <v>21</v>
      </c>
    </row>
    <row r="381" spans="5:6" ht="15" customHeight="1">
      <c r="E381" s="25"/>
      <c r="F381" s="18" t="s">
        <v>37</v>
      </c>
    </row>
    <row r="382" spans="5:6" ht="15" customHeight="1">
      <c r="E382" s="26"/>
      <c r="F382" s="18">
        <v>128.5</v>
      </c>
    </row>
    <row r="383" spans="5:6">
      <c r="E383" s="21" t="s">
        <v>330</v>
      </c>
      <c r="F383" s="18">
        <v>376</v>
      </c>
    </row>
    <row r="384" spans="5:6">
      <c r="E384" s="33"/>
      <c r="F384" s="18">
        <v>700</v>
      </c>
    </row>
    <row r="385" spans="5:6">
      <c r="E385" s="35"/>
      <c r="F385" s="18" t="s">
        <v>37</v>
      </c>
    </row>
    <row r="386" spans="5:6">
      <c r="E386" s="37"/>
      <c r="F386" s="18" t="s">
        <v>37</v>
      </c>
    </row>
    <row r="387" spans="5:6">
      <c r="E387" s="21">
        <v>5.14</v>
      </c>
      <c r="F387" s="18" t="s">
        <v>37</v>
      </c>
    </row>
    <row r="388" spans="5:6">
      <c r="E388" s="21"/>
      <c r="F388" s="18">
        <v>0</v>
      </c>
    </row>
    <row r="389" spans="5:6" ht="15" customHeight="1">
      <c r="E389" s="26"/>
      <c r="F389" s="18">
        <v>0</v>
      </c>
    </row>
    <row r="390" spans="5:6">
      <c r="E390" s="21"/>
      <c r="F390" s="18" t="s">
        <v>37</v>
      </c>
    </row>
    <row r="391" spans="5:6" ht="15" customHeight="1">
      <c r="E391" s="26"/>
      <c r="F391" s="18" t="s">
        <v>40</v>
      </c>
    </row>
    <row r="392" spans="5:6">
      <c r="E392" s="15" t="s">
        <v>340</v>
      </c>
      <c r="F392" s="18" t="s">
        <v>37</v>
      </c>
    </row>
    <row r="393" spans="5:6">
      <c r="E393" s="16" t="s">
        <v>37</v>
      </c>
      <c r="F393" s="18" t="s">
        <v>37</v>
      </c>
    </row>
    <row r="394" spans="5:6" ht="0" hidden="1" customHeight="1">
      <c r="F394" s="18">
        <v>0</v>
      </c>
    </row>
    <row r="395" spans="5:6" ht="0.6" customHeight="1">
      <c r="F395" s="18">
        <v>25</v>
      </c>
    </row>
    <row r="396" spans="5:6" ht="15" customHeight="1">
      <c r="E396" s="25"/>
      <c r="F396" s="18" t="s">
        <v>37</v>
      </c>
    </row>
    <row r="397" spans="5:6" ht="15" customHeight="1">
      <c r="E397" s="26"/>
      <c r="F397" s="18">
        <v>192</v>
      </c>
    </row>
    <row r="398" spans="5:6">
      <c r="E398" s="21" t="s">
        <v>342</v>
      </c>
      <c r="F398" s="18">
        <v>503</v>
      </c>
    </row>
    <row r="399" spans="5:6">
      <c r="E399" s="33"/>
      <c r="F399" s="18">
        <v>700</v>
      </c>
    </row>
    <row r="400" spans="5:6">
      <c r="E400" s="35"/>
      <c r="F400" s="18" t="s">
        <v>37</v>
      </c>
    </row>
    <row r="401" spans="5:6">
      <c r="E401" s="37"/>
      <c r="F401" s="18" t="s">
        <v>37</v>
      </c>
    </row>
    <row r="402" spans="5:6">
      <c r="E402" s="21">
        <v>7.68</v>
      </c>
      <c r="F402" s="18" t="s">
        <v>37</v>
      </c>
    </row>
    <row r="403" spans="5:6">
      <c r="E403" s="14">
        <v>7.68</v>
      </c>
      <c r="F403" s="18">
        <v>0</v>
      </c>
    </row>
    <row r="404" spans="5:6" ht="15" customHeight="1">
      <c r="E404" s="26"/>
      <c r="F404" s="18">
        <v>0</v>
      </c>
    </row>
    <row r="405" spans="5:6">
      <c r="E405" s="21"/>
      <c r="F405" s="18" t="s">
        <v>37</v>
      </c>
    </row>
    <row r="406" spans="5:6" ht="15" customHeight="1">
      <c r="E406" s="26"/>
      <c r="F406" s="18" t="s">
        <v>40</v>
      </c>
    </row>
    <row r="407" spans="5:6">
      <c r="E407" s="15" t="s">
        <v>349</v>
      </c>
      <c r="F407" s="18" t="s">
        <v>37</v>
      </c>
    </row>
    <row r="408" spans="5:6">
      <c r="E408" s="16" t="s">
        <v>37</v>
      </c>
      <c r="F408" s="18" t="s">
        <v>37</v>
      </c>
    </row>
    <row r="409" spans="5:6" ht="0" hidden="1" customHeight="1">
      <c r="F409" s="18">
        <v>0</v>
      </c>
    </row>
    <row r="410" spans="5:6" ht="0.6" customHeight="1">
      <c r="F410" s="18">
        <v>25</v>
      </c>
    </row>
    <row r="411" spans="5:6" ht="15" customHeight="1">
      <c r="E411" s="25"/>
      <c r="F411" s="18" t="s">
        <v>37</v>
      </c>
    </row>
    <row r="412" spans="5:6" ht="15" customHeight="1">
      <c r="E412" s="26"/>
      <c r="F412" s="18">
        <v>203</v>
      </c>
    </row>
    <row r="413" spans="5:6">
      <c r="E413" s="21" t="s">
        <v>351</v>
      </c>
      <c r="F413" s="18">
        <v>543</v>
      </c>
    </row>
    <row r="414" spans="5:6">
      <c r="E414" s="33"/>
      <c r="F414" s="18">
        <v>700</v>
      </c>
    </row>
    <row r="415" spans="5:6">
      <c r="E415" s="35"/>
      <c r="F415" s="18" t="s">
        <v>37</v>
      </c>
    </row>
    <row r="416" spans="5:6">
      <c r="E416" s="37"/>
      <c r="F416" s="18" t="s">
        <v>37</v>
      </c>
    </row>
    <row r="417" spans="5:6">
      <c r="E417" s="21">
        <v>8.1199999999999992</v>
      </c>
      <c r="F417" s="18" t="s">
        <v>37</v>
      </c>
    </row>
    <row r="418" spans="5:6">
      <c r="E418" s="14">
        <v>8.1199999999999992</v>
      </c>
      <c r="F418" s="18">
        <v>0</v>
      </c>
    </row>
    <row r="419" spans="5:6" ht="15" customHeight="1">
      <c r="E419" s="26"/>
      <c r="F419" s="18">
        <v>0</v>
      </c>
    </row>
    <row r="420" spans="5:6">
      <c r="E420" s="21"/>
      <c r="F420" s="18" t="s">
        <v>37</v>
      </c>
    </row>
    <row r="421" spans="5:6" ht="15" customHeight="1">
      <c r="E421" s="26"/>
      <c r="F421" s="18" t="s">
        <v>40</v>
      </c>
    </row>
    <row r="422" spans="5:6">
      <c r="E422" s="15" t="s">
        <v>356</v>
      </c>
      <c r="F422" s="18" t="s">
        <v>37</v>
      </c>
    </row>
    <row r="423" spans="5:6">
      <c r="E423" s="16" t="s">
        <v>37</v>
      </c>
      <c r="F423" s="18" t="s">
        <v>37</v>
      </c>
    </row>
    <row r="424" spans="5:6" ht="0" hidden="1" customHeight="1">
      <c r="F424" s="18">
        <v>2</v>
      </c>
    </row>
    <row r="425" spans="5:6" ht="0.6" customHeight="1">
      <c r="F425" s="18">
        <v>21</v>
      </c>
    </row>
    <row r="426" spans="5:6" ht="15" customHeight="1">
      <c r="E426" s="25"/>
      <c r="F426" s="18" t="s">
        <v>37</v>
      </c>
    </row>
    <row r="427" spans="5:6" ht="15" customHeight="1">
      <c r="E427" s="26"/>
      <c r="F427" s="18">
        <v>131</v>
      </c>
    </row>
    <row r="428" spans="5:6">
      <c r="E428" s="21" t="s">
        <v>358</v>
      </c>
      <c r="F428" s="18">
        <v>383</v>
      </c>
    </row>
    <row r="429" spans="5:6">
      <c r="E429" s="33"/>
      <c r="F429" s="18">
        <v>700</v>
      </c>
    </row>
    <row r="430" spans="5:6">
      <c r="E430" s="35"/>
      <c r="F430" s="18" t="s">
        <v>37</v>
      </c>
    </row>
    <row r="431" spans="5:6">
      <c r="E431" s="37"/>
      <c r="F431" s="18" t="s">
        <v>37</v>
      </c>
    </row>
    <row r="432" spans="5:6">
      <c r="E432" s="21">
        <v>5.24</v>
      </c>
      <c r="F432" s="18" t="s">
        <v>37</v>
      </c>
    </row>
    <row r="433" spans="5:6">
      <c r="E433" s="21"/>
      <c r="F433" s="18">
        <v>0</v>
      </c>
    </row>
    <row r="434" spans="5:6" ht="15" customHeight="1">
      <c r="E434" s="26"/>
      <c r="F434" s="18">
        <v>0</v>
      </c>
    </row>
    <row r="435" spans="5:6">
      <c r="E435" s="21"/>
      <c r="F435" s="18" t="s">
        <v>37</v>
      </c>
    </row>
    <row r="436" spans="5:6" ht="15" customHeight="1">
      <c r="E436" s="26"/>
      <c r="F436" s="18" t="s">
        <v>40</v>
      </c>
    </row>
    <row r="437" spans="5:6">
      <c r="E437" s="15" t="s">
        <v>365</v>
      </c>
      <c r="F437" s="18" t="s">
        <v>37</v>
      </c>
    </row>
    <row r="438" spans="5:6">
      <c r="E438" s="16" t="s">
        <v>37</v>
      </c>
      <c r="F438" s="18" t="s">
        <v>37</v>
      </c>
    </row>
    <row r="439" spans="5:6" ht="0" hidden="1" customHeight="1">
      <c r="F439" s="18">
        <v>0</v>
      </c>
    </row>
    <row r="440" spans="5:6" ht="0.6" customHeight="1">
      <c r="F440" s="18">
        <v>21</v>
      </c>
    </row>
    <row r="441" spans="5:6" ht="15" customHeight="1">
      <c r="E441" s="25"/>
      <c r="F441" s="18" t="s">
        <v>37</v>
      </c>
    </row>
    <row r="442" spans="5:6" ht="15" customHeight="1">
      <c r="E442" s="26"/>
      <c r="F442" s="18">
        <v>141</v>
      </c>
    </row>
    <row r="443" spans="5:6">
      <c r="E443" s="21" t="s">
        <v>367</v>
      </c>
      <c r="F443" s="18">
        <v>421</v>
      </c>
    </row>
    <row r="444" spans="5:6">
      <c r="E444" s="33"/>
      <c r="F444" s="18">
        <v>700</v>
      </c>
    </row>
    <row r="445" spans="5:6">
      <c r="E445" s="35"/>
      <c r="F445" s="18" t="s">
        <v>37</v>
      </c>
    </row>
    <row r="446" spans="5:6">
      <c r="E446" s="37"/>
      <c r="F446" s="18" t="s">
        <v>37</v>
      </c>
    </row>
    <row r="447" spans="5:6">
      <c r="E447" s="21">
        <v>5.64</v>
      </c>
      <c r="F447" s="18" t="s">
        <v>37</v>
      </c>
    </row>
    <row r="448" spans="5:6">
      <c r="E448" s="21"/>
      <c r="F448" s="18">
        <v>0</v>
      </c>
    </row>
    <row r="449" spans="5:6" ht="15" customHeight="1">
      <c r="E449" s="26"/>
      <c r="F449" s="18" t="s">
        <v>37</v>
      </c>
    </row>
    <row r="450" spans="5:6">
      <c r="E450" s="21"/>
      <c r="F450" s="18" t="s">
        <v>40</v>
      </c>
    </row>
    <row r="451" spans="5:6" ht="15" customHeight="1">
      <c r="E451" s="26"/>
      <c r="F451" s="18" t="s">
        <v>37</v>
      </c>
    </row>
    <row r="452" spans="5:6">
      <c r="E452" s="15" t="s">
        <v>376</v>
      </c>
      <c r="F452" s="18" t="s">
        <v>37</v>
      </c>
    </row>
    <row r="453" spans="5:6">
      <c r="E453" s="16" t="s">
        <v>37</v>
      </c>
      <c r="F453" s="18">
        <v>0</v>
      </c>
    </row>
    <row r="454" spans="5:6" ht="0.6" customHeight="1">
      <c r="F454" s="18">
        <v>21</v>
      </c>
    </row>
    <row r="455" spans="5:6" ht="15" customHeight="1">
      <c r="E455" s="25"/>
      <c r="F455" s="18" t="s">
        <v>37</v>
      </c>
    </row>
    <row r="456" spans="5:6" ht="15" customHeight="1">
      <c r="E456" s="26"/>
      <c r="F456" s="18">
        <v>145.5</v>
      </c>
    </row>
    <row r="457" spans="5:6">
      <c r="E457" s="21" t="s">
        <v>378</v>
      </c>
      <c r="F457" s="18">
        <v>428</v>
      </c>
    </row>
    <row r="458" spans="5:6">
      <c r="E458" s="33"/>
      <c r="F458" s="18">
        <v>700</v>
      </c>
    </row>
    <row r="459" spans="5:6">
      <c r="E459" s="35"/>
      <c r="F459" s="18" t="s">
        <v>37</v>
      </c>
    </row>
    <row r="460" spans="5:6">
      <c r="E460" s="37"/>
      <c r="F460" s="18" t="s">
        <v>37</v>
      </c>
    </row>
    <row r="461" spans="5:6">
      <c r="E461" s="21">
        <v>5.82</v>
      </c>
      <c r="F461" s="18" t="s">
        <v>37</v>
      </c>
    </row>
    <row r="462" spans="5:6">
      <c r="E462" s="21"/>
      <c r="F462" s="18">
        <v>0</v>
      </c>
    </row>
    <row r="463" spans="5:6" ht="15" customHeight="1">
      <c r="E463" s="26"/>
      <c r="F463" s="18">
        <v>0</v>
      </c>
    </row>
    <row r="464" spans="5:6">
      <c r="E464" s="21"/>
      <c r="F464" s="18" t="s">
        <v>37</v>
      </c>
    </row>
    <row r="465" spans="5:6" ht="15" customHeight="1">
      <c r="E465" s="26"/>
      <c r="F465" s="18" t="s">
        <v>40</v>
      </c>
    </row>
    <row r="466" spans="5:6">
      <c r="E466" s="15" t="s">
        <v>385</v>
      </c>
      <c r="F466" s="18" t="s">
        <v>37</v>
      </c>
    </row>
    <row r="467" spans="5:6">
      <c r="E467" s="16" t="s">
        <v>37</v>
      </c>
      <c r="F467" s="18" t="s">
        <v>37</v>
      </c>
    </row>
    <row r="468" spans="5:6" ht="0" hidden="1" customHeight="1">
      <c r="F468" s="18">
        <v>0</v>
      </c>
    </row>
    <row r="469" spans="5:6" ht="0.6" customHeight="1">
      <c r="F469" s="18">
        <v>21</v>
      </c>
    </row>
    <row r="470" spans="5:6" ht="15" customHeight="1">
      <c r="E470" s="25"/>
      <c r="F470" s="18" t="s">
        <v>37</v>
      </c>
    </row>
    <row r="471" spans="5:6" ht="15" customHeight="1">
      <c r="E471" s="26"/>
      <c r="F471" s="18">
        <v>134.5</v>
      </c>
    </row>
    <row r="472" spans="5:6">
      <c r="E472" s="21" t="s">
        <v>387</v>
      </c>
      <c r="F472" s="18">
        <v>398</v>
      </c>
    </row>
    <row r="473" spans="5:6">
      <c r="E473" s="33"/>
      <c r="F473" s="18">
        <v>700</v>
      </c>
    </row>
    <row r="474" spans="5:6">
      <c r="E474" s="35"/>
      <c r="F474" s="18" t="s">
        <v>37</v>
      </c>
    </row>
    <row r="475" spans="5:6">
      <c r="E475" s="37"/>
      <c r="F475" s="18" t="s">
        <v>37</v>
      </c>
    </row>
    <row r="476" spans="5:6">
      <c r="E476" s="21">
        <v>5.38</v>
      </c>
      <c r="F476" s="18" t="s">
        <v>37</v>
      </c>
    </row>
    <row r="477" spans="5:6">
      <c r="E477" s="21"/>
      <c r="F477" s="18">
        <v>0</v>
      </c>
    </row>
    <row r="478" spans="5:6" ht="15" customHeight="1">
      <c r="E478" s="26"/>
      <c r="F478" s="18">
        <v>0</v>
      </c>
    </row>
    <row r="479" spans="5:6">
      <c r="E479" s="21"/>
      <c r="F479" s="18" t="s">
        <v>37</v>
      </c>
    </row>
    <row r="480" spans="5:6" ht="15" customHeight="1">
      <c r="E480" s="26"/>
      <c r="F480" s="18" t="s">
        <v>40</v>
      </c>
    </row>
    <row r="481" spans="5:6">
      <c r="E481" s="15" t="s">
        <v>393</v>
      </c>
      <c r="F481" s="18" t="s">
        <v>37</v>
      </c>
    </row>
    <row r="482" spans="5:6">
      <c r="E482" s="16" t="s">
        <v>37</v>
      </c>
      <c r="F482" s="18" t="s">
        <v>37</v>
      </c>
    </row>
    <row r="483" spans="5:6" ht="0" hidden="1" customHeight="1">
      <c r="F483" s="18">
        <v>0</v>
      </c>
    </row>
    <row r="484" spans="5:6" ht="0.6" customHeight="1">
      <c r="F484" s="18">
        <v>25</v>
      </c>
    </row>
    <row r="485" spans="5:6" ht="15" customHeight="1">
      <c r="E485" s="25"/>
      <c r="F485" s="18" t="s">
        <v>37</v>
      </c>
    </row>
    <row r="486" spans="5:6" ht="15" customHeight="1">
      <c r="E486" s="26"/>
      <c r="F486" s="18">
        <v>240.5</v>
      </c>
    </row>
    <row r="487" spans="5:6">
      <c r="E487" s="21" t="s">
        <v>395</v>
      </c>
      <c r="F487" s="18">
        <v>653</v>
      </c>
    </row>
    <row r="488" spans="5:6">
      <c r="E488" s="33"/>
      <c r="F488" s="18">
        <v>700</v>
      </c>
    </row>
    <row r="489" spans="5:6">
      <c r="E489" s="35"/>
      <c r="F489" s="18" t="s">
        <v>37</v>
      </c>
    </row>
    <row r="490" spans="5:6">
      <c r="E490" s="37"/>
      <c r="F490" s="18" t="s">
        <v>37</v>
      </c>
    </row>
    <row r="491" spans="5:6">
      <c r="E491" s="21">
        <v>9.6199999999999992</v>
      </c>
      <c r="F491" s="18" t="s">
        <v>37</v>
      </c>
    </row>
    <row r="492" spans="5:6">
      <c r="E492" s="14">
        <v>9.6199999999999992</v>
      </c>
      <c r="F492" s="18">
        <v>0</v>
      </c>
    </row>
    <row r="493" spans="5:6" ht="15" customHeight="1">
      <c r="E493" s="26"/>
      <c r="F493" s="18">
        <v>0</v>
      </c>
    </row>
    <row r="494" spans="5:6">
      <c r="E494" s="21"/>
      <c r="F494" s="18" t="s">
        <v>37</v>
      </c>
    </row>
    <row r="495" spans="5:6" ht="15" customHeight="1">
      <c r="E495" s="26"/>
      <c r="F495" s="18" t="s">
        <v>40</v>
      </c>
    </row>
    <row r="496" spans="5:6">
      <c r="E496" s="15" t="s">
        <v>400</v>
      </c>
      <c r="F496" s="18" t="s">
        <v>37</v>
      </c>
    </row>
    <row r="497" spans="5:6">
      <c r="E497" s="16" t="s">
        <v>37</v>
      </c>
      <c r="F497" s="18" t="s">
        <v>37</v>
      </c>
    </row>
    <row r="498" spans="5:6" ht="0" hidden="1" customHeight="1">
      <c r="F498" s="18">
        <v>5</v>
      </c>
    </row>
    <row r="499" spans="5:6" ht="0.6" customHeight="1">
      <c r="F499" s="18">
        <v>25</v>
      </c>
    </row>
    <row r="500" spans="5:6" ht="15" customHeight="1">
      <c r="E500" s="25"/>
      <c r="F500" s="18" t="s">
        <v>37</v>
      </c>
    </row>
    <row r="501" spans="5:6" ht="15" customHeight="1">
      <c r="E501" s="26"/>
      <c r="F501" s="18">
        <v>172</v>
      </c>
    </row>
    <row r="502" spans="5:6">
      <c r="E502" s="21" t="s">
        <v>402</v>
      </c>
      <c r="F502" s="18">
        <v>452</v>
      </c>
    </row>
    <row r="503" spans="5:6">
      <c r="E503" s="33"/>
      <c r="F503" s="18">
        <v>700</v>
      </c>
    </row>
    <row r="504" spans="5:6">
      <c r="E504" s="35"/>
      <c r="F504" s="18" t="s">
        <v>37</v>
      </c>
    </row>
    <row r="505" spans="5:6">
      <c r="E505" s="37"/>
      <c r="F505" s="18" t="s">
        <v>37</v>
      </c>
    </row>
    <row r="506" spans="5:6">
      <c r="E506" s="21">
        <v>6.88</v>
      </c>
      <c r="F506" s="18" t="s">
        <v>37</v>
      </c>
    </row>
    <row r="507" spans="5:6">
      <c r="E507" s="14">
        <v>6.88</v>
      </c>
      <c r="F507" s="18">
        <v>0</v>
      </c>
    </row>
    <row r="508" spans="5:6" ht="15" customHeight="1">
      <c r="E508" s="26"/>
      <c r="F508" s="18">
        <v>0</v>
      </c>
    </row>
    <row r="509" spans="5:6">
      <c r="E509" s="21"/>
      <c r="F509" s="18" t="s">
        <v>37</v>
      </c>
    </row>
    <row r="510" spans="5:6" ht="15" customHeight="1">
      <c r="E510" s="26"/>
      <c r="F510" s="18" t="s">
        <v>40</v>
      </c>
    </row>
    <row r="511" spans="5:6">
      <c r="E511" s="15" t="s">
        <v>410</v>
      </c>
      <c r="F511" s="18" t="s">
        <v>37</v>
      </c>
    </row>
    <row r="512" spans="5:6">
      <c r="E512" s="16" t="s">
        <v>37</v>
      </c>
      <c r="F512" s="18" t="s">
        <v>37</v>
      </c>
    </row>
    <row r="513" spans="5:6" ht="0" hidden="1" customHeight="1">
      <c r="F513" s="18">
        <v>0</v>
      </c>
    </row>
    <row r="514" spans="5:6" ht="0.6" customHeight="1">
      <c r="F514" s="18">
        <v>21</v>
      </c>
    </row>
    <row r="515" spans="5:6" ht="15" customHeight="1">
      <c r="E515" s="25"/>
      <c r="F515" s="18" t="s">
        <v>37</v>
      </c>
    </row>
    <row r="516" spans="5:6" ht="15" customHeight="1">
      <c r="E516" s="26"/>
      <c r="F516" s="18">
        <v>132.5</v>
      </c>
    </row>
    <row r="517" spans="5:6">
      <c r="E517" s="21" t="s">
        <v>412</v>
      </c>
      <c r="F517" s="18">
        <v>385</v>
      </c>
    </row>
    <row r="518" spans="5:6">
      <c r="E518" s="33"/>
      <c r="F518" s="18">
        <v>700</v>
      </c>
    </row>
    <row r="519" spans="5:6">
      <c r="E519" s="35"/>
      <c r="F519" s="18" t="s">
        <v>37</v>
      </c>
    </row>
    <row r="520" spans="5:6">
      <c r="E520" s="37"/>
      <c r="F520" s="18" t="s">
        <v>37</v>
      </c>
    </row>
    <row r="521" spans="5:6">
      <c r="E521" s="21">
        <v>5.3</v>
      </c>
      <c r="F521" s="18" t="s">
        <v>37</v>
      </c>
    </row>
    <row r="522" spans="5:6">
      <c r="E522" s="21"/>
      <c r="F522" s="18">
        <v>0</v>
      </c>
    </row>
    <row r="523" spans="5:6" ht="15" customHeight="1">
      <c r="E523" s="26"/>
      <c r="F523" s="18">
        <v>0</v>
      </c>
    </row>
    <row r="524" spans="5:6">
      <c r="E524" s="21"/>
      <c r="F524" s="18" t="s">
        <v>37</v>
      </c>
    </row>
    <row r="525" spans="5:6" ht="15" customHeight="1">
      <c r="E525" s="26"/>
      <c r="F525" s="18" t="s">
        <v>40</v>
      </c>
    </row>
    <row r="526" spans="5:6">
      <c r="E526" s="15" t="s">
        <v>420</v>
      </c>
      <c r="F526" s="18" t="s">
        <v>37</v>
      </c>
    </row>
    <row r="527" spans="5:6">
      <c r="E527" s="16" t="s">
        <v>37</v>
      </c>
      <c r="F527" s="18" t="s">
        <v>37</v>
      </c>
    </row>
    <row r="528" spans="5:6" ht="0" hidden="1" customHeight="1">
      <c r="F528" s="18">
        <v>0</v>
      </c>
    </row>
    <row r="529" spans="5:6" ht="0.6" customHeight="1">
      <c r="F529" s="18">
        <v>25</v>
      </c>
    </row>
    <row r="530" spans="5:6" ht="15" customHeight="1">
      <c r="E530" s="25"/>
      <c r="F530" s="18" t="s">
        <v>37</v>
      </c>
    </row>
    <row r="531" spans="5:6" ht="15" customHeight="1">
      <c r="E531" s="26"/>
      <c r="F531" s="18">
        <v>213.5</v>
      </c>
    </row>
    <row r="532" spans="5:6">
      <c r="E532" s="21" t="s">
        <v>422</v>
      </c>
      <c r="F532" s="18">
        <v>575</v>
      </c>
    </row>
    <row r="533" spans="5:6">
      <c r="E533" s="33"/>
      <c r="F533" s="18">
        <v>700</v>
      </c>
    </row>
    <row r="534" spans="5:6">
      <c r="E534" s="35"/>
      <c r="F534" s="18" t="s">
        <v>37</v>
      </c>
    </row>
    <row r="535" spans="5:6">
      <c r="E535" s="37"/>
      <c r="F535" s="18" t="s">
        <v>37</v>
      </c>
    </row>
    <row r="536" spans="5:6">
      <c r="E536" s="21">
        <v>8.5399999999999991</v>
      </c>
      <c r="F536" s="18" t="s">
        <v>37</v>
      </c>
    </row>
    <row r="537" spans="5:6">
      <c r="E537" s="14">
        <v>8.5399999999999991</v>
      </c>
      <c r="F537" s="18">
        <v>0</v>
      </c>
    </row>
    <row r="538" spans="5:6" ht="15" customHeight="1">
      <c r="E538" s="26"/>
      <c r="F538" s="18">
        <v>0</v>
      </c>
    </row>
    <row r="539" spans="5:6">
      <c r="E539" s="21"/>
      <c r="F539" s="18" t="s">
        <v>37</v>
      </c>
    </row>
    <row r="540" spans="5:6" ht="15" customHeight="1">
      <c r="E540" s="26"/>
      <c r="F540" s="18" t="s">
        <v>40</v>
      </c>
    </row>
    <row r="541" spans="5:6">
      <c r="E541" s="15" t="s">
        <v>429</v>
      </c>
      <c r="F541" s="18" t="s">
        <v>37</v>
      </c>
    </row>
    <row r="542" spans="5:6">
      <c r="E542" s="16" t="s">
        <v>37</v>
      </c>
      <c r="F542" s="18" t="s">
        <v>37</v>
      </c>
    </row>
    <row r="543" spans="5:6" ht="0" hidden="1" customHeight="1">
      <c r="F543" s="18">
        <v>0</v>
      </c>
    </row>
    <row r="544" spans="5:6" ht="0.6" customHeight="1">
      <c r="F544" s="18">
        <v>25</v>
      </c>
    </row>
    <row r="545" spans="5:6" ht="15" customHeight="1">
      <c r="E545" s="25"/>
      <c r="F545" s="18" t="s">
        <v>37</v>
      </c>
    </row>
    <row r="546" spans="5:6" ht="15" customHeight="1">
      <c r="E546" s="26"/>
      <c r="F546" s="18">
        <v>198.5</v>
      </c>
    </row>
    <row r="547" spans="5:6">
      <c r="E547" s="21" t="s">
        <v>431</v>
      </c>
      <c r="F547" s="18">
        <v>533</v>
      </c>
    </row>
    <row r="548" spans="5:6">
      <c r="E548" s="33"/>
      <c r="F548" s="18">
        <v>700</v>
      </c>
    </row>
    <row r="549" spans="5:6">
      <c r="E549" s="35"/>
      <c r="F549" s="18" t="s">
        <v>37</v>
      </c>
    </row>
    <row r="550" spans="5:6">
      <c r="E550" s="37"/>
      <c r="F550" s="18" t="s">
        <v>37</v>
      </c>
    </row>
    <row r="551" spans="5:6">
      <c r="E551" s="21">
        <v>7.94</v>
      </c>
      <c r="F551" s="18" t="s">
        <v>37</v>
      </c>
    </row>
    <row r="552" spans="5:6">
      <c r="E552" s="14">
        <v>7.94</v>
      </c>
      <c r="F552" s="18">
        <v>0</v>
      </c>
    </row>
    <row r="553" spans="5:6" ht="15" customHeight="1">
      <c r="E553" s="26"/>
      <c r="F553" s="18">
        <v>0</v>
      </c>
    </row>
    <row r="554" spans="5:6">
      <c r="E554" s="21"/>
      <c r="F554" s="18" t="s">
        <v>37</v>
      </c>
    </row>
    <row r="555" spans="5:6" ht="15" customHeight="1">
      <c r="E555" s="26"/>
      <c r="F555" s="18" t="s">
        <v>40</v>
      </c>
    </row>
    <row r="556" spans="5:6">
      <c r="E556" s="15" t="s">
        <v>436</v>
      </c>
      <c r="F556" s="18" t="s">
        <v>37</v>
      </c>
    </row>
    <row r="557" spans="5:6">
      <c r="E557" s="16" t="s">
        <v>37</v>
      </c>
      <c r="F557" s="18" t="s">
        <v>37</v>
      </c>
    </row>
    <row r="558" spans="5:6" ht="0" hidden="1" customHeight="1">
      <c r="F558" s="18">
        <v>0</v>
      </c>
    </row>
    <row r="559" spans="5:6" ht="0.6" customHeight="1">
      <c r="F559" s="18">
        <v>25</v>
      </c>
    </row>
    <row r="560" spans="5:6" ht="15" customHeight="1">
      <c r="E560" s="25"/>
      <c r="F560" s="18" t="s">
        <v>37</v>
      </c>
    </row>
    <row r="561" spans="5:6" ht="15" customHeight="1">
      <c r="E561" s="26"/>
      <c r="F561" s="18">
        <v>168.5</v>
      </c>
    </row>
    <row r="562" spans="5:6">
      <c r="E562" s="21" t="s">
        <v>438</v>
      </c>
      <c r="F562" s="18">
        <v>452</v>
      </c>
    </row>
    <row r="563" spans="5:6">
      <c r="E563" s="33"/>
      <c r="F563" s="18">
        <v>700</v>
      </c>
    </row>
    <row r="564" spans="5:6">
      <c r="E564" s="35"/>
      <c r="F564" s="18" t="s">
        <v>37</v>
      </c>
    </row>
    <row r="565" spans="5:6">
      <c r="E565" s="37"/>
      <c r="F565" s="18" t="s">
        <v>37</v>
      </c>
    </row>
    <row r="566" spans="5:6">
      <c r="E566" s="21">
        <v>6.74</v>
      </c>
      <c r="F566" s="18" t="s">
        <v>37</v>
      </c>
    </row>
    <row r="567" spans="5:6">
      <c r="E567" s="14">
        <v>6.74</v>
      </c>
      <c r="F567" s="18">
        <v>0</v>
      </c>
    </row>
    <row r="568" spans="5:6" ht="15" customHeight="1">
      <c r="E568" s="26"/>
      <c r="F568" s="18">
        <v>0</v>
      </c>
    </row>
    <row r="569" spans="5:6">
      <c r="E569" s="21"/>
      <c r="F569" s="18" t="s">
        <v>37</v>
      </c>
    </row>
    <row r="570" spans="5:6" ht="15" customHeight="1">
      <c r="E570" s="26"/>
      <c r="F570" s="18" t="s">
        <v>40</v>
      </c>
    </row>
    <row r="571" spans="5:6">
      <c r="E571" s="15" t="s">
        <v>444</v>
      </c>
      <c r="F571" s="18" t="s">
        <v>37</v>
      </c>
    </row>
    <row r="572" spans="5:6">
      <c r="E572" s="16" t="s">
        <v>37</v>
      </c>
      <c r="F572" s="18" t="s">
        <v>37</v>
      </c>
    </row>
    <row r="573" spans="5:6" ht="0" hidden="1" customHeight="1">
      <c r="F573" s="18">
        <v>0</v>
      </c>
    </row>
    <row r="574" spans="5:6" ht="0.6" customHeight="1">
      <c r="F574" s="18">
        <v>25</v>
      </c>
    </row>
    <row r="575" spans="5:6" ht="15" customHeight="1">
      <c r="E575" s="25"/>
      <c r="F575" s="18" t="s">
        <v>37</v>
      </c>
    </row>
    <row r="576" spans="5:6" ht="15" customHeight="1">
      <c r="E576" s="26"/>
      <c r="F576" s="18">
        <v>203</v>
      </c>
    </row>
    <row r="577" spans="5:6">
      <c r="E577" s="21" t="s">
        <v>446</v>
      </c>
      <c r="F577" s="18">
        <v>548</v>
      </c>
    </row>
    <row r="578" spans="5:6">
      <c r="E578" s="33"/>
      <c r="F578" s="18">
        <v>700</v>
      </c>
    </row>
    <row r="579" spans="5:6">
      <c r="E579" s="35"/>
      <c r="F579" s="18" t="s">
        <v>37</v>
      </c>
    </row>
    <row r="580" spans="5:6">
      <c r="E580" s="37"/>
      <c r="F580" s="18" t="s">
        <v>37</v>
      </c>
    </row>
    <row r="581" spans="5:6">
      <c r="E581" s="21">
        <v>8.1199999999999992</v>
      </c>
      <c r="F581" s="18" t="s">
        <v>37</v>
      </c>
    </row>
    <row r="582" spans="5:6">
      <c r="E582" s="14">
        <v>8.1199999999999992</v>
      </c>
      <c r="F582" s="18">
        <v>0</v>
      </c>
    </row>
    <row r="583" spans="5:6" ht="15" customHeight="1">
      <c r="E583" s="26"/>
      <c r="F583" s="18" t="s">
        <v>37</v>
      </c>
    </row>
    <row r="584" spans="5:6">
      <c r="E584" s="21"/>
      <c r="F584" s="18" t="s">
        <v>40</v>
      </c>
    </row>
    <row r="585" spans="5:6" ht="15" customHeight="1">
      <c r="E585" s="26"/>
      <c r="F585" s="18" t="s">
        <v>37</v>
      </c>
    </row>
    <row r="586" spans="5:6">
      <c r="E586" s="15" t="s">
        <v>451</v>
      </c>
      <c r="F586" s="18" t="s">
        <v>37</v>
      </c>
    </row>
    <row r="587" spans="5:6">
      <c r="E587" s="16" t="s">
        <v>37</v>
      </c>
      <c r="F587" s="18">
        <v>0</v>
      </c>
    </row>
    <row r="588" spans="5:6" ht="0.6" customHeight="1">
      <c r="F588" s="18">
        <v>25</v>
      </c>
    </row>
    <row r="589" spans="5:6" ht="15" customHeight="1">
      <c r="E589" s="25"/>
      <c r="F589" s="18" t="s">
        <v>37</v>
      </c>
    </row>
    <row r="590" spans="5:6" ht="15" customHeight="1">
      <c r="E590" s="26"/>
      <c r="F590" s="18">
        <v>223.5</v>
      </c>
    </row>
    <row r="591" spans="5:6">
      <c r="E591" s="21" t="s">
        <v>453</v>
      </c>
      <c r="F591" s="18">
        <v>609</v>
      </c>
    </row>
    <row r="592" spans="5:6">
      <c r="E592" s="33"/>
      <c r="F592" s="18">
        <v>700</v>
      </c>
    </row>
    <row r="593" spans="5:6">
      <c r="E593" s="35"/>
      <c r="F593" s="18" t="s">
        <v>37</v>
      </c>
    </row>
    <row r="594" spans="5:6">
      <c r="E594" s="37"/>
      <c r="F594" s="18" t="s">
        <v>37</v>
      </c>
    </row>
    <row r="595" spans="5:6">
      <c r="E595" s="21">
        <v>8.94</v>
      </c>
      <c r="F595" s="18" t="s">
        <v>37</v>
      </c>
    </row>
    <row r="596" spans="5:6">
      <c r="E596" s="14">
        <v>8.94</v>
      </c>
      <c r="F596" s="18">
        <v>0</v>
      </c>
    </row>
    <row r="597" spans="5:6" ht="15" customHeight="1">
      <c r="E597" s="26"/>
      <c r="F597" s="18">
        <v>0</v>
      </c>
    </row>
    <row r="598" spans="5:6">
      <c r="E598" s="21"/>
      <c r="F598" s="18" t="s">
        <v>37</v>
      </c>
    </row>
    <row r="599" spans="5:6" ht="15" customHeight="1">
      <c r="E599" s="26"/>
      <c r="F599" s="18" t="s">
        <v>40</v>
      </c>
    </row>
    <row r="600" spans="5:6">
      <c r="E600" s="15" t="s">
        <v>457</v>
      </c>
      <c r="F600" s="18" t="s">
        <v>37</v>
      </c>
    </row>
    <row r="601" spans="5:6">
      <c r="E601" s="16" t="s">
        <v>37</v>
      </c>
      <c r="F601" s="18" t="s">
        <v>37</v>
      </c>
    </row>
    <row r="602" spans="5:6" ht="0" hidden="1" customHeight="1">
      <c r="F602" s="18">
        <v>0</v>
      </c>
    </row>
    <row r="603" spans="5:6" ht="0.6" customHeight="1">
      <c r="F603" s="18">
        <v>25</v>
      </c>
    </row>
    <row r="604" spans="5:6" ht="15" customHeight="1">
      <c r="E604" s="25"/>
      <c r="F604" s="18" t="s">
        <v>37</v>
      </c>
    </row>
    <row r="605" spans="5:6" ht="15" customHeight="1">
      <c r="E605" s="26"/>
      <c r="F605" s="18">
        <v>210.5</v>
      </c>
    </row>
    <row r="606" spans="5:6">
      <c r="E606" s="21" t="s">
        <v>459</v>
      </c>
      <c r="F606" s="18">
        <v>566</v>
      </c>
    </row>
    <row r="607" spans="5:6">
      <c r="E607" s="33"/>
      <c r="F607" s="18">
        <v>700</v>
      </c>
    </row>
    <row r="608" spans="5:6">
      <c r="E608" s="35"/>
      <c r="F608" s="18" t="s">
        <v>37</v>
      </c>
    </row>
    <row r="609" spans="5:6">
      <c r="E609" s="37"/>
      <c r="F609" s="18" t="s">
        <v>37</v>
      </c>
    </row>
    <row r="610" spans="5:6">
      <c r="E610" s="21">
        <v>8.42</v>
      </c>
      <c r="F610" s="18" t="s">
        <v>37</v>
      </c>
    </row>
    <row r="611" spans="5:6">
      <c r="E611" s="14">
        <v>8.42</v>
      </c>
      <c r="F611" s="18">
        <v>0</v>
      </c>
    </row>
    <row r="612" spans="5:6" ht="15" customHeight="1">
      <c r="E612" s="26"/>
      <c r="F612" s="18">
        <v>0</v>
      </c>
    </row>
    <row r="613" spans="5:6">
      <c r="E613" s="21"/>
      <c r="F613" s="18" t="s">
        <v>37</v>
      </c>
    </row>
    <row r="614" spans="5:6" ht="15" customHeight="1">
      <c r="E614" s="26"/>
      <c r="F614" s="18" t="s">
        <v>40</v>
      </c>
    </row>
    <row r="615" spans="5:6">
      <c r="E615" s="15" t="s">
        <v>465</v>
      </c>
      <c r="F615" s="18" t="s">
        <v>37</v>
      </c>
    </row>
    <row r="616" spans="5:6">
      <c r="E616" s="16" t="s">
        <v>37</v>
      </c>
      <c r="F616" s="18" t="s">
        <v>37</v>
      </c>
    </row>
    <row r="617" spans="5:6" ht="0" hidden="1" customHeight="1">
      <c r="F617" s="18">
        <v>0</v>
      </c>
    </row>
    <row r="618" spans="5:6" ht="0.6" customHeight="1">
      <c r="F618" s="18">
        <v>25</v>
      </c>
    </row>
    <row r="619" spans="5:6" ht="15" customHeight="1">
      <c r="E619" s="25"/>
      <c r="F619" s="18" t="s">
        <v>37</v>
      </c>
    </row>
    <row r="620" spans="5:6" ht="15" customHeight="1">
      <c r="E620" s="26"/>
      <c r="F620" s="18">
        <v>182.5</v>
      </c>
    </row>
    <row r="621" spans="5:6">
      <c r="E621" s="21" t="s">
        <v>467</v>
      </c>
      <c r="F621" s="18">
        <v>483</v>
      </c>
    </row>
    <row r="622" spans="5:6">
      <c r="E622" s="33"/>
      <c r="F622" s="18">
        <v>700</v>
      </c>
    </row>
    <row r="623" spans="5:6">
      <c r="E623" s="35"/>
      <c r="F623" s="18" t="s">
        <v>37</v>
      </c>
    </row>
    <row r="624" spans="5:6">
      <c r="E624" s="37"/>
      <c r="F624" s="18" t="s">
        <v>37</v>
      </c>
    </row>
    <row r="625" spans="5:6">
      <c r="E625" s="21">
        <v>7.3</v>
      </c>
      <c r="F625" s="18" t="s">
        <v>37</v>
      </c>
    </row>
    <row r="626" spans="5:6">
      <c r="E626" s="14">
        <v>7.3</v>
      </c>
      <c r="F626" s="18">
        <v>0</v>
      </c>
    </row>
    <row r="627" spans="5:6" ht="15" customHeight="1">
      <c r="E627" s="26"/>
      <c r="F627" s="18">
        <v>0</v>
      </c>
    </row>
    <row r="628" spans="5:6">
      <c r="E628" s="21"/>
      <c r="F628" s="18" t="s">
        <v>37</v>
      </c>
    </row>
    <row r="629" spans="5:6" ht="15" customHeight="1">
      <c r="E629" s="26"/>
      <c r="F629" s="18" t="s">
        <v>40</v>
      </c>
    </row>
    <row r="630" spans="5:6">
      <c r="E630" s="15" t="s">
        <v>473</v>
      </c>
      <c r="F630" s="18" t="s">
        <v>37</v>
      </c>
    </row>
    <row r="631" spans="5:6">
      <c r="E631" s="16" t="s">
        <v>37</v>
      </c>
      <c r="F631" s="18" t="s">
        <v>37</v>
      </c>
    </row>
    <row r="632" spans="5:6" ht="0" hidden="1" customHeight="1">
      <c r="F632" s="18">
        <v>0</v>
      </c>
    </row>
    <row r="633" spans="5:6" ht="0.6" customHeight="1">
      <c r="F633" s="18">
        <v>25</v>
      </c>
    </row>
    <row r="634" spans="5:6" ht="15" customHeight="1">
      <c r="E634" s="25"/>
      <c r="F634" s="18" t="s">
        <v>37</v>
      </c>
    </row>
    <row r="635" spans="5:6" ht="15" customHeight="1">
      <c r="E635" s="26"/>
      <c r="F635" s="18">
        <v>200</v>
      </c>
    </row>
    <row r="636" spans="5:6">
      <c r="E636" s="21" t="s">
        <v>475</v>
      </c>
      <c r="F636" s="18">
        <v>537</v>
      </c>
    </row>
    <row r="637" spans="5:6">
      <c r="E637" s="33"/>
      <c r="F637" s="18">
        <v>700</v>
      </c>
    </row>
    <row r="638" spans="5:6">
      <c r="E638" s="35"/>
      <c r="F638" s="18" t="s">
        <v>37</v>
      </c>
    </row>
    <row r="639" spans="5:6">
      <c r="E639" s="37"/>
      <c r="F639" s="18" t="s">
        <v>37</v>
      </c>
    </row>
    <row r="640" spans="5:6">
      <c r="E640" s="21">
        <v>8</v>
      </c>
      <c r="F640" s="18" t="s">
        <v>37</v>
      </c>
    </row>
    <row r="641" spans="5:6">
      <c r="E641" s="14">
        <v>8</v>
      </c>
      <c r="F641" s="18">
        <v>0</v>
      </c>
    </row>
    <row r="642" spans="5:6" ht="15" customHeight="1">
      <c r="E642" s="26"/>
      <c r="F642" s="18">
        <v>0</v>
      </c>
    </row>
    <row r="643" spans="5:6">
      <c r="E643" s="21"/>
      <c r="F643" s="18" t="s">
        <v>37</v>
      </c>
    </row>
    <row r="644" spans="5:6" ht="15" customHeight="1">
      <c r="E644" s="26"/>
      <c r="F644" s="18" t="s">
        <v>40</v>
      </c>
    </row>
    <row r="645" spans="5:6">
      <c r="E645" s="15" t="s">
        <v>483</v>
      </c>
      <c r="F645" s="18" t="s">
        <v>37</v>
      </c>
    </row>
    <row r="646" spans="5:6">
      <c r="E646" s="16" t="s">
        <v>37</v>
      </c>
      <c r="F646" s="18" t="s">
        <v>37</v>
      </c>
    </row>
    <row r="647" spans="5:6" ht="0" hidden="1" customHeight="1">
      <c r="F647" s="18">
        <v>0</v>
      </c>
    </row>
    <row r="648" spans="5:6" ht="0.6" customHeight="1">
      <c r="F648" s="18">
        <v>25</v>
      </c>
    </row>
    <row r="649" spans="5:6" ht="15" customHeight="1">
      <c r="E649" s="25"/>
      <c r="F649" s="18" t="s">
        <v>37</v>
      </c>
    </row>
    <row r="650" spans="5:6" ht="15" customHeight="1">
      <c r="E650" s="26"/>
      <c r="F650" s="18">
        <v>216</v>
      </c>
    </row>
    <row r="651" spans="5:6">
      <c r="E651" s="21" t="s">
        <v>485</v>
      </c>
      <c r="F651" s="18">
        <v>580</v>
      </c>
    </row>
    <row r="652" spans="5:6">
      <c r="E652" s="33"/>
      <c r="F652" s="18">
        <v>700</v>
      </c>
    </row>
    <row r="653" spans="5:6">
      <c r="E653" s="35"/>
      <c r="F653" s="18" t="s">
        <v>37</v>
      </c>
    </row>
    <row r="654" spans="5:6">
      <c r="E654" s="37"/>
      <c r="F654" s="18" t="s">
        <v>37</v>
      </c>
    </row>
    <row r="655" spans="5:6">
      <c r="E655" s="21">
        <v>8.64</v>
      </c>
      <c r="F655" s="18" t="s">
        <v>37</v>
      </c>
    </row>
    <row r="656" spans="5:6">
      <c r="E656" s="14">
        <v>8.64</v>
      </c>
      <c r="F656" s="18">
        <v>0</v>
      </c>
    </row>
    <row r="657" spans="5:6" ht="15" customHeight="1">
      <c r="E657" s="26"/>
      <c r="F657" s="18">
        <v>0</v>
      </c>
    </row>
    <row r="658" spans="5:6">
      <c r="E658" s="21"/>
      <c r="F658" s="18" t="s">
        <v>37</v>
      </c>
    </row>
    <row r="659" spans="5:6" ht="15" customHeight="1">
      <c r="E659" s="26"/>
      <c r="F659" s="18" t="s">
        <v>40</v>
      </c>
    </row>
    <row r="660" spans="5:6">
      <c r="E660" s="15" t="s">
        <v>491</v>
      </c>
      <c r="F660" s="18" t="s">
        <v>37</v>
      </c>
    </row>
    <row r="661" spans="5:6">
      <c r="E661" s="16" t="s">
        <v>37</v>
      </c>
      <c r="F661" s="18" t="s">
        <v>37</v>
      </c>
    </row>
    <row r="662" spans="5:6" ht="0" hidden="1" customHeight="1">
      <c r="F662" s="18">
        <v>0</v>
      </c>
    </row>
    <row r="663" spans="5:6" ht="0.6" customHeight="1">
      <c r="F663" s="18">
        <v>25</v>
      </c>
    </row>
    <row r="664" spans="5:6" ht="15" customHeight="1">
      <c r="E664" s="25"/>
      <c r="F664" s="18" t="s">
        <v>37</v>
      </c>
    </row>
    <row r="665" spans="5:6" ht="15" customHeight="1">
      <c r="E665" s="26"/>
      <c r="F665" s="18">
        <v>195</v>
      </c>
    </row>
    <row r="666" spans="5:6">
      <c r="E666" s="21" t="s">
        <v>493</v>
      </c>
      <c r="F666" s="18">
        <v>521</v>
      </c>
    </row>
    <row r="667" spans="5:6">
      <c r="E667" s="33"/>
      <c r="F667" s="18">
        <v>700</v>
      </c>
    </row>
    <row r="668" spans="5:6">
      <c r="E668" s="35"/>
      <c r="F668" s="18" t="s">
        <v>37</v>
      </c>
    </row>
    <row r="669" spans="5:6">
      <c r="E669" s="37"/>
      <c r="F669" s="18" t="s">
        <v>37</v>
      </c>
    </row>
    <row r="670" spans="5:6">
      <c r="E670" s="21">
        <v>7.8</v>
      </c>
      <c r="F670" s="18" t="s">
        <v>37</v>
      </c>
    </row>
    <row r="671" spans="5:6">
      <c r="E671" s="14">
        <v>7.8</v>
      </c>
      <c r="F671" s="18">
        <v>0</v>
      </c>
    </row>
    <row r="672" spans="5:6" ht="15" customHeight="1">
      <c r="E672" s="26"/>
      <c r="F672" s="18">
        <v>0</v>
      </c>
    </row>
    <row r="673" spans="5:6">
      <c r="E673" s="21"/>
      <c r="F673" s="18" t="s">
        <v>37</v>
      </c>
    </row>
    <row r="674" spans="5:6" ht="15" customHeight="1">
      <c r="E674" s="26"/>
      <c r="F674" s="18" t="s">
        <v>40</v>
      </c>
    </row>
    <row r="675" spans="5:6">
      <c r="E675" s="15" t="s">
        <v>499</v>
      </c>
      <c r="F675" s="18" t="s">
        <v>37</v>
      </c>
    </row>
    <row r="676" spans="5:6">
      <c r="E676" s="16" t="s">
        <v>37</v>
      </c>
      <c r="F676" s="18" t="s">
        <v>37</v>
      </c>
    </row>
    <row r="677" spans="5:6" ht="0" hidden="1" customHeight="1">
      <c r="F677" s="18">
        <v>3</v>
      </c>
    </row>
    <row r="678" spans="5:6" ht="0.6" customHeight="1">
      <c r="F678" s="18">
        <v>25</v>
      </c>
    </row>
    <row r="679" spans="5:6" ht="15" customHeight="1">
      <c r="E679" s="25"/>
      <c r="F679" s="18" t="s">
        <v>37</v>
      </c>
    </row>
    <row r="680" spans="5:6" ht="15" customHeight="1">
      <c r="E680" s="26"/>
      <c r="F680" s="18">
        <v>157</v>
      </c>
    </row>
    <row r="681" spans="5:6">
      <c r="E681" s="21" t="s">
        <v>501</v>
      </c>
      <c r="F681" s="18">
        <v>414</v>
      </c>
    </row>
    <row r="682" spans="5:6">
      <c r="E682" s="33"/>
      <c r="F682" s="18">
        <v>700</v>
      </c>
    </row>
    <row r="683" spans="5:6">
      <c r="E683" s="35"/>
      <c r="F683" s="18" t="s">
        <v>37</v>
      </c>
    </row>
    <row r="684" spans="5:6">
      <c r="E684" s="37"/>
      <c r="F684" s="18" t="s">
        <v>37</v>
      </c>
    </row>
    <row r="685" spans="5:6">
      <c r="E685" s="21">
        <v>6.28</v>
      </c>
      <c r="F685" s="18" t="s">
        <v>37</v>
      </c>
    </row>
    <row r="686" spans="5:6">
      <c r="E686" s="14">
        <v>6.28</v>
      </c>
      <c r="F686" s="18">
        <v>0</v>
      </c>
    </row>
    <row r="687" spans="5:6" ht="15" customHeight="1">
      <c r="E687" s="26"/>
      <c r="F687" s="18">
        <v>0</v>
      </c>
    </row>
    <row r="688" spans="5:6">
      <c r="E688" s="21"/>
      <c r="F688" s="18" t="s">
        <v>37</v>
      </c>
    </row>
    <row r="689" spans="5:6" ht="15" customHeight="1">
      <c r="E689" s="26"/>
      <c r="F689" s="18" t="s">
        <v>40</v>
      </c>
    </row>
    <row r="690" spans="5:6">
      <c r="E690" s="15" t="s">
        <v>507</v>
      </c>
      <c r="F690" s="18" t="s">
        <v>37</v>
      </c>
    </row>
    <row r="691" spans="5:6">
      <c r="E691" s="16" t="s">
        <v>37</v>
      </c>
      <c r="F691" s="18" t="s">
        <v>37</v>
      </c>
    </row>
    <row r="692" spans="5:6" ht="0" hidden="1" customHeight="1">
      <c r="F692" s="18">
        <v>0</v>
      </c>
    </row>
    <row r="693" spans="5:6" ht="0.6" customHeight="1">
      <c r="F693" s="18">
        <v>25</v>
      </c>
    </row>
    <row r="694" spans="5:6" ht="15" customHeight="1">
      <c r="E694" s="25"/>
      <c r="F694" s="18" t="s">
        <v>37</v>
      </c>
    </row>
    <row r="695" spans="5:6" ht="15" customHeight="1">
      <c r="E695" s="26"/>
      <c r="F695" s="18">
        <v>220</v>
      </c>
    </row>
    <row r="696" spans="5:6">
      <c r="E696" s="21" t="s">
        <v>509</v>
      </c>
      <c r="F696" s="18">
        <v>588</v>
      </c>
    </row>
    <row r="697" spans="5:6">
      <c r="E697" s="33"/>
      <c r="F697" s="18">
        <v>700</v>
      </c>
    </row>
    <row r="698" spans="5:6">
      <c r="E698" s="35"/>
      <c r="F698" s="18" t="s">
        <v>37</v>
      </c>
    </row>
    <row r="699" spans="5:6">
      <c r="E699" s="37"/>
      <c r="F699" s="18" t="s">
        <v>37</v>
      </c>
    </row>
    <row r="700" spans="5:6">
      <c r="E700" s="21">
        <v>8.8000000000000007</v>
      </c>
      <c r="F700" s="18" t="s">
        <v>37</v>
      </c>
    </row>
    <row r="701" spans="5:6">
      <c r="E701" s="14">
        <v>8.8000000000000007</v>
      </c>
      <c r="F701" s="18">
        <v>0</v>
      </c>
    </row>
    <row r="702" spans="5:6" ht="15" customHeight="1">
      <c r="E702" s="26"/>
      <c r="F702" s="18">
        <v>0</v>
      </c>
    </row>
    <row r="703" spans="5:6">
      <c r="E703" s="21"/>
      <c r="F703" s="18" t="s">
        <v>37</v>
      </c>
    </row>
    <row r="704" spans="5:6" ht="15" customHeight="1">
      <c r="E704" s="26"/>
      <c r="F704" s="18" t="s">
        <v>40</v>
      </c>
    </row>
    <row r="705" spans="5:6">
      <c r="E705" s="15" t="s">
        <v>514</v>
      </c>
      <c r="F705" s="18" t="s">
        <v>37</v>
      </c>
    </row>
    <row r="706" spans="5:6">
      <c r="E706" s="16" t="s">
        <v>37</v>
      </c>
      <c r="F706" s="18" t="s">
        <v>37</v>
      </c>
    </row>
    <row r="707" spans="5:6" ht="0" hidden="1" customHeight="1">
      <c r="F707" s="18">
        <v>0</v>
      </c>
    </row>
    <row r="708" spans="5:6" ht="0.6" customHeight="1">
      <c r="F708" s="18">
        <v>25</v>
      </c>
    </row>
    <row r="709" spans="5:6" ht="15" customHeight="1">
      <c r="E709" s="25"/>
      <c r="F709" s="18" t="s">
        <v>37</v>
      </c>
    </row>
    <row r="710" spans="5:6" ht="15" customHeight="1">
      <c r="E710" s="26"/>
      <c r="F710" s="18">
        <v>155.5</v>
      </c>
    </row>
    <row r="711" spans="5:6">
      <c r="E711" s="21" t="s">
        <v>516</v>
      </c>
      <c r="F711" s="18">
        <v>406</v>
      </c>
    </row>
    <row r="712" spans="5:6">
      <c r="E712" s="33"/>
      <c r="F712" s="18">
        <v>700</v>
      </c>
    </row>
    <row r="713" spans="5:6">
      <c r="E713" s="35"/>
      <c r="F713" s="18" t="s">
        <v>37</v>
      </c>
    </row>
    <row r="714" spans="5:6">
      <c r="E714" s="37"/>
      <c r="F714" s="18" t="s">
        <v>37</v>
      </c>
    </row>
    <row r="715" spans="5:6">
      <c r="E715" s="21">
        <v>6.22</v>
      </c>
      <c r="F715" s="18" t="s">
        <v>37</v>
      </c>
    </row>
    <row r="716" spans="5:6">
      <c r="E716" s="14">
        <v>6.22</v>
      </c>
      <c r="F716" s="18">
        <v>0</v>
      </c>
    </row>
    <row r="717" spans="5:6" ht="15" customHeight="1">
      <c r="E717" s="26"/>
      <c r="F717" s="18" t="s">
        <v>37</v>
      </c>
    </row>
    <row r="718" spans="5:6">
      <c r="E718" s="21"/>
      <c r="F718" s="18" t="s">
        <v>40</v>
      </c>
    </row>
    <row r="719" spans="5:6" ht="15" customHeight="1">
      <c r="E719" s="26"/>
      <c r="F719" s="18" t="s">
        <v>37</v>
      </c>
    </row>
    <row r="720" spans="5:6">
      <c r="E720" s="15" t="s">
        <v>522</v>
      </c>
      <c r="F720" s="18" t="s">
        <v>37</v>
      </c>
    </row>
    <row r="721" spans="5:6">
      <c r="E721" s="16" t="s">
        <v>37</v>
      </c>
      <c r="F721" s="18">
        <v>3</v>
      </c>
    </row>
    <row r="722" spans="5:6" ht="0.6" customHeight="1">
      <c r="F722" s="18">
        <v>25</v>
      </c>
    </row>
    <row r="723" spans="5:6" ht="15" customHeight="1">
      <c r="E723" s="25"/>
      <c r="F723" s="18" t="s">
        <v>37</v>
      </c>
    </row>
    <row r="724" spans="5:6" ht="15" customHeight="1">
      <c r="E724" s="26"/>
      <c r="F724" s="18">
        <v>153</v>
      </c>
    </row>
    <row r="725" spans="5:6">
      <c r="E725" s="21" t="s">
        <v>524</v>
      </c>
      <c r="F725" s="18">
        <v>399</v>
      </c>
    </row>
    <row r="726" spans="5:6">
      <c r="E726" s="33"/>
      <c r="F726" s="18">
        <v>700</v>
      </c>
    </row>
    <row r="727" spans="5:6">
      <c r="E727" s="35"/>
      <c r="F727" s="18" t="s">
        <v>37</v>
      </c>
    </row>
    <row r="728" spans="5:6">
      <c r="E728" s="37"/>
      <c r="F728" s="18" t="s">
        <v>37</v>
      </c>
    </row>
    <row r="729" spans="5:6">
      <c r="E729" s="21">
        <v>6.12</v>
      </c>
      <c r="F729" s="18" t="s">
        <v>37</v>
      </c>
    </row>
    <row r="730" spans="5:6">
      <c r="E730" s="14">
        <v>6.12</v>
      </c>
      <c r="F730" s="18">
        <v>0</v>
      </c>
    </row>
    <row r="731" spans="5:6" ht="15" customHeight="1">
      <c r="E731" s="26"/>
      <c r="F731" s="18">
        <v>0</v>
      </c>
    </row>
    <row r="732" spans="5:6">
      <c r="E732" s="21"/>
      <c r="F732" s="18" t="s">
        <v>37</v>
      </c>
    </row>
    <row r="733" spans="5:6" ht="15" customHeight="1">
      <c r="E733" s="26"/>
      <c r="F733" s="18" t="s">
        <v>40</v>
      </c>
    </row>
    <row r="734" spans="5:6">
      <c r="E734" s="15" t="s">
        <v>529</v>
      </c>
      <c r="F734" s="18" t="s">
        <v>37</v>
      </c>
    </row>
    <row r="735" spans="5:6">
      <c r="E735" s="16" t="s">
        <v>37</v>
      </c>
      <c r="F735" s="18" t="s">
        <v>37</v>
      </c>
    </row>
    <row r="736" spans="5:6" ht="0" hidden="1" customHeight="1">
      <c r="F736" s="18">
        <v>0</v>
      </c>
    </row>
    <row r="737" spans="5:6" ht="0.6" customHeight="1">
      <c r="F737" s="18">
        <v>25</v>
      </c>
    </row>
    <row r="738" spans="5:6" ht="15" customHeight="1">
      <c r="E738" s="25"/>
      <c r="F738" s="18" t="s">
        <v>37</v>
      </c>
    </row>
    <row r="739" spans="5:6" ht="15" customHeight="1">
      <c r="E739" s="26"/>
      <c r="F739" s="18">
        <v>233</v>
      </c>
    </row>
    <row r="740" spans="5:6">
      <c r="E740" s="21" t="s">
        <v>531</v>
      </c>
      <c r="F740" s="18">
        <v>630</v>
      </c>
    </row>
    <row r="741" spans="5:6">
      <c r="E741" s="33"/>
      <c r="F741" s="18">
        <v>700</v>
      </c>
    </row>
    <row r="742" spans="5:6">
      <c r="E742" s="35"/>
      <c r="F742" s="18" t="s">
        <v>37</v>
      </c>
    </row>
    <row r="743" spans="5:6">
      <c r="E743" s="37"/>
      <c r="F743" s="18" t="s">
        <v>37</v>
      </c>
    </row>
    <row r="744" spans="5:6">
      <c r="E744" s="21">
        <v>9.32</v>
      </c>
      <c r="F744" s="18" t="s">
        <v>37</v>
      </c>
    </row>
    <row r="745" spans="5:6">
      <c r="E745" s="14">
        <v>9.32</v>
      </c>
      <c r="F745" s="18">
        <v>0</v>
      </c>
    </row>
    <row r="746" spans="5:6" ht="15" customHeight="1">
      <c r="E746" s="26"/>
      <c r="F746" s="18">
        <v>0</v>
      </c>
    </row>
    <row r="747" spans="5:6">
      <c r="E747" s="21"/>
      <c r="F747" s="18" t="s">
        <v>37</v>
      </c>
    </row>
    <row r="748" spans="5:6" ht="15" customHeight="1">
      <c r="E748" s="26"/>
      <c r="F748" s="18" t="s">
        <v>40</v>
      </c>
    </row>
    <row r="749" spans="5:6">
      <c r="E749" s="15" t="s">
        <v>534</v>
      </c>
      <c r="F749" s="18" t="s">
        <v>37</v>
      </c>
    </row>
    <row r="750" spans="5:6">
      <c r="E750" s="16" t="s">
        <v>37</v>
      </c>
      <c r="F750" s="18" t="s">
        <v>37</v>
      </c>
    </row>
    <row r="751" spans="5:6" ht="0" hidden="1" customHeight="1">
      <c r="F751" s="18">
        <v>0</v>
      </c>
    </row>
    <row r="752" spans="5:6" ht="0.6" customHeight="1">
      <c r="F752" s="18">
        <v>25</v>
      </c>
    </row>
    <row r="753" spans="5:6" ht="15" customHeight="1">
      <c r="E753" s="25"/>
      <c r="F753" s="18" t="s">
        <v>37</v>
      </c>
    </row>
    <row r="754" spans="5:6" ht="15" customHeight="1">
      <c r="E754" s="26"/>
      <c r="F754" s="18">
        <v>203</v>
      </c>
    </row>
    <row r="755" spans="5:6">
      <c r="E755" s="21" t="s">
        <v>536</v>
      </c>
      <c r="F755" s="18">
        <v>546</v>
      </c>
    </row>
    <row r="756" spans="5:6">
      <c r="E756" s="33"/>
      <c r="F756" s="18">
        <v>700</v>
      </c>
    </row>
    <row r="757" spans="5:6">
      <c r="E757" s="35"/>
      <c r="F757" s="18" t="s">
        <v>37</v>
      </c>
    </row>
    <row r="758" spans="5:6">
      <c r="E758" s="37"/>
      <c r="F758" s="18" t="s">
        <v>37</v>
      </c>
    </row>
    <row r="759" spans="5:6">
      <c r="E759" s="21">
        <v>8.1199999999999992</v>
      </c>
      <c r="F759" s="18" t="s">
        <v>37</v>
      </c>
    </row>
    <row r="760" spans="5:6">
      <c r="E760" s="14">
        <v>8.1199999999999992</v>
      </c>
      <c r="F760" s="18">
        <v>0</v>
      </c>
    </row>
    <row r="761" spans="5:6" ht="15" customHeight="1">
      <c r="E761" s="26"/>
      <c r="F761" s="18">
        <v>0</v>
      </c>
    </row>
    <row r="762" spans="5:6">
      <c r="E762" s="21"/>
      <c r="F762" s="18" t="s">
        <v>37</v>
      </c>
    </row>
    <row r="763" spans="5:6" ht="15" customHeight="1">
      <c r="E763" s="26"/>
      <c r="F763" s="18" t="s">
        <v>40</v>
      </c>
    </row>
    <row r="764" spans="5:6">
      <c r="E764" s="15" t="s">
        <v>543</v>
      </c>
      <c r="F764" s="18" t="s">
        <v>37</v>
      </c>
    </row>
    <row r="765" spans="5:6">
      <c r="E765" s="16" t="s">
        <v>37</v>
      </c>
      <c r="F765" s="18" t="s">
        <v>37</v>
      </c>
    </row>
    <row r="766" spans="5:6" ht="0" hidden="1" customHeight="1">
      <c r="F766" s="18">
        <v>0</v>
      </c>
    </row>
    <row r="767" spans="5:6" ht="0.6" customHeight="1">
      <c r="F767" s="18">
        <v>25</v>
      </c>
    </row>
    <row r="768" spans="5:6" ht="15" customHeight="1">
      <c r="E768" s="25"/>
      <c r="F768" s="18" t="s">
        <v>37</v>
      </c>
    </row>
    <row r="769" spans="5:6" ht="15" customHeight="1">
      <c r="E769" s="26"/>
      <c r="F769" s="18">
        <v>201.5</v>
      </c>
    </row>
    <row r="770" spans="5:6">
      <c r="E770" s="21" t="s">
        <v>545</v>
      </c>
      <c r="F770" s="18">
        <v>538</v>
      </c>
    </row>
    <row r="771" spans="5:6">
      <c r="E771" s="33"/>
      <c r="F771" s="18">
        <v>700</v>
      </c>
    </row>
    <row r="772" spans="5:6">
      <c r="E772" s="35"/>
      <c r="F772" s="18" t="s">
        <v>37</v>
      </c>
    </row>
    <row r="773" spans="5:6">
      <c r="E773" s="37"/>
      <c r="F773" s="18" t="s">
        <v>37</v>
      </c>
    </row>
    <row r="774" spans="5:6">
      <c r="E774" s="21">
        <v>8.06</v>
      </c>
      <c r="F774" s="18" t="s">
        <v>37</v>
      </c>
    </row>
    <row r="775" spans="5:6">
      <c r="E775" s="14">
        <v>8.06</v>
      </c>
      <c r="F775" s="18">
        <v>0</v>
      </c>
    </row>
    <row r="776" spans="5:6" ht="15" customHeight="1">
      <c r="E776" s="26"/>
      <c r="F776" s="18">
        <v>0</v>
      </c>
    </row>
    <row r="777" spans="5:6">
      <c r="E777" s="21"/>
      <c r="F777" s="18" t="s">
        <v>37</v>
      </c>
    </row>
    <row r="778" spans="5:6" ht="15" customHeight="1">
      <c r="E778" s="26"/>
      <c r="F778" s="18" t="s">
        <v>40</v>
      </c>
    </row>
    <row r="779" spans="5:6">
      <c r="E779" s="15" t="s">
        <v>553</v>
      </c>
      <c r="F779" s="18" t="s">
        <v>37</v>
      </c>
    </row>
    <row r="780" spans="5:6">
      <c r="E780" s="16" t="s">
        <v>37</v>
      </c>
      <c r="F780" s="18" t="s">
        <v>37</v>
      </c>
    </row>
    <row r="781" spans="5:6" ht="0" hidden="1" customHeight="1">
      <c r="F781" s="18">
        <v>0</v>
      </c>
    </row>
    <row r="782" spans="5:6" ht="0.6" customHeight="1">
      <c r="F782" s="18">
        <v>25</v>
      </c>
    </row>
    <row r="783" spans="5:6" ht="15" customHeight="1">
      <c r="E783" s="25"/>
      <c r="F783" s="18" t="s">
        <v>37</v>
      </c>
    </row>
    <row r="784" spans="5:6" ht="15" customHeight="1">
      <c r="E784" s="26"/>
      <c r="F784" s="18">
        <v>211</v>
      </c>
    </row>
    <row r="785" spans="5:6">
      <c r="E785" s="21" t="s">
        <v>555</v>
      </c>
      <c r="F785" s="18">
        <v>566</v>
      </c>
    </row>
    <row r="786" spans="5:6">
      <c r="E786" s="33"/>
      <c r="F786" s="18">
        <v>700</v>
      </c>
    </row>
    <row r="787" spans="5:6">
      <c r="E787" s="35"/>
      <c r="F787" s="18" t="s">
        <v>37</v>
      </c>
    </row>
    <row r="788" spans="5:6">
      <c r="E788" s="37"/>
      <c r="F788" s="18" t="s">
        <v>37</v>
      </c>
    </row>
    <row r="789" spans="5:6">
      <c r="E789" s="21">
        <v>8.44</v>
      </c>
      <c r="F789" s="18" t="s">
        <v>37</v>
      </c>
    </row>
    <row r="790" spans="5:6">
      <c r="E790" s="14">
        <v>8.44</v>
      </c>
      <c r="F790" s="18">
        <v>0</v>
      </c>
    </row>
    <row r="791" spans="5:6" ht="15" customHeight="1">
      <c r="E791" s="26"/>
      <c r="F791" s="18">
        <v>0</v>
      </c>
    </row>
    <row r="792" spans="5:6">
      <c r="E792" s="21"/>
      <c r="F792" s="18" t="s">
        <v>37</v>
      </c>
    </row>
    <row r="793" spans="5:6" ht="15" customHeight="1">
      <c r="E793" s="26"/>
      <c r="F793" s="18" t="s">
        <v>40</v>
      </c>
    </row>
    <row r="794" spans="5:6">
      <c r="E794" s="15" t="s">
        <v>561</v>
      </c>
      <c r="F794" s="18" t="s">
        <v>37</v>
      </c>
    </row>
    <row r="795" spans="5:6">
      <c r="E795" s="16" t="s">
        <v>37</v>
      </c>
      <c r="F795" s="18" t="s">
        <v>37</v>
      </c>
    </row>
    <row r="796" spans="5:6" ht="0" hidden="1" customHeight="1">
      <c r="F796" s="18">
        <v>0</v>
      </c>
    </row>
    <row r="797" spans="5:6" ht="0.6" customHeight="1">
      <c r="F797" s="18">
        <v>25</v>
      </c>
    </row>
    <row r="798" spans="5:6" ht="15" customHeight="1">
      <c r="E798" s="25"/>
      <c r="F798" s="18" t="s">
        <v>37</v>
      </c>
    </row>
    <row r="799" spans="5:6" ht="15" customHeight="1">
      <c r="E799" s="26"/>
      <c r="F799" s="18">
        <v>181</v>
      </c>
    </row>
    <row r="800" spans="5:6">
      <c r="E800" s="21" t="s">
        <v>563</v>
      </c>
      <c r="F800" s="18">
        <v>486</v>
      </c>
    </row>
    <row r="801" spans="5:6">
      <c r="E801" s="33"/>
      <c r="F801" s="18">
        <v>700</v>
      </c>
    </row>
    <row r="802" spans="5:6">
      <c r="E802" s="35"/>
      <c r="F802" s="18" t="s">
        <v>37</v>
      </c>
    </row>
    <row r="803" spans="5:6">
      <c r="E803" s="37"/>
      <c r="F803" s="18" t="s">
        <v>37</v>
      </c>
    </row>
    <row r="804" spans="5:6">
      <c r="E804" s="21">
        <v>7.24</v>
      </c>
      <c r="F804" s="18" t="s">
        <v>37</v>
      </c>
    </row>
    <row r="805" spans="5:6">
      <c r="E805" s="14">
        <v>7.24</v>
      </c>
      <c r="F805" s="18">
        <v>0</v>
      </c>
    </row>
    <row r="806" spans="5:6" ht="15" customHeight="1">
      <c r="E806" s="26"/>
      <c r="F806" s="18">
        <v>0</v>
      </c>
    </row>
    <row r="807" spans="5:6">
      <c r="E807" s="21"/>
      <c r="F807" s="18" t="s">
        <v>37</v>
      </c>
    </row>
    <row r="808" spans="5:6" ht="15" customHeight="1">
      <c r="E808" s="26"/>
      <c r="F808" s="18" t="s">
        <v>40</v>
      </c>
    </row>
    <row r="809" spans="5:6">
      <c r="E809" s="15" t="s">
        <v>568</v>
      </c>
      <c r="F809" s="18" t="s">
        <v>37</v>
      </c>
    </row>
    <row r="810" spans="5:6">
      <c r="E810" s="16" t="s">
        <v>37</v>
      </c>
      <c r="F810" s="18" t="s">
        <v>37</v>
      </c>
    </row>
    <row r="811" spans="5:6" ht="0" hidden="1" customHeight="1">
      <c r="F811" s="18">
        <v>0</v>
      </c>
    </row>
    <row r="812" spans="5:6" ht="0.6" customHeight="1">
      <c r="F812" s="18">
        <v>25</v>
      </c>
    </row>
    <row r="813" spans="5:6" ht="15" customHeight="1">
      <c r="E813" s="25"/>
      <c r="F813" s="18" t="s">
        <v>37</v>
      </c>
    </row>
    <row r="814" spans="5:6" ht="15" customHeight="1">
      <c r="E814" s="26"/>
      <c r="F814" s="18">
        <v>182</v>
      </c>
    </row>
    <row r="815" spans="5:6">
      <c r="E815" s="21" t="s">
        <v>570</v>
      </c>
      <c r="F815" s="18">
        <v>484</v>
      </c>
    </row>
    <row r="816" spans="5:6">
      <c r="E816" s="33"/>
      <c r="F816" s="18">
        <v>700</v>
      </c>
    </row>
    <row r="817" spans="5:6">
      <c r="E817" s="35"/>
      <c r="F817" s="18" t="s">
        <v>37</v>
      </c>
    </row>
    <row r="818" spans="5:6">
      <c r="E818" s="37"/>
      <c r="F818" s="18" t="s">
        <v>37</v>
      </c>
    </row>
    <row r="819" spans="5:6">
      <c r="E819" s="21">
        <v>7.28</v>
      </c>
      <c r="F819" s="18" t="s">
        <v>37</v>
      </c>
    </row>
    <row r="820" spans="5:6">
      <c r="E820" s="14">
        <v>7.28</v>
      </c>
      <c r="F820" s="18">
        <v>0</v>
      </c>
    </row>
    <row r="821" spans="5:6" ht="15" customHeight="1">
      <c r="E821" s="26"/>
      <c r="F821" s="18">
        <v>0</v>
      </c>
    </row>
    <row r="822" spans="5:6">
      <c r="E822" s="21"/>
      <c r="F822" s="18" t="s">
        <v>37</v>
      </c>
    </row>
    <row r="823" spans="5:6" ht="15" customHeight="1">
      <c r="E823" s="26"/>
      <c r="F823" s="18" t="s">
        <v>40</v>
      </c>
    </row>
    <row r="824" spans="5:6">
      <c r="E824" s="15" t="s">
        <v>575</v>
      </c>
      <c r="F824" s="18" t="s">
        <v>37</v>
      </c>
    </row>
    <row r="825" spans="5:6">
      <c r="E825" s="16" t="s">
        <v>37</v>
      </c>
      <c r="F825" s="18" t="s">
        <v>37</v>
      </c>
    </row>
    <row r="826" spans="5:6" ht="0" hidden="1" customHeight="1">
      <c r="F826" s="18">
        <v>0</v>
      </c>
    </row>
    <row r="827" spans="5:6" ht="0.6" customHeight="1">
      <c r="F827" s="18">
        <v>25</v>
      </c>
    </row>
    <row r="828" spans="5:6" ht="15" customHeight="1">
      <c r="E828" s="25"/>
      <c r="F828" s="18" t="s">
        <v>37</v>
      </c>
    </row>
    <row r="829" spans="5:6" ht="15" customHeight="1">
      <c r="E829" s="26"/>
      <c r="F829" s="18">
        <v>152</v>
      </c>
    </row>
    <row r="830" spans="5:6">
      <c r="E830" s="21" t="s">
        <v>577</v>
      </c>
      <c r="F830" s="18">
        <v>402</v>
      </c>
    </row>
    <row r="831" spans="5:6">
      <c r="E831" s="33"/>
      <c r="F831" s="18">
        <v>700</v>
      </c>
    </row>
    <row r="832" spans="5:6">
      <c r="E832" s="35"/>
      <c r="F832" s="18" t="s">
        <v>37</v>
      </c>
    </row>
    <row r="833" spans="5:6">
      <c r="E833" s="37"/>
      <c r="F833" s="18" t="s">
        <v>37</v>
      </c>
    </row>
    <row r="834" spans="5:6">
      <c r="E834" s="21">
        <v>6.08</v>
      </c>
      <c r="F834" s="18" t="s">
        <v>37</v>
      </c>
    </row>
    <row r="835" spans="5:6">
      <c r="E835" s="14">
        <v>6.08</v>
      </c>
      <c r="F835" s="18">
        <v>0</v>
      </c>
    </row>
    <row r="836" spans="5:6" ht="15" customHeight="1">
      <c r="E836" s="26"/>
      <c r="F836" s="18">
        <v>0</v>
      </c>
    </row>
    <row r="837" spans="5:6">
      <c r="E837" s="21"/>
      <c r="F837" s="18" t="s">
        <v>37</v>
      </c>
    </row>
    <row r="838" spans="5:6" ht="15" customHeight="1">
      <c r="E838" s="26"/>
      <c r="F838" s="18" t="s">
        <v>40</v>
      </c>
    </row>
    <row r="839" spans="5:6">
      <c r="E839" s="15" t="s">
        <v>583</v>
      </c>
      <c r="F839" s="18" t="s">
        <v>37</v>
      </c>
    </row>
    <row r="840" spans="5:6">
      <c r="E840" s="16" t="s">
        <v>37</v>
      </c>
      <c r="F840" s="18" t="s">
        <v>37</v>
      </c>
    </row>
    <row r="841" spans="5:6" ht="0" hidden="1" customHeight="1">
      <c r="F841" s="18">
        <v>0</v>
      </c>
    </row>
    <row r="842" spans="5:6" ht="0.6" customHeight="1">
      <c r="F842" s="18">
        <v>25</v>
      </c>
    </row>
    <row r="843" spans="5:6" ht="15" customHeight="1">
      <c r="E843" s="25"/>
      <c r="F843" s="18" t="s">
        <v>37</v>
      </c>
    </row>
    <row r="844" spans="5:6" ht="15" customHeight="1">
      <c r="E844" s="26"/>
      <c r="F844" s="18">
        <v>145.5</v>
      </c>
    </row>
    <row r="845" spans="5:6">
      <c r="E845" s="21" t="s">
        <v>585</v>
      </c>
      <c r="F845" s="18">
        <v>380</v>
      </c>
    </row>
    <row r="846" spans="5:6">
      <c r="E846" s="33"/>
      <c r="F846" s="18">
        <v>700</v>
      </c>
    </row>
    <row r="847" spans="5:6">
      <c r="E847" s="35"/>
      <c r="F847" s="18" t="s">
        <v>37</v>
      </c>
    </row>
    <row r="848" spans="5:6">
      <c r="E848" s="37"/>
      <c r="F848" s="18" t="s">
        <v>37</v>
      </c>
    </row>
    <row r="849" spans="5:6">
      <c r="E849" s="21">
        <v>5.82</v>
      </c>
      <c r="F849" s="18" t="s">
        <v>37</v>
      </c>
    </row>
    <row r="850" spans="5:6">
      <c r="E850" s="14">
        <v>5.82</v>
      </c>
      <c r="F850" s="18">
        <v>0</v>
      </c>
    </row>
    <row r="851" spans="5:6" ht="15" customHeight="1">
      <c r="E851" s="26"/>
      <c r="F851" s="18" t="s">
        <v>37</v>
      </c>
    </row>
    <row r="852" spans="5:6">
      <c r="E852" s="21"/>
      <c r="F852" s="18" t="s">
        <v>40</v>
      </c>
    </row>
    <row r="853" spans="5:6" ht="15" customHeight="1">
      <c r="E853" s="26"/>
      <c r="F853" s="18" t="s">
        <v>37</v>
      </c>
    </row>
    <row r="854" spans="5:6">
      <c r="E854" s="15" t="s">
        <v>593</v>
      </c>
      <c r="F854" s="18" t="s">
        <v>37</v>
      </c>
    </row>
    <row r="855" spans="5:6">
      <c r="E855" s="16" t="s">
        <v>37</v>
      </c>
      <c r="F855" s="18">
        <v>0</v>
      </c>
    </row>
    <row r="856" spans="5:6" ht="0.6" customHeight="1">
      <c r="F856" s="18">
        <v>25</v>
      </c>
    </row>
    <row r="857" spans="5:6" ht="15" customHeight="1">
      <c r="E857" s="25"/>
      <c r="F857" s="18" t="s">
        <v>37</v>
      </c>
    </row>
    <row r="858" spans="5:6" ht="15" customHeight="1">
      <c r="E858" s="26"/>
      <c r="F858" s="18">
        <v>225.5</v>
      </c>
    </row>
    <row r="859" spans="5:6">
      <c r="E859" s="21" t="s">
        <v>595</v>
      </c>
      <c r="F859" s="18">
        <v>604</v>
      </c>
    </row>
    <row r="860" spans="5:6">
      <c r="E860" s="33"/>
      <c r="F860" s="18">
        <v>700</v>
      </c>
    </row>
    <row r="861" spans="5:6">
      <c r="E861" s="35"/>
      <c r="F861" s="18" t="s">
        <v>37</v>
      </c>
    </row>
    <row r="862" spans="5:6">
      <c r="E862" s="37"/>
      <c r="F862" s="18" t="s">
        <v>37</v>
      </c>
    </row>
    <row r="863" spans="5:6">
      <c r="E863" s="21">
        <v>9.02</v>
      </c>
      <c r="F863" s="18" t="s">
        <v>37</v>
      </c>
    </row>
    <row r="864" spans="5:6">
      <c r="E864" s="14">
        <v>9.02</v>
      </c>
      <c r="F864" s="18">
        <v>0</v>
      </c>
    </row>
    <row r="865" spans="5:6" ht="15" customHeight="1">
      <c r="E865" s="26"/>
      <c r="F865" s="18">
        <v>0</v>
      </c>
    </row>
    <row r="866" spans="5:6">
      <c r="E866" s="21"/>
      <c r="F866" s="18" t="s">
        <v>37</v>
      </c>
    </row>
    <row r="867" spans="5:6" ht="15" customHeight="1">
      <c r="E867" s="26"/>
      <c r="F867" s="18" t="s">
        <v>40</v>
      </c>
    </row>
    <row r="868" spans="5:6">
      <c r="E868" s="15" t="s">
        <v>597</v>
      </c>
      <c r="F868" s="18" t="s">
        <v>37</v>
      </c>
    </row>
    <row r="869" spans="5:6">
      <c r="E869" s="16" t="s">
        <v>37</v>
      </c>
      <c r="F869" s="18" t="s">
        <v>37</v>
      </c>
    </row>
    <row r="870" spans="5:6" ht="0" hidden="1" customHeight="1">
      <c r="F870" s="18">
        <v>0</v>
      </c>
    </row>
    <row r="871" spans="5:6" ht="0.6" customHeight="1">
      <c r="F871" s="18">
        <v>25</v>
      </c>
    </row>
    <row r="872" spans="5:6" ht="15" customHeight="1">
      <c r="E872" s="25"/>
      <c r="F872" s="18" t="s">
        <v>37</v>
      </c>
    </row>
    <row r="873" spans="5:6" ht="15" customHeight="1">
      <c r="E873" s="26"/>
      <c r="F873" s="18">
        <v>237</v>
      </c>
    </row>
    <row r="874" spans="5:6">
      <c r="E874" s="21" t="s">
        <v>599</v>
      </c>
      <c r="F874" s="18">
        <v>639</v>
      </c>
    </row>
    <row r="875" spans="5:6">
      <c r="E875" s="33"/>
      <c r="F875" s="18">
        <v>700</v>
      </c>
    </row>
    <row r="876" spans="5:6">
      <c r="E876" s="35"/>
      <c r="F876" s="18" t="s">
        <v>37</v>
      </c>
    </row>
    <row r="877" spans="5:6">
      <c r="E877" s="37"/>
      <c r="F877" s="18" t="s">
        <v>37</v>
      </c>
    </row>
    <row r="878" spans="5:6">
      <c r="E878" s="21">
        <v>9.48</v>
      </c>
      <c r="F878" s="18" t="s">
        <v>37</v>
      </c>
    </row>
    <row r="879" spans="5:6">
      <c r="E879" s="14">
        <v>9.48</v>
      </c>
      <c r="F879" s="18">
        <v>0</v>
      </c>
    </row>
    <row r="880" spans="5:6" ht="15" customHeight="1">
      <c r="E880" s="26"/>
      <c r="F880" s="18">
        <v>0</v>
      </c>
    </row>
    <row r="881" spans="5:6">
      <c r="E881" s="21"/>
      <c r="F881" s="18" t="s">
        <v>37</v>
      </c>
    </row>
    <row r="882" spans="5:6" ht="15" customHeight="1">
      <c r="E882" s="26"/>
      <c r="F882" s="18" t="s">
        <v>40</v>
      </c>
    </row>
    <row r="883" spans="5:6">
      <c r="E883" s="15" t="s">
        <v>604</v>
      </c>
      <c r="F883" s="18" t="s">
        <v>37</v>
      </c>
    </row>
    <row r="884" spans="5:6">
      <c r="E884" s="16" t="s">
        <v>37</v>
      </c>
      <c r="F884" s="18" t="s">
        <v>37</v>
      </c>
    </row>
    <row r="885" spans="5:6" ht="0" hidden="1" customHeight="1">
      <c r="F885" s="18">
        <v>0</v>
      </c>
    </row>
    <row r="886" spans="5:6" ht="0.6" customHeight="1">
      <c r="F886" s="18">
        <v>25</v>
      </c>
    </row>
    <row r="887" spans="5:6" ht="15" customHeight="1">
      <c r="E887" s="25"/>
      <c r="F887" s="18" t="s">
        <v>37</v>
      </c>
    </row>
    <row r="888" spans="5:6" ht="15" customHeight="1">
      <c r="E888" s="26"/>
      <c r="F888" s="18">
        <v>237</v>
      </c>
    </row>
    <row r="889" spans="5:6">
      <c r="E889" s="21" t="s">
        <v>606</v>
      </c>
      <c r="F889" s="18">
        <v>652</v>
      </c>
    </row>
    <row r="890" spans="5:6">
      <c r="E890" s="33"/>
      <c r="F890" s="18">
        <v>700</v>
      </c>
    </row>
    <row r="891" spans="5:6">
      <c r="E891" s="35"/>
      <c r="F891" s="18" t="s">
        <v>37</v>
      </c>
    </row>
    <row r="892" spans="5:6">
      <c r="E892" s="37"/>
      <c r="F892" s="18" t="s">
        <v>37</v>
      </c>
    </row>
    <row r="893" spans="5:6">
      <c r="E893" s="21">
        <v>9.48</v>
      </c>
      <c r="F893" s="18" t="s">
        <v>37</v>
      </c>
    </row>
    <row r="894" spans="5:6">
      <c r="E894" s="14">
        <v>9.48</v>
      </c>
      <c r="F894" s="18">
        <v>0</v>
      </c>
    </row>
    <row r="895" spans="5:6" ht="15" customHeight="1">
      <c r="E895" s="26"/>
      <c r="F895" s="18">
        <v>0</v>
      </c>
    </row>
    <row r="896" spans="5:6">
      <c r="E896" s="21"/>
      <c r="F896" s="18" t="s">
        <v>37</v>
      </c>
    </row>
    <row r="897" spans="5:6" ht="15" customHeight="1">
      <c r="E897" s="26"/>
      <c r="F897" s="18" t="s">
        <v>40</v>
      </c>
    </row>
    <row r="898" spans="5:6">
      <c r="E898" s="15" t="s">
        <v>609</v>
      </c>
      <c r="F898" s="18" t="s">
        <v>37</v>
      </c>
    </row>
    <row r="899" spans="5:6">
      <c r="E899" s="16" t="s">
        <v>37</v>
      </c>
      <c r="F899" s="18" t="s">
        <v>37</v>
      </c>
    </row>
    <row r="900" spans="5:6" ht="0" hidden="1" customHeight="1">
      <c r="F900" s="18">
        <v>1</v>
      </c>
    </row>
    <row r="901" spans="5:6" ht="0.6" customHeight="1">
      <c r="F901" s="18">
        <v>25</v>
      </c>
    </row>
    <row r="902" spans="5:6" ht="15" customHeight="1">
      <c r="E902" s="25"/>
      <c r="F902" s="18" t="s">
        <v>37</v>
      </c>
    </row>
    <row r="903" spans="5:6" ht="15" customHeight="1">
      <c r="E903" s="26"/>
      <c r="F903" s="18">
        <v>160.5</v>
      </c>
    </row>
    <row r="904" spans="5:6">
      <c r="E904" s="21" t="s">
        <v>611</v>
      </c>
      <c r="F904" s="18">
        <v>418</v>
      </c>
    </row>
    <row r="905" spans="5:6">
      <c r="E905" s="33"/>
      <c r="F905" s="18">
        <v>700</v>
      </c>
    </row>
    <row r="906" spans="5:6">
      <c r="E906" s="35"/>
      <c r="F906" s="18" t="s">
        <v>37</v>
      </c>
    </row>
    <row r="907" spans="5:6">
      <c r="E907" s="37"/>
      <c r="F907" s="18" t="s">
        <v>37</v>
      </c>
    </row>
    <row r="908" spans="5:6">
      <c r="E908" s="21">
        <v>6.42</v>
      </c>
      <c r="F908" s="18" t="s">
        <v>37</v>
      </c>
    </row>
    <row r="909" spans="5:6">
      <c r="E909" s="14">
        <v>6.42</v>
      </c>
      <c r="F909" s="18">
        <v>0</v>
      </c>
    </row>
    <row r="910" spans="5:6" ht="15" customHeight="1">
      <c r="E910" s="26"/>
      <c r="F910" s="18">
        <v>0</v>
      </c>
    </row>
    <row r="911" spans="5:6">
      <c r="E911" s="21"/>
      <c r="F911" s="18" t="s">
        <v>37</v>
      </c>
    </row>
    <row r="912" spans="5:6" ht="15" customHeight="1">
      <c r="E912" s="26"/>
      <c r="F912" s="18" t="s">
        <v>40</v>
      </c>
    </row>
    <row r="913" spans="5:6">
      <c r="E913" s="15" t="s">
        <v>618</v>
      </c>
      <c r="F913" s="18" t="s">
        <v>37</v>
      </c>
    </row>
    <row r="914" spans="5:6">
      <c r="E914" s="16" t="s">
        <v>37</v>
      </c>
      <c r="F914" s="18" t="s">
        <v>37</v>
      </c>
    </row>
    <row r="915" spans="5:6" ht="0" hidden="1" customHeight="1">
      <c r="F915" s="18">
        <v>0</v>
      </c>
    </row>
    <row r="916" spans="5:6" ht="0.6" customHeight="1">
      <c r="F916" s="18">
        <v>25</v>
      </c>
    </row>
    <row r="917" spans="5:6" ht="15" customHeight="1">
      <c r="E917" s="25"/>
      <c r="F917" s="18" t="s">
        <v>37</v>
      </c>
    </row>
    <row r="918" spans="5:6" ht="15" customHeight="1">
      <c r="E918" s="26"/>
      <c r="F918" s="18">
        <v>192</v>
      </c>
    </row>
    <row r="919" spans="5:6">
      <c r="E919" s="21" t="s">
        <v>620</v>
      </c>
      <c r="F919" s="18">
        <v>515</v>
      </c>
    </row>
    <row r="920" spans="5:6">
      <c r="E920" s="33"/>
      <c r="F920" s="18">
        <v>700</v>
      </c>
    </row>
    <row r="921" spans="5:6">
      <c r="E921" s="35"/>
      <c r="F921" s="18" t="s">
        <v>37</v>
      </c>
    </row>
    <row r="922" spans="5:6">
      <c r="E922" s="37"/>
      <c r="F922" s="18" t="s">
        <v>37</v>
      </c>
    </row>
    <row r="923" spans="5:6">
      <c r="E923" s="21">
        <v>7.68</v>
      </c>
      <c r="F923" s="18" t="s">
        <v>37</v>
      </c>
    </row>
    <row r="924" spans="5:6">
      <c r="E924" s="14">
        <v>7.68</v>
      </c>
      <c r="F924" s="18">
        <v>0</v>
      </c>
    </row>
    <row r="925" spans="5:6" ht="15" customHeight="1">
      <c r="E925" s="26"/>
      <c r="F925" s="18">
        <v>0</v>
      </c>
    </row>
    <row r="926" spans="5:6">
      <c r="E926" s="21"/>
      <c r="F926" s="18" t="s">
        <v>37</v>
      </c>
    </row>
    <row r="927" spans="5:6" ht="15" customHeight="1">
      <c r="E927" s="26"/>
      <c r="F927" s="18" t="s">
        <v>40</v>
      </c>
    </row>
    <row r="928" spans="5:6">
      <c r="E928" s="15" t="s">
        <v>624</v>
      </c>
      <c r="F928" s="18" t="s">
        <v>37</v>
      </c>
    </row>
    <row r="929" spans="5:6">
      <c r="E929" s="16" t="s">
        <v>37</v>
      </c>
      <c r="F929" s="18" t="s">
        <v>37</v>
      </c>
    </row>
    <row r="930" spans="5:6" ht="0" hidden="1" customHeight="1">
      <c r="F930" s="18">
        <v>0</v>
      </c>
    </row>
    <row r="931" spans="5:6" ht="0.6" customHeight="1">
      <c r="F931" s="18">
        <v>25</v>
      </c>
    </row>
    <row r="932" spans="5:6" ht="15" customHeight="1">
      <c r="E932" s="25"/>
      <c r="F932" s="18" t="s">
        <v>37</v>
      </c>
    </row>
    <row r="933" spans="5:6" ht="15" customHeight="1">
      <c r="E933" s="26"/>
      <c r="F933" s="18">
        <v>153</v>
      </c>
    </row>
    <row r="934" spans="5:6">
      <c r="E934" s="21" t="s">
        <v>626</v>
      </c>
      <c r="F934" s="18">
        <v>396</v>
      </c>
    </row>
    <row r="935" spans="5:6">
      <c r="E935" s="33"/>
      <c r="F935" s="18">
        <v>700</v>
      </c>
    </row>
    <row r="936" spans="5:6">
      <c r="E936" s="35"/>
      <c r="F936" s="18" t="s">
        <v>37</v>
      </c>
    </row>
    <row r="937" spans="5:6">
      <c r="E937" s="37"/>
      <c r="F937" s="18" t="s">
        <v>37</v>
      </c>
    </row>
    <row r="938" spans="5:6">
      <c r="E938" s="21">
        <v>6.12</v>
      </c>
      <c r="F938" s="18" t="s">
        <v>37</v>
      </c>
    </row>
    <row r="939" spans="5:6">
      <c r="E939" s="14">
        <v>6.12</v>
      </c>
      <c r="F939" s="18">
        <v>0</v>
      </c>
    </row>
    <row r="940" spans="5:6" ht="15" customHeight="1">
      <c r="E940" s="26"/>
      <c r="F940" s="18">
        <v>0</v>
      </c>
    </row>
    <row r="941" spans="5:6">
      <c r="E941" s="21"/>
      <c r="F941" s="18" t="s">
        <v>37</v>
      </c>
    </row>
    <row r="942" spans="5:6" ht="15" customHeight="1">
      <c r="E942" s="26"/>
      <c r="F942" s="18" t="s">
        <v>40</v>
      </c>
    </row>
    <row r="943" spans="5:6">
      <c r="E943" s="15" t="s">
        <v>632</v>
      </c>
      <c r="F943" s="18" t="s">
        <v>37</v>
      </c>
    </row>
    <row r="944" spans="5:6">
      <c r="E944" s="16" t="s">
        <v>37</v>
      </c>
      <c r="F944" s="18" t="s">
        <v>37</v>
      </c>
    </row>
    <row r="945" spans="5:6" ht="0" hidden="1" customHeight="1">
      <c r="F945" s="18">
        <v>0</v>
      </c>
    </row>
    <row r="946" spans="5:6" ht="0.6" customHeight="1">
      <c r="F946" s="18">
        <v>25</v>
      </c>
    </row>
    <row r="947" spans="5:6" ht="15" customHeight="1">
      <c r="E947" s="25"/>
      <c r="F947" s="18" t="s">
        <v>37</v>
      </c>
    </row>
    <row r="948" spans="5:6" ht="15" customHeight="1">
      <c r="E948" s="26"/>
      <c r="F948" s="18">
        <v>223</v>
      </c>
    </row>
    <row r="949" spans="5:6">
      <c r="E949" s="21" t="s">
        <v>634</v>
      </c>
      <c r="F949" s="18">
        <v>601</v>
      </c>
    </row>
    <row r="950" spans="5:6">
      <c r="E950" s="33"/>
      <c r="F950" s="18">
        <v>700</v>
      </c>
    </row>
    <row r="951" spans="5:6">
      <c r="E951" s="35"/>
      <c r="F951" s="18" t="s">
        <v>37</v>
      </c>
    </row>
    <row r="952" spans="5:6">
      <c r="E952" s="37"/>
      <c r="F952" s="18" t="s">
        <v>37</v>
      </c>
    </row>
    <row r="953" spans="5:6">
      <c r="E953" s="21">
        <v>8.92</v>
      </c>
      <c r="F953" s="18" t="s">
        <v>37</v>
      </c>
    </row>
    <row r="954" spans="5:6">
      <c r="E954" s="14">
        <v>8.92</v>
      </c>
      <c r="F954" s="18">
        <v>0</v>
      </c>
    </row>
    <row r="955" spans="5:6" ht="15" customHeight="1">
      <c r="E955" s="26"/>
      <c r="F955" s="18">
        <v>0</v>
      </c>
    </row>
    <row r="956" spans="5:6">
      <c r="E956" s="21"/>
      <c r="F956" s="18" t="s">
        <v>37</v>
      </c>
    </row>
    <row r="957" spans="5:6" ht="15" customHeight="1">
      <c r="E957" s="26"/>
      <c r="F957" s="18" t="s">
        <v>40</v>
      </c>
    </row>
    <row r="958" spans="5:6">
      <c r="E958" s="15" t="s">
        <v>638</v>
      </c>
      <c r="F958" s="18" t="s">
        <v>37</v>
      </c>
    </row>
    <row r="959" spans="5:6">
      <c r="E959" s="16" t="s">
        <v>37</v>
      </c>
      <c r="F959" s="18" t="s">
        <v>37</v>
      </c>
    </row>
    <row r="960" spans="5:6" ht="0" hidden="1" customHeight="1">
      <c r="F960" s="18">
        <v>0</v>
      </c>
    </row>
    <row r="961" spans="5:6" ht="0.6" customHeight="1">
      <c r="F961" s="18">
        <v>25</v>
      </c>
    </row>
    <row r="962" spans="5:6" ht="15" customHeight="1">
      <c r="E962" s="25"/>
      <c r="F962" s="18" t="s">
        <v>37</v>
      </c>
    </row>
    <row r="963" spans="5:6" ht="15" customHeight="1">
      <c r="E963" s="26"/>
      <c r="F963" s="18">
        <v>222</v>
      </c>
    </row>
    <row r="964" spans="5:6">
      <c r="E964" s="21" t="s">
        <v>640</v>
      </c>
      <c r="F964" s="18">
        <v>603</v>
      </c>
    </row>
    <row r="965" spans="5:6">
      <c r="E965" s="33"/>
      <c r="F965" s="18">
        <v>700</v>
      </c>
    </row>
    <row r="966" spans="5:6">
      <c r="E966" s="35"/>
      <c r="F966" s="18" t="s">
        <v>37</v>
      </c>
    </row>
    <row r="967" spans="5:6">
      <c r="E967" s="37"/>
      <c r="F967" s="18" t="s">
        <v>37</v>
      </c>
    </row>
    <row r="968" spans="5:6">
      <c r="E968" s="21">
        <v>8.8800000000000008</v>
      </c>
      <c r="F968" s="18" t="s">
        <v>37</v>
      </c>
    </row>
    <row r="969" spans="5:6">
      <c r="E969" s="14">
        <v>8.8800000000000008</v>
      </c>
      <c r="F969" s="18">
        <v>0</v>
      </c>
    </row>
    <row r="970" spans="5:6" ht="15" customHeight="1">
      <c r="E970" s="26"/>
      <c r="F970" s="18">
        <v>0</v>
      </c>
    </row>
    <row r="971" spans="5:6">
      <c r="E971" s="21"/>
      <c r="F971" s="18">
        <v>0</v>
      </c>
    </row>
    <row r="972" spans="5:6" ht="15" customHeight="1">
      <c r="E972" s="26"/>
      <c r="F972" s="18">
        <v>0</v>
      </c>
    </row>
    <row r="973" spans="5:6">
      <c r="E973" s="15" t="s">
        <v>645</v>
      </c>
      <c r="F973" s="18">
        <v>0</v>
      </c>
    </row>
    <row r="974" spans="5:6">
      <c r="E974" s="16" t="s">
        <v>37</v>
      </c>
    </row>
    <row r="975" spans="5:6" ht="0" hidden="1" customHeight="1"/>
  </sheetData>
  <mergeCells count="67">
    <mergeCell ref="D2:E2"/>
    <mergeCell ref="D4:E4"/>
    <mergeCell ref="E71:E73"/>
    <mergeCell ref="E57:E59"/>
    <mergeCell ref="E42:E44"/>
    <mergeCell ref="E27:E29"/>
    <mergeCell ref="E12:E14"/>
    <mergeCell ref="E146:E148"/>
    <mergeCell ref="E131:E133"/>
    <mergeCell ref="E116:E118"/>
    <mergeCell ref="E101:E103"/>
    <mergeCell ref="E86:E88"/>
    <mergeCell ref="E220:E222"/>
    <mergeCell ref="E205:E207"/>
    <mergeCell ref="E191:E193"/>
    <mergeCell ref="E176:E178"/>
    <mergeCell ref="E161:E163"/>
    <mergeCell ref="E295:E297"/>
    <mergeCell ref="E280:E282"/>
    <mergeCell ref="E265:E267"/>
    <mergeCell ref="E250:E252"/>
    <mergeCell ref="E235:E237"/>
    <mergeCell ref="E369:E371"/>
    <mergeCell ref="E354:E356"/>
    <mergeCell ref="E339:E341"/>
    <mergeCell ref="E325:E327"/>
    <mergeCell ref="E310:E312"/>
    <mergeCell ref="E444:E446"/>
    <mergeCell ref="E429:E431"/>
    <mergeCell ref="E414:E416"/>
    <mergeCell ref="E399:E401"/>
    <mergeCell ref="E384:E386"/>
    <mergeCell ref="E518:E520"/>
    <mergeCell ref="E503:E505"/>
    <mergeCell ref="E488:E490"/>
    <mergeCell ref="E473:E475"/>
    <mergeCell ref="E458:E460"/>
    <mergeCell ref="E592:E594"/>
    <mergeCell ref="E578:E580"/>
    <mergeCell ref="E563:E565"/>
    <mergeCell ref="E548:E550"/>
    <mergeCell ref="E533:E535"/>
    <mergeCell ref="E667:E669"/>
    <mergeCell ref="E652:E654"/>
    <mergeCell ref="E637:E639"/>
    <mergeCell ref="E622:E624"/>
    <mergeCell ref="E607:E609"/>
    <mergeCell ref="E741:E743"/>
    <mergeCell ref="E726:E728"/>
    <mergeCell ref="E712:E714"/>
    <mergeCell ref="E697:E699"/>
    <mergeCell ref="E682:E684"/>
    <mergeCell ref="E816:E818"/>
    <mergeCell ref="E801:E803"/>
    <mergeCell ref="E786:E788"/>
    <mergeCell ref="E771:E773"/>
    <mergeCell ref="E756:E758"/>
    <mergeCell ref="E890:E892"/>
    <mergeCell ref="E875:E877"/>
    <mergeCell ref="E860:E862"/>
    <mergeCell ref="E846:E848"/>
    <mergeCell ref="E831:E833"/>
    <mergeCell ref="E965:E967"/>
    <mergeCell ref="E950:E952"/>
    <mergeCell ref="E935:E937"/>
    <mergeCell ref="E920:E922"/>
    <mergeCell ref="E905:E907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&amp;"-,Regular"18/05/2024 10:14 AM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Sheet1</vt:lpstr>
      <vt:lpstr>Sheet2</vt:lpstr>
      <vt:lpstr>Sheet2 (2)</vt:lpstr>
      <vt:lpstr>Sheet2 (3)</vt:lpstr>
      <vt:lpstr>Sheet2 (4)</vt:lpstr>
      <vt:lpstr>bhfdsjdfs</vt:lpstr>
      <vt:lpstr>bhfdsjdfs!Print_Titles</vt:lpstr>
      <vt:lpstr>Sheet1!Print_Titles</vt:lpstr>
      <vt:lpstr>Sheet2!Print_Titles</vt:lpstr>
      <vt:lpstr>'Sheet2 (2)'!Print_Titles</vt:lpstr>
      <vt:lpstr>'Sheet2 (3)'!Print_Titles</vt:lpstr>
      <vt:lpstr>'Sheet2 (4)'!Print_Titles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SUPREETHA</cp:lastModifiedBy>
  <dcterms:modified xsi:type="dcterms:W3CDTF">2025-05-29T06:45:58Z</dcterms:modified>
</cp:coreProperties>
</file>