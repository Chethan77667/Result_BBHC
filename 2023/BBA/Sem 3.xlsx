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0.xml" ContentType="application/vnd.openxmlformats-package.core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activeTab="1"/>
  </bookViews>
  <sheets>
    <sheet name="Sheet1" sheetId="1" r:id="rId1"/>
    <sheet name="Sheet2" sheetId="2" r:id="rId2"/>
    <sheet name="Sheet2 (2)" sheetId="3" r:id="rId3"/>
  </sheets>
  <definedNames>
    <definedName name="_xlnm.Print_Titles" localSheetId="0">Sheet1!$1:$5</definedName>
    <definedName name="_xlnm.Print_Titles" localSheetId="1">Sheet2!$1:$5</definedName>
    <definedName name="_xlnm.Print_Titles" localSheetId="2">'Sheet2 (2)'!$1:$5</definedName>
  </definedNames>
  <calcPr calcId="124519"/>
</workbook>
</file>

<file path=xl/calcChain.xml><?xml version="1.0" encoding="utf-8"?>
<calcChain xmlns="http://schemas.openxmlformats.org/spreadsheetml/2006/main">
  <c r="W71" i="3"/>
  <c r="X71"/>
  <c r="Y71"/>
  <c r="Z71"/>
  <c r="AA71"/>
  <c r="AB71"/>
  <c r="AC71"/>
  <c r="AD71"/>
  <c r="W72"/>
  <c r="X72"/>
  <c r="Y72"/>
  <c r="Z72"/>
  <c r="AA72"/>
  <c r="AB72"/>
  <c r="AC72"/>
  <c r="AD72"/>
  <c r="W73"/>
  <c r="X73"/>
  <c r="Y73"/>
  <c r="Z73"/>
  <c r="AA73"/>
  <c r="AB73"/>
  <c r="AC73"/>
  <c r="AD73"/>
  <c r="W74"/>
  <c r="X74"/>
  <c r="Y74"/>
  <c r="Z74"/>
  <c r="AA74"/>
  <c r="AB74"/>
  <c r="AC74"/>
  <c r="AD74"/>
  <c r="W75"/>
  <c r="X75"/>
  <c r="Y75"/>
  <c r="Z75"/>
  <c r="AA75"/>
  <c r="AB75"/>
  <c r="AC75"/>
  <c r="AD75"/>
  <c r="W76"/>
  <c r="X76"/>
  <c r="Y76"/>
  <c r="Z76"/>
  <c r="AA76"/>
  <c r="AB76"/>
  <c r="AC76"/>
  <c r="AD76"/>
  <c r="W77"/>
  <c r="X77"/>
  <c r="Y77"/>
  <c r="Z77"/>
  <c r="AA77"/>
  <c r="AB77"/>
  <c r="AC77"/>
  <c r="AD77"/>
  <c r="W78"/>
  <c r="X78"/>
  <c r="Y78"/>
  <c r="Z78"/>
  <c r="AA78"/>
  <c r="AB78"/>
  <c r="AC78"/>
  <c r="AD78"/>
  <c r="W79"/>
  <c r="X79"/>
  <c r="Y79"/>
  <c r="Z79"/>
  <c r="AA79"/>
  <c r="AB79"/>
  <c r="AC79"/>
  <c r="AD79"/>
  <c r="W80"/>
  <c r="X80"/>
  <c r="Y80"/>
  <c r="Z80"/>
  <c r="AA80"/>
  <c r="AB80"/>
  <c r="AC80"/>
  <c r="AD80"/>
  <c r="W81"/>
  <c r="X81"/>
  <c r="Y81"/>
  <c r="Z81"/>
  <c r="AA81"/>
  <c r="AB81"/>
  <c r="AC81"/>
  <c r="AD81"/>
  <c r="W82"/>
  <c r="X82"/>
  <c r="Y82"/>
  <c r="Z82"/>
  <c r="AA82"/>
  <c r="AB82"/>
  <c r="AC82"/>
  <c r="AD82"/>
  <c r="W83"/>
  <c r="X83"/>
  <c r="Y83"/>
  <c r="Z83"/>
  <c r="AA83"/>
  <c r="AB83"/>
  <c r="AC83"/>
  <c r="AD83"/>
  <c r="W84"/>
  <c r="X84"/>
  <c r="Y84"/>
  <c r="Z84"/>
  <c r="AA84"/>
  <c r="AB84"/>
  <c r="AC84"/>
  <c r="AD84"/>
  <c r="W85"/>
  <c r="X85"/>
  <c r="Y85"/>
  <c r="Z85"/>
  <c r="AA85"/>
  <c r="AB85"/>
  <c r="AC85"/>
  <c r="AD85"/>
  <c r="W86"/>
  <c r="X86"/>
  <c r="Y86"/>
  <c r="Z86"/>
  <c r="AA86"/>
  <c r="AB86"/>
  <c r="AC86"/>
  <c r="AD86"/>
  <c r="W87"/>
  <c r="X87"/>
  <c r="Y87"/>
  <c r="Z87"/>
  <c r="AA87"/>
  <c r="AB87"/>
  <c r="AC87"/>
  <c r="AD87"/>
  <c r="W88"/>
  <c r="X88"/>
  <c r="Y88"/>
  <c r="Z88"/>
  <c r="AA88"/>
  <c r="AB88"/>
  <c r="AC88"/>
  <c r="AD88"/>
  <c r="W89"/>
  <c r="X89"/>
  <c r="Y89"/>
  <c r="Z89"/>
  <c r="AA89"/>
  <c r="AB89"/>
  <c r="AC89"/>
  <c r="AD89"/>
  <c r="W90"/>
  <c r="X90"/>
  <c r="Y90"/>
  <c r="Z90"/>
  <c r="AA90"/>
  <c r="AB90"/>
  <c r="AC90"/>
  <c r="AD90"/>
  <c r="W91"/>
  <c r="X91"/>
  <c r="Y91"/>
  <c r="Z91"/>
  <c r="AA91"/>
  <c r="AB91"/>
  <c r="AC91"/>
  <c r="AD91"/>
  <c r="W92"/>
  <c r="X92"/>
  <c r="Y92"/>
  <c r="Z92"/>
  <c r="AA92"/>
  <c r="AB92"/>
  <c r="AC92"/>
  <c r="AD92"/>
  <c r="W93"/>
  <c r="X93"/>
  <c r="Y93"/>
  <c r="Z93"/>
  <c r="AA93"/>
  <c r="AB93"/>
  <c r="AC93"/>
  <c r="AD93"/>
  <c r="W94"/>
  <c r="X94"/>
  <c r="Y94"/>
  <c r="Z94"/>
  <c r="AA94"/>
  <c r="AB94"/>
  <c r="AC94"/>
  <c r="AD94"/>
  <c r="W95"/>
  <c r="X95"/>
  <c r="Y95"/>
  <c r="Z95"/>
  <c r="AA95"/>
  <c r="AB95"/>
  <c r="AC95"/>
  <c r="AD95"/>
  <c r="W96"/>
  <c r="X96"/>
  <c r="Y96"/>
  <c r="Z96"/>
  <c r="AA96"/>
  <c r="AB96"/>
  <c r="AC96"/>
  <c r="AD96"/>
  <c r="W97"/>
  <c r="X97"/>
  <c r="Y97"/>
  <c r="Z97"/>
  <c r="AA97"/>
  <c r="AB97"/>
  <c r="AC97"/>
  <c r="AD97"/>
  <c r="W98"/>
  <c r="X98"/>
  <c r="Y98"/>
  <c r="Z98"/>
  <c r="AA98"/>
  <c r="AB98"/>
  <c r="AC98"/>
  <c r="AD98"/>
  <c r="W99"/>
  <c r="X99"/>
  <c r="Y99"/>
  <c r="Z99"/>
  <c r="AA99"/>
  <c r="AB99"/>
  <c r="AC99"/>
  <c r="AD99"/>
  <c r="W100"/>
  <c r="X100"/>
  <c r="Y100"/>
  <c r="Z100"/>
  <c r="AA100"/>
  <c r="AB100"/>
  <c r="AC100"/>
  <c r="AD100"/>
  <c r="W101"/>
  <c r="X101"/>
  <c r="Y101"/>
  <c r="Z101"/>
  <c r="AA101"/>
  <c r="AB101"/>
  <c r="AC101"/>
  <c r="AD101"/>
  <c r="W102"/>
  <c r="X102"/>
  <c r="Y102"/>
  <c r="Z102"/>
  <c r="AA102"/>
  <c r="AB102"/>
  <c r="AC102"/>
  <c r="AD102"/>
  <c r="W103"/>
  <c r="X103"/>
  <c r="Y103"/>
  <c r="Z103"/>
  <c r="AA103"/>
  <c r="AB103"/>
  <c r="AC103"/>
  <c r="AD103"/>
  <c r="W104"/>
  <c r="X104"/>
  <c r="Y104"/>
  <c r="Z104"/>
  <c r="AA104"/>
  <c r="AB104"/>
  <c r="AC104"/>
  <c r="AD104"/>
  <c r="W105"/>
  <c r="X105"/>
  <c r="Y105"/>
  <c r="Z105"/>
  <c r="AA105"/>
  <c r="AB105"/>
  <c r="AC105"/>
  <c r="AD105"/>
  <c r="W106"/>
  <c r="X106"/>
  <c r="Y106"/>
  <c r="Z106"/>
  <c r="AA106"/>
  <c r="AB106"/>
  <c r="AC106"/>
  <c r="AD106"/>
  <c r="W107"/>
  <c r="X107"/>
  <c r="Y107"/>
  <c r="Z107"/>
  <c r="AA107"/>
  <c r="AB107"/>
  <c r="AC107"/>
  <c r="AD107"/>
  <c r="W108"/>
  <c r="X108"/>
  <c r="Y108"/>
  <c r="Z108"/>
  <c r="AA108"/>
  <c r="AB108"/>
  <c r="AC108"/>
  <c r="AD108"/>
  <c r="W109"/>
  <c r="X109"/>
  <c r="Y109"/>
  <c r="Z109"/>
  <c r="AA109"/>
  <c r="AB109"/>
  <c r="AC109"/>
  <c r="AD109"/>
  <c r="W110"/>
  <c r="X110"/>
  <c r="Y110"/>
  <c r="Z110"/>
  <c r="AA110"/>
  <c r="AB110"/>
  <c r="AC110"/>
  <c r="AD110"/>
  <c r="W111"/>
  <c r="X111"/>
  <c r="Y111"/>
  <c r="Z111"/>
  <c r="AA111"/>
  <c r="AB111"/>
  <c r="AC111"/>
  <c r="AD111"/>
  <c r="W112"/>
  <c r="X112"/>
  <c r="Y112"/>
  <c r="Z112"/>
  <c r="AA112"/>
  <c r="AB112"/>
  <c r="AC112"/>
  <c r="AD112"/>
  <c r="W113"/>
  <c r="X113"/>
  <c r="Y113"/>
  <c r="Z113"/>
  <c r="AA113"/>
  <c r="AB113"/>
  <c r="AC113"/>
  <c r="AD113"/>
  <c r="W114"/>
  <c r="X114"/>
  <c r="Y114"/>
  <c r="Z114"/>
  <c r="AA114"/>
  <c r="AB114"/>
  <c r="AC114"/>
  <c r="AD114"/>
  <c r="W115"/>
  <c r="X115"/>
  <c r="Y115"/>
  <c r="Z115"/>
  <c r="AA115"/>
  <c r="AB115"/>
  <c r="AC115"/>
  <c r="AD115"/>
  <c r="W116"/>
  <c r="X116"/>
  <c r="Y116"/>
  <c r="Z116"/>
  <c r="AA116"/>
  <c r="AB116"/>
  <c r="AC116"/>
  <c r="AD116"/>
  <c r="W117"/>
  <c r="X117"/>
  <c r="Y117"/>
  <c r="Z117"/>
  <c r="AA117"/>
  <c r="AB117"/>
  <c r="AC117"/>
  <c r="AD117"/>
  <c r="W118"/>
  <c r="X118"/>
  <c r="Y118"/>
  <c r="Z118"/>
  <c r="AA118"/>
  <c r="AB118"/>
  <c r="AC118"/>
  <c r="AD118"/>
  <c r="W119"/>
  <c r="X119"/>
  <c r="Y119"/>
  <c r="Z119"/>
  <c r="AA119"/>
  <c r="AB119"/>
  <c r="AC119"/>
  <c r="AD119"/>
  <c r="W120"/>
  <c r="X120"/>
  <c r="Y120"/>
  <c r="Z120"/>
  <c r="AA120"/>
  <c r="AB120"/>
  <c r="AC120"/>
  <c r="AD120"/>
  <c r="W121"/>
  <c r="X121"/>
  <c r="Y121"/>
  <c r="Z121"/>
  <c r="AA121"/>
  <c r="AB121"/>
  <c r="AC121"/>
  <c r="AD121"/>
  <c r="W122"/>
  <c r="X122"/>
  <c r="Y122"/>
  <c r="Z122"/>
  <c r="AA122"/>
  <c r="AB122"/>
  <c r="AC122"/>
  <c r="AD122"/>
  <c r="W123"/>
  <c r="X123"/>
  <c r="Y123"/>
  <c r="Z123"/>
  <c r="AA123"/>
  <c r="AB123"/>
  <c r="AC123"/>
  <c r="AD123"/>
  <c r="W124"/>
  <c r="X124"/>
  <c r="Y124"/>
  <c r="Z124"/>
  <c r="AA124"/>
  <c r="AB124"/>
  <c r="AC124"/>
  <c r="AD124"/>
  <c r="W125"/>
  <c r="X125"/>
  <c r="Y125"/>
  <c r="Z125"/>
  <c r="AA125"/>
  <c r="AB125"/>
  <c r="AC125"/>
  <c r="AD125"/>
  <c r="W126"/>
  <c r="X126"/>
  <c r="Y126"/>
  <c r="Z126"/>
  <c r="AA126"/>
  <c r="AB126"/>
  <c r="AC126"/>
  <c r="AD126"/>
  <c r="W127"/>
  <c r="X127"/>
  <c r="Y127"/>
  <c r="Z127"/>
  <c r="AA127"/>
  <c r="AB127"/>
  <c r="AC127"/>
  <c r="AD127"/>
  <c r="W128"/>
  <c r="X128"/>
  <c r="Y128"/>
  <c r="Z128"/>
  <c r="AA128"/>
  <c r="AB128"/>
  <c r="AC128"/>
  <c r="AD128"/>
  <c r="W129"/>
  <c r="X129"/>
  <c r="Y129"/>
  <c r="Z129"/>
  <c r="AA129"/>
  <c r="AB129"/>
  <c r="AC129"/>
  <c r="AD129"/>
  <c r="W130"/>
  <c r="X130"/>
  <c r="Y130"/>
  <c r="Z130"/>
  <c r="AA130"/>
  <c r="AB130"/>
  <c r="AC130"/>
  <c r="AD130"/>
  <c r="W131"/>
  <c r="X131"/>
  <c r="Y131"/>
  <c r="Z131"/>
  <c r="AA131"/>
  <c r="AB131"/>
  <c r="AC131"/>
  <c r="AD131"/>
  <c r="W132"/>
  <c r="X132"/>
  <c r="Y132"/>
  <c r="Z132"/>
  <c r="AA132"/>
  <c r="AB132"/>
  <c r="AC132"/>
  <c r="AD132"/>
  <c r="W133"/>
  <c r="X133"/>
  <c r="Y133"/>
  <c r="Z133"/>
  <c r="AA133"/>
  <c r="AB133"/>
  <c r="AC133"/>
  <c r="AD133"/>
  <c r="W134"/>
  <c r="X134"/>
  <c r="Y134"/>
  <c r="Z134"/>
  <c r="AA134"/>
  <c r="AB134"/>
  <c r="AC134"/>
  <c r="AD134"/>
  <c r="W135"/>
  <c r="X135"/>
  <c r="Y135"/>
  <c r="Z135"/>
  <c r="AA135"/>
  <c r="AB135"/>
  <c r="AC135"/>
  <c r="AD135"/>
  <c r="W136"/>
  <c r="X136"/>
  <c r="Y136"/>
  <c r="Z136"/>
  <c r="AA136"/>
  <c r="AB136"/>
  <c r="AC136"/>
  <c r="AD136"/>
  <c r="W137"/>
  <c r="X137"/>
  <c r="Y137"/>
  <c r="Z137"/>
  <c r="AA137"/>
  <c r="AB137"/>
  <c r="AC137"/>
  <c r="AD137"/>
  <c r="W138"/>
  <c r="X138"/>
  <c r="Y138"/>
  <c r="Z138"/>
  <c r="AA138"/>
  <c r="AB138"/>
  <c r="AC138"/>
  <c r="AD138"/>
  <c r="W139"/>
  <c r="X139"/>
  <c r="Y139"/>
  <c r="Z139"/>
  <c r="AA139"/>
  <c r="AB139"/>
  <c r="AC139"/>
  <c r="AD139"/>
  <c r="W140"/>
  <c r="X140"/>
  <c r="Y140"/>
  <c r="Z140"/>
  <c r="AA140"/>
  <c r="AB140"/>
  <c r="AC140"/>
  <c r="AD140"/>
  <c r="W141"/>
  <c r="X141"/>
  <c r="Y141"/>
  <c r="Z141"/>
  <c r="AA141"/>
  <c r="AB141"/>
  <c r="AC141"/>
  <c r="AD141"/>
  <c r="W142"/>
  <c r="X142"/>
  <c r="Y142"/>
  <c r="Z142"/>
  <c r="AA142"/>
  <c r="AB142"/>
  <c r="AC142"/>
  <c r="AD142"/>
  <c r="W143"/>
  <c r="X143"/>
  <c r="Y143"/>
  <c r="Z143"/>
  <c r="AA143"/>
  <c r="AB143"/>
  <c r="AC143"/>
  <c r="AD143"/>
  <c r="W144"/>
  <c r="X144"/>
  <c r="Y144"/>
  <c r="Z144"/>
  <c r="AA144"/>
  <c r="AB144"/>
  <c r="AC144"/>
  <c r="AD144"/>
  <c r="W145"/>
  <c r="X145"/>
  <c r="Y145"/>
  <c r="Z145"/>
  <c r="AA145"/>
  <c r="AB145"/>
  <c r="AC145"/>
  <c r="AD145"/>
  <c r="W146"/>
  <c r="X146"/>
  <c r="Y146"/>
  <c r="Z146"/>
  <c r="AA146"/>
  <c r="AB146"/>
  <c r="AC146"/>
  <c r="AD146"/>
  <c r="W147"/>
  <c r="X147"/>
  <c r="Y147"/>
  <c r="Z147"/>
  <c r="AA147"/>
  <c r="AB147"/>
  <c r="AC147"/>
  <c r="AD147"/>
  <c r="W148"/>
  <c r="X148"/>
  <c r="Y148"/>
  <c r="Z148"/>
  <c r="AA148"/>
  <c r="AB148"/>
  <c r="AC148"/>
  <c r="AD148"/>
  <c r="W149"/>
  <c r="X149"/>
  <c r="Y149"/>
  <c r="Z149"/>
  <c r="AA149"/>
  <c r="AB149"/>
  <c r="AC149"/>
  <c r="AD149"/>
  <c r="W150"/>
  <c r="X150"/>
  <c r="Y150"/>
  <c r="Z150"/>
  <c r="AA150"/>
  <c r="AB150"/>
  <c r="AC150"/>
  <c r="AD150"/>
  <c r="W151"/>
  <c r="X151"/>
  <c r="Y151"/>
  <c r="Z151"/>
  <c r="AA151"/>
  <c r="AB151"/>
  <c r="AC151"/>
  <c r="AD151"/>
  <c r="W152"/>
  <c r="X152"/>
  <c r="Y152"/>
  <c r="Z152"/>
  <c r="AA152"/>
  <c r="AB152"/>
  <c r="AC152"/>
  <c r="AD152"/>
  <c r="W153"/>
  <c r="X153"/>
  <c r="Y153"/>
  <c r="Z153"/>
  <c r="AA153"/>
  <c r="AB153"/>
  <c r="AC153"/>
  <c r="AD153"/>
  <c r="W154"/>
  <c r="X154"/>
  <c r="Y154"/>
  <c r="Z154"/>
  <c r="AA154"/>
  <c r="AB154"/>
  <c r="AC154"/>
  <c r="AD154"/>
  <c r="W155"/>
  <c r="X155"/>
  <c r="Y155"/>
  <c r="Z155"/>
  <c r="AA155"/>
  <c r="AB155"/>
  <c r="AC155"/>
  <c r="AD155"/>
  <c r="W156"/>
  <c r="X156"/>
  <c r="Y156"/>
  <c r="Z156"/>
  <c r="AA156"/>
  <c r="AB156"/>
  <c r="AC156"/>
  <c r="AD156"/>
  <c r="W157"/>
  <c r="X157"/>
  <c r="Y157"/>
  <c r="Z157"/>
  <c r="AA157"/>
  <c r="AB157"/>
  <c r="AC157"/>
  <c r="AD157"/>
  <c r="W158"/>
  <c r="X158"/>
  <c r="Y158"/>
  <c r="Z158"/>
  <c r="AA158"/>
  <c r="AB158"/>
  <c r="AC158"/>
  <c r="AD158"/>
  <c r="W159"/>
  <c r="X159"/>
  <c r="Y159"/>
  <c r="Z159"/>
  <c r="AA159"/>
  <c r="AB159"/>
  <c r="AC159"/>
  <c r="AD159"/>
  <c r="W160"/>
  <c r="X160"/>
  <c r="Y160"/>
  <c r="Z160"/>
  <c r="AA160"/>
  <c r="AB160"/>
  <c r="AC160"/>
  <c r="AD160"/>
  <c r="W161"/>
  <c r="X161"/>
  <c r="Y161"/>
  <c r="Z161"/>
  <c r="AA161"/>
  <c r="AB161"/>
  <c r="AC161"/>
  <c r="AD161"/>
  <c r="W162"/>
  <c r="X162"/>
  <c r="Y162"/>
  <c r="Z162"/>
  <c r="AA162"/>
  <c r="AB162"/>
  <c r="AC162"/>
  <c r="AD162"/>
  <c r="W163"/>
  <c r="X163"/>
  <c r="Y163"/>
  <c r="Z163"/>
  <c r="AA163"/>
  <c r="AB163"/>
  <c r="AC163"/>
  <c r="AD163"/>
  <c r="W164"/>
  <c r="X164"/>
  <c r="Y164"/>
  <c r="Z164"/>
  <c r="AA164"/>
  <c r="AB164"/>
  <c r="AC164"/>
  <c r="AD164"/>
  <c r="W165"/>
  <c r="X165"/>
  <c r="Y165"/>
  <c r="Z165"/>
  <c r="AA165"/>
  <c r="AB165"/>
  <c r="AC165"/>
  <c r="AD165"/>
  <c r="W166"/>
  <c r="X166"/>
  <c r="Y166"/>
  <c r="Z166"/>
  <c r="AA166"/>
  <c r="AB166"/>
  <c r="AC166"/>
  <c r="AD166"/>
  <c r="W167"/>
  <c r="X167"/>
  <c r="Y167"/>
  <c r="Z167"/>
  <c r="AA167"/>
  <c r="AB167"/>
  <c r="AC167"/>
  <c r="AD167"/>
  <c r="W168"/>
  <c r="X168"/>
  <c r="Y168"/>
  <c r="Z168"/>
  <c r="AA168"/>
  <c r="AB168"/>
  <c r="AC168"/>
  <c r="AD168"/>
  <c r="W169"/>
  <c r="X169"/>
  <c r="Y169"/>
  <c r="Z169"/>
  <c r="AA169"/>
  <c r="AB169"/>
  <c r="AC169"/>
  <c r="AD169"/>
  <c r="W170"/>
  <c r="X170"/>
  <c r="Y170"/>
  <c r="Z170"/>
  <c r="AA170"/>
  <c r="AB170"/>
  <c r="AC170"/>
  <c r="AD170"/>
  <c r="W171"/>
  <c r="X171"/>
  <c r="Y171"/>
  <c r="Z171"/>
  <c r="AA171"/>
  <c r="AB171"/>
  <c r="AC171"/>
  <c r="AD171"/>
  <c r="W172"/>
  <c r="X172"/>
  <c r="Y172"/>
  <c r="Z172"/>
  <c r="AA172"/>
  <c r="AB172"/>
  <c r="AC172"/>
  <c r="AD172"/>
  <c r="W173"/>
  <c r="X173"/>
  <c r="Y173"/>
  <c r="Z173"/>
  <c r="AA173"/>
  <c r="AB173"/>
  <c r="AC173"/>
  <c r="AD173"/>
  <c r="W174"/>
  <c r="X174"/>
  <c r="Y174"/>
  <c r="Z174"/>
  <c r="AA174"/>
  <c r="AB174"/>
  <c r="AC174"/>
  <c r="AD174"/>
  <c r="W175"/>
  <c r="X175"/>
  <c r="Y175"/>
  <c r="Z175"/>
  <c r="AA175"/>
  <c r="AB175"/>
  <c r="AC175"/>
  <c r="AD175"/>
  <c r="W176"/>
  <c r="X176"/>
  <c r="Y176"/>
  <c r="Z176"/>
  <c r="AA176"/>
  <c r="AB176"/>
  <c r="AC176"/>
  <c r="AD176"/>
  <c r="W177"/>
  <c r="X177"/>
  <c r="Y177"/>
  <c r="Z177"/>
  <c r="AA177"/>
  <c r="AB177"/>
  <c r="AC177"/>
  <c r="AD177"/>
  <c r="W178"/>
  <c r="X178"/>
  <c r="Y178"/>
  <c r="Z178"/>
  <c r="AA178"/>
  <c r="AB178"/>
  <c r="AC178"/>
  <c r="AD178"/>
  <c r="W179"/>
  <c r="X179"/>
  <c r="Y179"/>
  <c r="Z179"/>
  <c r="AA179"/>
  <c r="AB179"/>
  <c r="AC179"/>
  <c r="AD179"/>
  <c r="W180"/>
  <c r="X180"/>
  <c r="Y180"/>
  <c r="Z180"/>
  <c r="AA180"/>
  <c r="AB180"/>
  <c r="AC180"/>
  <c r="AD180"/>
  <c r="W181"/>
  <c r="X181"/>
  <c r="Y181"/>
  <c r="Z181"/>
  <c r="AA181"/>
  <c r="AB181"/>
  <c r="AC181"/>
  <c r="AD181"/>
  <c r="W182"/>
  <c r="X182"/>
  <c r="Y182"/>
  <c r="Z182"/>
  <c r="AA182"/>
  <c r="AB182"/>
  <c r="AC182"/>
  <c r="AD182"/>
  <c r="W183"/>
  <c r="X183"/>
  <c r="Y183"/>
  <c r="Z183"/>
  <c r="AA183"/>
  <c r="AB183"/>
  <c r="AC183"/>
  <c r="AD183"/>
  <c r="W184"/>
  <c r="X184"/>
  <c r="Y184"/>
  <c r="Z184"/>
  <c r="AA184"/>
  <c r="AB184"/>
  <c r="AC184"/>
  <c r="AD184"/>
  <c r="W185"/>
  <c r="X185"/>
  <c r="Y185"/>
  <c r="Z185"/>
  <c r="AA185"/>
  <c r="AB185"/>
  <c r="AC185"/>
  <c r="AD185"/>
  <c r="W186"/>
  <c r="X186"/>
  <c r="Y186"/>
  <c r="Z186"/>
  <c r="AA186"/>
  <c r="AB186"/>
  <c r="AC186"/>
  <c r="AD186"/>
  <c r="W187"/>
  <c r="X187"/>
  <c r="Y187"/>
  <c r="Z187"/>
  <c r="AA187"/>
  <c r="AB187"/>
  <c r="AC187"/>
  <c r="AD187"/>
  <c r="W188"/>
  <c r="X188"/>
  <c r="Y188"/>
  <c r="Z188"/>
  <c r="AA188"/>
  <c r="AB188"/>
  <c r="AC188"/>
  <c r="AD188"/>
  <c r="W189"/>
  <c r="X189"/>
  <c r="Y189"/>
  <c r="Z189"/>
  <c r="AA189"/>
  <c r="AB189"/>
  <c r="AC189"/>
  <c r="AD189"/>
  <c r="W190"/>
  <c r="X190"/>
  <c r="Y190"/>
  <c r="Z190"/>
  <c r="AA190"/>
  <c r="AB190"/>
  <c r="AC190"/>
  <c r="AD190"/>
  <c r="W191"/>
  <c r="X191"/>
  <c r="Y191"/>
  <c r="Z191"/>
  <c r="AA191"/>
  <c r="AB191"/>
  <c r="AC191"/>
  <c r="AD191"/>
  <c r="W192"/>
  <c r="X192"/>
  <c r="Y192"/>
  <c r="Z192"/>
  <c r="AA192"/>
  <c r="AB192"/>
  <c r="AC192"/>
  <c r="AD192"/>
  <c r="W193"/>
  <c r="X193"/>
  <c r="Y193"/>
  <c r="Z193"/>
  <c r="AA193"/>
  <c r="AB193"/>
  <c r="AC193"/>
  <c r="AD193"/>
  <c r="W194"/>
  <c r="X194"/>
  <c r="Y194"/>
  <c r="Z194"/>
  <c r="AA194"/>
  <c r="AB194"/>
  <c r="AC194"/>
  <c r="AD194"/>
  <c r="W195"/>
  <c r="X195"/>
  <c r="Y195"/>
  <c r="Z195"/>
  <c r="AA195"/>
  <c r="AB195"/>
  <c r="AC195"/>
  <c r="AD195"/>
  <c r="W196"/>
  <c r="X196"/>
  <c r="Y196"/>
  <c r="Z196"/>
  <c r="AA196"/>
  <c r="AB196"/>
  <c r="AC196"/>
  <c r="AD196"/>
  <c r="W197"/>
  <c r="X197"/>
  <c r="Y197"/>
  <c r="Z197"/>
  <c r="AA197"/>
  <c r="AB197"/>
  <c r="AC197"/>
  <c r="AD197"/>
  <c r="W198"/>
  <c r="X198"/>
  <c r="Y198"/>
  <c r="Z198"/>
  <c r="AA198"/>
  <c r="AB198"/>
  <c r="AC198"/>
  <c r="AD198"/>
  <c r="W199"/>
  <c r="X199"/>
  <c r="Y199"/>
  <c r="Z199"/>
  <c r="AA199"/>
  <c r="AB199"/>
  <c r="AC199"/>
  <c r="AD199"/>
  <c r="W200"/>
  <c r="X200"/>
  <c r="Y200"/>
  <c r="Z200"/>
  <c r="AA200"/>
  <c r="AB200"/>
  <c r="AC200"/>
  <c r="AD200"/>
  <c r="W201"/>
  <c r="X201"/>
  <c r="Y201"/>
  <c r="Z201"/>
  <c r="AA201"/>
  <c r="AB201"/>
  <c r="AC201"/>
  <c r="AD201"/>
  <c r="W202"/>
  <c r="X202"/>
  <c r="Y202"/>
  <c r="Z202"/>
  <c r="AA202"/>
  <c r="AB202"/>
  <c r="AC202"/>
  <c r="AD202"/>
  <c r="W203"/>
  <c r="X203"/>
  <c r="Y203"/>
  <c r="Z203"/>
  <c r="AA203"/>
  <c r="AB203"/>
  <c r="AC203"/>
  <c r="AD203"/>
  <c r="W204"/>
  <c r="X204"/>
  <c r="Y204"/>
  <c r="Z204"/>
  <c r="AA204"/>
  <c r="AB204"/>
  <c r="AC204"/>
  <c r="AD204"/>
  <c r="W205"/>
  <c r="X205"/>
  <c r="Y205"/>
  <c r="Z205"/>
  <c r="AA205"/>
  <c r="AB205"/>
  <c r="AC205"/>
  <c r="AD205"/>
  <c r="W206"/>
  <c r="X206"/>
  <c r="Y206"/>
  <c r="Z206"/>
  <c r="AA206"/>
  <c r="AB206"/>
  <c r="AC206"/>
  <c r="AD206"/>
  <c r="W207"/>
  <c r="X207"/>
  <c r="Y207"/>
  <c r="Z207"/>
  <c r="AA207"/>
  <c r="AB207"/>
  <c r="AC207"/>
  <c r="AD207"/>
  <c r="W208"/>
  <c r="X208"/>
  <c r="Y208"/>
  <c r="Z208"/>
  <c r="AA208"/>
  <c r="AB208"/>
  <c r="AC208"/>
  <c r="AD208"/>
  <c r="W209"/>
  <c r="X209"/>
  <c r="Y209"/>
  <c r="Z209"/>
  <c r="AA209"/>
  <c r="AB209"/>
  <c r="AC209"/>
  <c r="AD209"/>
  <c r="W210"/>
  <c r="X210"/>
  <c r="Y210"/>
  <c r="Z210"/>
  <c r="AA210"/>
  <c r="AB210"/>
  <c r="AC210"/>
  <c r="AD210"/>
  <c r="W211"/>
  <c r="X211"/>
  <c r="Y211"/>
  <c r="Z211"/>
  <c r="AA211"/>
  <c r="AB211"/>
  <c r="AC211"/>
  <c r="AD211"/>
  <c r="W212"/>
  <c r="X212"/>
  <c r="Y212"/>
  <c r="Z212"/>
  <c r="AA212"/>
  <c r="AB212"/>
  <c r="AC212"/>
  <c r="AD212"/>
  <c r="W213"/>
  <c r="X213"/>
  <c r="Y213"/>
  <c r="Z213"/>
  <c r="AA213"/>
  <c r="AB213"/>
  <c r="AC213"/>
  <c r="AD213"/>
  <c r="W214"/>
  <c r="X214"/>
  <c r="Y214"/>
  <c r="Z214"/>
  <c r="AA214"/>
  <c r="AB214"/>
  <c r="AC214"/>
  <c r="AD214"/>
  <c r="W215"/>
  <c r="X215"/>
  <c r="Y215"/>
  <c r="Z215"/>
  <c r="AA215"/>
  <c r="AB215"/>
  <c r="AC215"/>
  <c r="AD215"/>
  <c r="W216"/>
  <c r="X216"/>
  <c r="Y216"/>
  <c r="Z216"/>
  <c r="AA216"/>
  <c r="AB216"/>
  <c r="AC216"/>
  <c r="AD216"/>
  <c r="W217"/>
  <c r="X217"/>
  <c r="Y217"/>
  <c r="Z217"/>
  <c r="AA217"/>
  <c r="AB217"/>
  <c r="AC217"/>
  <c r="AD217"/>
  <c r="W218"/>
  <c r="X218"/>
  <c r="Y218"/>
  <c r="Z218"/>
  <c r="AA218"/>
  <c r="AB218"/>
  <c r="AC218"/>
  <c r="AD218"/>
  <c r="W219"/>
  <c r="X219"/>
  <c r="Y219"/>
  <c r="Z219"/>
  <c r="AA219"/>
  <c r="AB219"/>
  <c r="AC219"/>
  <c r="AD219"/>
  <c r="W220"/>
  <c r="X220"/>
  <c r="Y220"/>
  <c r="Z220"/>
  <c r="AA220"/>
  <c r="AB220"/>
  <c r="AC220"/>
  <c r="AD220"/>
  <c r="W221"/>
  <c r="X221"/>
  <c r="Y221"/>
  <c r="Z221"/>
  <c r="AA221"/>
  <c r="AB221"/>
  <c r="AC221"/>
  <c r="AD221"/>
  <c r="W222"/>
  <c r="X222"/>
  <c r="Y222"/>
  <c r="Z222"/>
  <c r="AA222"/>
  <c r="AB222"/>
  <c r="AC222"/>
  <c r="AD222"/>
  <c r="W223"/>
  <c r="X223"/>
  <c r="Y223"/>
  <c r="Z223"/>
  <c r="AA223"/>
  <c r="AB223"/>
  <c r="AC223"/>
  <c r="AD223"/>
  <c r="W224"/>
  <c r="X224"/>
  <c r="Y224"/>
  <c r="Z224"/>
  <c r="AA224"/>
  <c r="AB224"/>
  <c r="AC224"/>
  <c r="AD224"/>
  <c r="W225"/>
  <c r="X225"/>
  <c r="Y225"/>
  <c r="Z225"/>
  <c r="AA225"/>
  <c r="AB225"/>
  <c r="AC225"/>
  <c r="AD225"/>
  <c r="W226"/>
  <c r="X226"/>
  <c r="Y226"/>
  <c r="Z226"/>
  <c r="AA226"/>
  <c r="AB226"/>
  <c r="AC226"/>
  <c r="AD226"/>
  <c r="W227"/>
  <c r="X227"/>
  <c r="Y227"/>
  <c r="Z227"/>
  <c r="AA227"/>
  <c r="AB227"/>
  <c r="AC227"/>
  <c r="AD227"/>
  <c r="W228"/>
  <c r="X228"/>
  <c r="Y228"/>
  <c r="Z228"/>
  <c r="AA228"/>
  <c r="AB228"/>
  <c r="AC228"/>
  <c r="AD228"/>
  <c r="W229"/>
  <c r="X229"/>
  <c r="Y229"/>
  <c r="Z229"/>
  <c r="AA229"/>
  <c r="AB229"/>
  <c r="AC229"/>
  <c r="AD229"/>
  <c r="W230"/>
  <c r="X230"/>
  <c r="Y230"/>
  <c r="Z230"/>
  <c r="AA230"/>
  <c r="AB230"/>
  <c r="AC230"/>
  <c r="AD230"/>
  <c r="W231"/>
  <c r="X231"/>
  <c r="Y231"/>
  <c r="Z231"/>
  <c r="AA231"/>
  <c r="AB231"/>
  <c r="AC231"/>
  <c r="AD231"/>
  <c r="W232"/>
  <c r="X232"/>
  <c r="Y232"/>
  <c r="Z232"/>
  <c r="AA232"/>
  <c r="AB232"/>
  <c r="AC232"/>
  <c r="AD232"/>
  <c r="W233"/>
  <c r="X233"/>
  <c r="Y233"/>
  <c r="Z233"/>
  <c r="AA233"/>
  <c r="AB233"/>
  <c r="AC233"/>
  <c r="AD233"/>
  <c r="W234"/>
  <c r="X234"/>
  <c r="Y234"/>
  <c r="Z234"/>
  <c r="AA234"/>
  <c r="AB234"/>
  <c r="AC234"/>
  <c r="AD234"/>
  <c r="W235"/>
  <c r="X235"/>
  <c r="Y235"/>
  <c r="Z235"/>
  <c r="AA235"/>
  <c r="AB235"/>
  <c r="AC235"/>
  <c r="AD235"/>
  <c r="W236"/>
  <c r="X236"/>
  <c r="Y236"/>
  <c r="Z236"/>
  <c r="AA236"/>
  <c r="AB236"/>
  <c r="AC236"/>
  <c r="AD236"/>
  <c r="W237"/>
  <c r="X237"/>
  <c r="Y237"/>
  <c r="Z237"/>
  <c r="AA237"/>
  <c r="AB237"/>
  <c r="AC237"/>
  <c r="AD237"/>
  <c r="W238"/>
  <c r="X238"/>
  <c r="Y238"/>
  <c r="Z238"/>
  <c r="AA238"/>
  <c r="AB238"/>
  <c r="AC238"/>
  <c r="AD238"/>
  <c r="W239"/>
  <c r="X239"/>
  <c r="Y239"/>
  <c r="Z239"/>
  <c r="AA239"/>
  <c r="AB239"/>
  <c r="AC239"/>
  <c r="AD239"/>
  <c r="W240"/>
  <c r="X240"/>
  <c r="Y240"/>
  <c r="Z240"/>
  <c r="AA240"/>
  <c r="AB240"/>
  <c r="AC240"/>
  <c r="AD240"/>
  <c r="W241"/>
  <c r="X241"/>
  <c r="Y241"/>
  <c r="Z241"/>
  <c r="AA241"/>
  <c r="AB241"/>
  <c r="AC241"/>
  <c r="AD241"/>
  <c r="W242"/>
  <c r="X242"/>
  <c r="Y242"/>
  <c r="Z242"/>
  <c r="AA242"/>
  <c r="AB242"/>
  <c r="AC242"/>
  <c r="AD242"/>
  <c r="W243"/>
  <c r="X243"/>
  <c r="Y243"/>
  <c r="Z243"/>
  <c r="AA243"/>
  <c r="AB243"/>
  <c r="AC243"/>
  <c r="AD243"/>
  <c r="W244"/>
  <c r="X244"/>
  <c r="Y244"/>
  <c r="Z244"/>
  <c r="AA244"/>
  <c r="AB244"/>
  <c r="AC244"/>
  <c r="AD244"/>
  <c r="W245"/>
  <c r="X245"/>
  <c r="Y245"/>
  <c r="Z245"/>
  <c r="AA245"/>
  <c r="AB245"/>
  <c r="AC245"/>
  <c r="AD245"/>
  <c r="W246"/>
  <c r="X246"/>
  <c r="Y246"/>
  <c r="Z246"/>
  <c r="AA246"/>
  <c r="AB246"/>
  <c r="AC246"/>
  <c r="AD246"/>
  <c r="W247"/>
  <c r="X247"/>
  <c r="Y247"/>
  <c r="Z247"/>
  <c r="AA247"/>
  <c r="AB247"/>
  <c r="AC247"/>
  <c r="AD247"/>
  <c r="W248"/>
  <c r="X248"/>
  <c r="Y248"/>
  <c r="Z248"/>
  <c r="AA248"/>
  <c r="AB248"/>
  <c r="AC248"/>
  <c r="AD248"/>
  <c r="W249"/>
  <c r="X249"/>
  <c r="Y249"/>
  <c r="Z249"/>
  <c r="AA249"/>
  <c r="AB249"/>
  <c r="AC249"/>
  <c r="AD249"/>
  <c r="W250"/>
  <c r="X250"/>
  <c r="Y250"/>
  <c r="Z250"/>
  <c r="AA250"/>
  <c r="AB250"/>
  <c r="AC250"/>
  <c r="AD250"/>
  <c r="W251"/>
  <c r="X251"/>
  <c r="Y251"/>
  <c r="Z251"/>
  <c r="AA251"/>
  <c r="AB251"/>
  <c r="AC251"/>
  <c r="AD251"/>
  <c r="W252"/>
  <c r="X252"/>
  <c r="Y252"/>
  <c r="Z252"/>
  <c r="AA252"/>
  <c r="AB252"/>
  <c r="AC252"/>
  <c r="AD252"/>
  <c r="W253"/>
  <c r="X253"/>
  <c r="Y253"/>
  <c r="Z253"/>
  <c r="AA253"/>
  <c r="AB253"/>
  <c r="AC253"/>
  <c r="AD253"/>
  <c r="W254"/>
  <c r="X254"/>
  <c r="Y254"/>
  <c r="Z254"/>
  <c r="AA254"/>
  <c r="AB254"/>
  <c r="AC254"/>
  <c r="AD254"/>
  <c r="W255"/>
  <c r="X255"/>
  <c r="Y255"/>
  <c r="Z255"/>
  <c r="AA255"/>
  <c r="AB255"/>
  <c r="AC255"/>
  <c r="AD255"/>
  <c r="W256"/>
  <c r="X256"/>
  <c r="Y256"/>
  <c r="Z256"/>
  <c r="AA256"/>
  <c r="AB256"/>
  <c r="AC256"/>
  <c r="AD256"/>
  <c r="W257"/>
  <c r="X257"/>
  <c r="Y257"/>
  <c r="Z257"/>
  <c r="AA257"/>
  <c r="AB257"/>
  <c r="AC257"/>
  <c r="AD257"/>
  <c r="W258"/>
  <c r="X258"/>
  <c r="Y258"/>
  <c r="Z258"/>
  <c r="AA258"/>
  <c r="AB258"/>
  <c r="AC258"/>
  <c r="AD258"/>
  <c r="W259"/>
  <c r="X259"/>
  <c r="Y259"/>
  <c r="Z259"/>
  <c r="AA259"/>
  <c r="AB259"/>
  <c r="AC259"/>
  <c r="AD259"/>
  <c r="W260"/>
  <c r="X260"/>
  <c r="Y260"/>
  <c r="Z260"/>
  <c r="AA260"/>
  <c r="AB260"/>
  <c r="AC260"/>
  <c r="AD260"/>
  <c r="W261"/>
  <c r="X261"/>
  <c r="Y261"/>
  <c r="Z261"/>
  <c r="AA261"/>
  <c r="AB261"/>
  <c r="AC261"/>
  <c r="AD261"/>
  <c r="W262"/>
  <c r="X262"/>
  <c r="Y262"/>
  <c r="Z262"/>
  <c r="AA262"/>
  <c r="AB262"/>
  <c r="AC262"/>
  <c r="AD262"/>
  <c r="W263"/>
  <c r="X263"/>
  <c r="Y263"/>
  <c r="Z263"/>
  <c r="AA263"/>
  <c r="AB263"/>
  <c r="AC263"/>
  <c r="AD263"/>
  <c r="W264"/>
  <c r="X264"/>
  <c r="Y264"/>
  <c r="Z264"/>
  <c r="AA264"/>
  <c r="AB264"/>
  <c r="AC264"/>
  <c r="AD264"/>
  <c r="W265"/>
  <c r="X265"/>
  <c r="Y265"/>
  <c r="Z265"/>
  <c r="AA265"/>
  <c r="AB265"/>
  <c r="AC265"/>
  <c r="AD265"/>
  <c r="W266"/>
  <c r="X266"/>
  <c r="Y266"/>
  <c r="Z266"/>
  <c r="AA266"/>
  <c r="AB266"/>
  <c r="AC266"/>
  <c r="AD266"/>
  <c r="W267"/>
  <c r="X267"/>
  <c r="Y267"/>
  <c r="Z267"/>
  <c r="AA267"/>
  <c r="AB267"/>
  <c r="AC267"/>
  <c r="AD267"/>
  <c r="W268"/>
  <c r="X268"/>
  <c r="Y268"/>
  <c r="Z268"/>
  <c r="AA268"/>
  <c r="AB268"/>
  <c r="AC268"/>
  <c r="AD268"/>
  <c r="W269"/>
  <c r="X269"/>
  <c r="Y269"/>
  <c r="Z269"/>
  <c r="AA269"/>
  <c r="AB269"/>
  <c r="AC269"/>
  <c r="AD269"/>
  <c r="W270"/>
  <c r="X270"/>
  <c r="Y270"/>
  <c r="Z270"/>
  <c r="AA270"/>
  <c r="AB270"/>
  <c r="AC270"/>
  <c r="AD270"/>
  <c r="W271"/>
  <c r="X271"/>
  <c r="Y271"/>
  <c r="Z271"/>
  <c r="AA271"/>
  <c r="AB271"/>
  <c r="AC271"/>
  <c r="AD271"/>
  <c r="W272"/>
  <c r="X272"/>
  <c r="Y272"/>
  <c r="Z272"/>
  <c r="AA272"/>
  <c r="AB272"/>
  <c r="AC272"/>
  <c r="AD272"/>
  <c r="W273"/>
  <c r="X273"/>
  <c r="Y273"/>
  <c r="Z273"/>
  <c r="AA273"/>
  <c r="AB273"/>
  <c r="AC273"/>
  <c r="AD273"/>
  <c r="W274"/>
  <c r="X274"/>
  <c r="Y274"/>
  <c r="Z274"/>
  <c r="AA274"/>
  <c r="AB274"/>
  <c r="AC274"/>
  <c r="AD274"/>
  <c r="W275"/>
  <c r="X275"/>
  <c r="Y275"/>
  <c r="Z275"/>
  <c r="AA275"/>
  <c r="AB275"/>
  <c r="AC275"/>
  <c r="AD275"/>
  <c r="W276"/>
  <c r="X276"/>
  <c r="Y276"/>
  <c r="Z276"/>
  <c r="AA276"/>
  <c r="AB276"/>
  <c r="AC276"/>
  <c r="AD276"/>
  <c r="W277"/>
  <c r="X277"/>
  <c r="Y277"/>
  <c r="Z277"/>
  <c r="AA277"/>
  <c r="AB277"/>
  <c r="AC277"/>
  <c r="AD277"/>
  <c r="W278"/>
  <c r="X278"/>
  <c r="Y278"/>
  <c r="Z278"/>
  <c r="AA278"/>
  <c r="AB278"/>
  <c r="AC278"/>
  <c r="AD278"/>
  <c r="W279"/>
  <c r="X279"/>
  <c r="Y279"/>
  <c r="Z279"/>
  <c r="AA279"/>
  <c r="AB279"/>
  <c r="AC279"/>
  <c r="AD279"/>
  <c r="W280"/>
  <c r="X280"/>
  <c r="Y280"/>
  <c r="Z280"/>
  <c r="AA280"/>
  <c r="AB280"/>
  <c r="AC280"/>
  <c r="AD280"/>
  <c r="W281"/>
  <c r="X281"/>
  <c r="Y281"/>
  <c r="Z281"/>
  <c r="AA281"/>
  <c r="AB281"/>
  <c r="AC281"/>
  <c r="AD281"/>
  <c r="W282"/>
  <c r="X282"/>
  <c r="Y282"/>
  <c r="Z282"/>
  <c r="AA282"/>
  <c r="AB282"/>
  <c r="AC282"/>
  <c r="AD282"/>
  <c r="W283"/>
  <c r="X283"/>
  <c r="Y283"/>
  <c r="Z283"/>
  <c r="AA283"/>
  <c r="AB283"/>
  <c r="AC283"/>
  <c r="AD283"/>
  <c r="W284"/>
  <c r="X284"/>
  <c r="Y284"/>
  <c r="Z284"/>
  <c r="AA284"/>
  <c r="AB284"/>
  <c r="AC284"/>
  <c r="AD284"/>
  <c r="W285"/>
  <c r="X285"/>
  <c r="Y285"/>
  <c r="Z285"/>
  <c r="AA285"/>
  <c r="AB285"/>
  <c r="AC285"/>
  <c r="AD285"/>
  <c r="W286"/>
  <c r="X286"/>
  <c r="Y286"/>
  <c r="Z286"/>
  <c r="AA286"/>
  <c r="AB286"/>
  <c r="AC286"/>
  <c r="AD286"/>
  <c r="W287"/>
  <c r="X287"/>
  <c r="Y287"/>
  <c r="Z287"/>
  <c r="AA287"/>
  <c r="AB287"/>
  <c r="AC287"/>
  <c r="AD287"/>
  <c r="W288"/>
  <c r="X288"/>
  <c r="Y288"/>
  <c r="Z288"/>
  <c r="AA288"/>
  <c r="AB288"/>
  <c r="AC288"/>
  <c r="AD288"/>
  <c r="W289"/>
  <c r="X289"/>
  <c r="Y289"/>
  <c r="Z289"/>
  <c r="AA289"/>
  <c r="AB289"/>
  <c r="AC289"/>
  <c r="AD289"/>
  <c r="W290"/>
  <c r="X290"/>
  <c r="Y290"/>
  <c r="Z290"/>
  <c r="AA290"/>
  <c r="AB290"/>
  <c r="AC290"/>
  <c r="AD290"/>
  <c r="W291"/>
  <c r="X291"/>
  <c r="Y291"/>
  <c r="Z291"/>
  <c r="AA291"/>
  <c r="AB291"/>
  <c r="AC291"/>
  <c r="AD291"/>
  <c r="W292"/>
  <c r="X292"/>
  <c r="Y292"/>
  <c r="Z292"/>
  <c r="AA292"/>
  <c r="AB292"/>
  <c r="AC292"/>
  <c r="AD292"/>
  <c r="W293"/>
  <c r="X293"/>
  <c r="Y293"/>
  <c r="Z293"/>
  <c r="AA293"/>
  <c r="AB293"/>
  <c r="AC293"/>
  <c r="AD293"/>
  <c r="W294"/>
  <c r="X294"/>
  <c r="Y294"/>
  <c r="Z294"/>
  <c r="AA294"/>
  <c r="AB294"/>
  <c r="AC294"/>
  <c r="AD294"/>
  <c r="W295"/>
  <c r="X295"/>
  <c r="Y295"/>
  <c r="Z295"/>
  <c r="AA295"/>
  <c r="AB295"/>
  <c r="AC295"/>
  <c r="AD295"/>
  <c r="W296"/>
  <c r="X296"/>
  <c r="Y296"/>
  <c r="Z296"/>
  <c r="AA296"/>
  <c r="AB296"/>
  <c r="AC296"/>
  <c r="AD296"/>
  <c r="W297"/>
  <c r="X297"/>
  <c r="Y297"/>
  <c r="Z297"/>
  <c r="AA297"/>
  <c r="AB297"/>
  <c r="AC297"/>
  <c r="AD297"/>
  <c r="W298"/>
  <c r="X298"/>
  <c r="Y298"/>
  <c r="Z298"/>
  <c r="AA298"/>
  <c r="AB298"/>
  <c r="AC298"/>
  <c r="AD298"/>
  <c r="W299"/>
  <c r="X299"/>
  <c r="Y299"/>
  <c r="Z299"/>
  <c r="AA299"/>
  <c r="AB299"/>
  <c r="AC299"/>
  <c r="AD299"/>
  <c r="W300"/>
  <c r="X300"/>
  <c r="Y300"/>
  <c r="Z300"/>
  <c r="AA300"/>
  <c r="AB300"/>
  <c r="AC300"/>
  <c r="AD300"/>
  <c r="W301"/>
  <c r="X301"/>
  <c r="Y301"/>
  <c r="Z301"/>
  <c r="AA301"/>
  <c r="AB301"/>
  <c r="AC301"/>
  <c r="AD301"/>
  <c r="W302"/>
  <c r="X302"/>
  <c r="Y302"/>
  <c r="Z302"/>
  <c r="AA302"/>
  <c r="AB302"/>
  <c r="AC302"/>
  <c r="AD302"/>
  <c r="W303"/>
  <c r="X303"/>
  <c r="Y303"/>
  <c r="Z303"/>
  <c r="AA303"/>
  <c r="AB303"/>
  <c r="AC303"/>
  <c r="AD303"/>
  <c r="W304"/>
  <c r="X304"/>
  <c r="Y304"/>
  <c r="Z304"/>
  <c r="AA304"/>
  <c r="AB304"/>
  <c r="AC304"/>
  <c r="AD304"/>
  <c r="W305"/>
  <c r="X305"/>
  <c r="Y305"/>
  <c r="Z305"/>
  <c r="AA305"/>
  <c r="AB305"/>
  <c r="AC305"/>
  <c r="AD305"/>
  <c r="W306"/>
  <c r="X306"/>
  <c r="Y306"/>
  <c r="Z306"/>
  <c r="AA306"/>
  <c r="AB306"/>
  <c r="AC306"/>
  <c r="AD306"/>
  <c r="W307"/>
  <c r="X307"/>
  <c r="Y307"/>
  <c r="Z307"/>
  <c r="AA307"/>
  <c r="AB307"/>
  <c r="AC307"/>
  <c r="AD307"/>
  <c r="W308"/>
  <c r="X308"/>
  <c r="Y308"/>
  <c r="Z308"/>
  <c r="AA308"/>
  <c r="AB308"/>
  <c r="AC308"/>
  <c r="AD308"/>
  <c r="W309"/>
  <c r="X309"/>
  <c r="Y309"/>
  <c r="Z309"/>
  <c r="AA309"/>
  <c r="AB309"/>
  <c r="AC309"/>
  <c r="AD309"/>
  <c r="W310"/>
  <c r="X310"/>
  <c r="Y310"/>
  <c r="Z310"/>
  <c r="AA310"/>
  <c r="AB310"/>
  <c r="AC310"/>
  <c r="AD310"/>
  <c r="W311"/>
  <c r="X311"/>
  <c r="Y311"/>
  <c r="Z311"/>
  <c r="AA311"/>
  <c r="AB311"/>
  <c r="AC311"/>
  <c r="AD311"/>
  <c r="W312"/>
  <c r="X312"/>
  <c r="Y312"/>
  <c r="Z312"/>
  <c r="AA312"/>
  <c r="AB312"/>
  <c r="AC312"/>
  <c r="AD312"/>
  <c r="W313"/>
  <c r="X313"/>
  <c r="Y313"/>
  <c r="Z313"/>
  <c r="AA313"/>
  <c r="AB313"/>
  <c r="AC313"/>
  <c r="AD313"/>
  <c r="W314"/>
  <c r="X314"/>
  <c r="Y314"/>
  <c r="Z314"/>
  <c r="AA314"/>
  <c r="AB314"/>
  <c r="AC314"/>
  <c r="AD314"/>
  <c r="W315"/>
  <c r="X315"/>
  <c r="Y315"/>
  <c r="Z315"/>
  <c r="AA315"/>
  <c r="AB315"/>
  <c r="AC315"/>
  <c r="AD315"/>
  <c r="W316"/>
  <c r="X316"/>
  <c r="Y316"/>
  <c r="Z316"/>
  <c r="AA316"/>
  <c r="AB316"/>
  <c r="AC316"/>
  <c r="AD316"/>
  <c r="W317"/>
  <c r="X317"/>
  <c r="Y317"/>
  <c r="Z317"/>
  <c r="AA317"/>
  <c r="AB317"/>
  <c r="AC317"/>
  <c r="AD317"/>
  <c r="W318"/>
  <c r="X318"/>
  <c r="Y318"/>
  <c r="Z318"/>
  <c r="AA318"/>
  <c r="AB318"/>
  <c r="AC318"/>
  <c r="AD318"/>
  <c r="W319"/>
  <c r="X319"/>
  <c r="Y319"/>
  <c r="Z319"/>
  <c r="AA319"/>
  <c r="AB319"/>
  <c r="AC319"/>
  <c r="AD319"/>
  <c r="W320"/>
  <c r="X320"/>
  <c r="Y320"/>
  <c r="Z320"/>
  <c r="AA320"/>
  <c r="AB320"/>
  <c r="AC320"/>
  <c r="AD320"/>
  <c r="W321"/>
  <c r="X321"/>
  <c r="Y321"/>
  <c r="Z321"/>
  <c r="AA321"/>
  <c r="AB321"/>
  <c r="AC321"/>
  <c r="AD321"/>
  <c r="W322"/>
  <c r="X322"/>
  <c r="Y322"/>
  <c r="Z322"/>
  <c r="AA322"/>
  <c r="AB322"/>
  <c r="AC322"/>
  <c r="AD322"/>
  <c r="W323"/>
  <c r="X323"/>
  <c r="Y323"/>
  <c r="Z323"/>
  <c r="AA323"/>
  <c r="AB323"/>
  <c r="AC323"/>
  <c r="AD323"/>
  <c r="W324"/>
  <c r="X324"/>
  <c r="Y324"/>
  <c r="Z324"/>
  <c r="AA324"/>
  <c r="AB324"/>
  <c r="AC324"/>
  <c r="AD324"/>
  <c r="W325"/>
  <c r="X325"/>
  <c r="Y325"/>
  <c r="Z325"/>
  <c r="AA325"/>
  <c r="AB325"/>
  <c r="AC325"/>
  <c r="AD325"/>
  <c r="W326"/>
  <c r="X326"/>
  <c r="Y326"/>
  <c r="Z326"/>
  <c r="AA326"/>
  <c r="AB326"/>
  <c r="AC326"/>
  <c r="AD326"/>
  <c r="W327"/>
  <c r="X327"/>
  <c r="Y327"/>
  <c r="Z327"/>
  <c r="AA327"/>
  <c r="AB327"/>
  <c r="AC327"/>
  <c r="AD327"/>
  <c r="W328"/>
  <c r="X328"/>
  <c r="Y328"/>
  <c r="Z328"/>
  <c r="AA328"/>
  <c r="AB328"/>
  <c r="AC328"/>
  <c r="AD328"/>
  <c r="W329"/>
  <c r="X329"/>
  <c r="Y329"/>
  <c r="Z329"/>
  <c r="AA329"/>
  <c r="AB329"/>
  <c r="AC329"/>
  <c r="AD329"/>
  <c r="W330"/>
  <c r="X330"/>
  <c r="Y330"/>
  <c r="Z330"/>
  <c r="AA330"/>
  <c r="AB330"/>
  <c r="AC330"/>
  <c r="AD330"/>
  <c r="W331"/>
  <c r="X331"/>
  <c r="Y331"/>
  <c r="Z331"/>
  <c r="AA331"/>
  <c r="AB331"/>
  <c r="AC331"/>
  <c r="AD331"/>
  <c r="W332"/>
  <c r="X332"/>
  <c r="Y332"/>
  <c r="Z332"/>
  <c r="AA332"/>
  <c r="AB332"/>
  <c r="AC332"/>
  <c r="AD332"/>
  <c r="W333"/>
  <c r="X333"/>
  <c r="Y333"/>
  <c r="Z333"/>
  <c r="AA333"/>
  <c r="AB333"/>
  <c r="AC333"/>
  <c r="AD333"/>
  <c r="W334"/>
  <c r="X334"/>
  <c r="Y334"/>
  <c r="Z334"/>
  <c r="AA334"/>
  <c r="AB334"/>
  <c r="AC334"/>
  <c r="AD334"/>
  <c r="W335"/>
  <c r="X335"/>
  <c r="Y335"/>
  <c r="Z335"/>
  <c r="AA335"/>
  <c r="AB335"/>
  <c r="AC335"/>
  <c r="AD335"/>
  <c r="W336"/>
  <c r="X336"/>
  <c r="Y336"/>
  <c r="Z336"/>
  <c r="AA336"/>
  <c r="AB336"/>
  <c r="AC336"/>
  <c r="AD336"/>
  <c r="W337"/>
  <c r="X337"/>
  <c r="Y337"/>
  <c r="Z337"/>
  <c r="AA337"/>
  <c r="AB337"/>
  <c r="AC337"/>
  <c r="AD337"/>
  <c r="W338"/>
  <c r="X338"/>
  <c r="Y338"/>
  <c r="Z338"/>
  <c r="AA338"/>
  <c r="AB338"/>
  <c r="AC338"/>
  <c r="AD338"/>
  <c r="W339"/>
  <c r="X339"/>
  <c r="Y339"/>
  <c r="Z339"/>
  <c r="AA339"/>
  <c r="AB339"/>
  <c r="AC339"/>
  <c r="AD339"/>
  <c r="W340"/>
  <c r="X340"/>
  <c r="Y340"/>
  <c r="Z340"/>
  <c r="AA340"/>
  <c r="AB340"/>
  <c r="AC340"/>
  <c r="AD340"/>
  <c r="W341"/>
  <c r="X341"/>
  <c r="Y341"/>
  <c r="Z341"/>
  <c r="AA341"/>
  <c r="AB341"/>
  <c r="AC341"/>
  <c r="AD341"/>
  <c r="W342"/>
  <c r="X342"/>
  <c r="Y342"/>
  <c r="Z342"/>
  <c r="AA342"/>
  <c r="AB342"/>
  <c r="AC342"/>
  <c r="AD342"/>
  <c r="W343"/>
  <c r="X343"/>
  <c r="Y343"/>
  <c r="Z343"/>
  <c r="AA343"/>
  <c r="AB343"/>
  <c r="AC343"/>
  <c r="AD343"/>
  <c r="W344"/>
  <c r="X344"/>
  <c r="Y344"/>
  <c r="Z344"/>
  <c r="AA344"/>
  <c r="AB344"/>
  <c r="AC344"/>
  <c r="AD344"/>
  <c r="W345"/>
  <c r="X345"/>
  <c r="Y345"/>
  <c r="Z345"/>
  <c r="AA345"/>
  <c r="AB345"/>
  <c r="AC345"/>
  <c r="AD345"/>
  <c r="W346"/>
  <c r="X346"/>
  <c r="Y346"/>
  <c r="Z346"/>
  <c r="AA346"/>
  <c r="AB346"/>
  <c r="AC346"/>
  <c r="AD346"/>
  <c r="W347"/>
  <c r="X347"/>
  <c r="Y347"/>
  <c r="Z347"/>
  <c r="AA347"/>
  <c r="AB347"/>
  <c r="AC347"/>
  <c r="AD347"/>
  <c r="W348"/>
  <c r="X348"/>
  <c r="Y348"/>
  <c r="Z348"/>
  <c r="AA348"/>
  <c r="AB348"/>
  <c r="AC348"/>
  <c r="AD348"/>
  <c r="W349"/>
  <c r="X349"/>
  <c r="Y349"/>
  <c r="Z349"/>
  <c r="AA349"/>
  <c r="AB349"/>
  <c r="AC349"/>
  <c r="AD349"/>
  <c r="W350"/>
  <c r="X350"/>
  <c r="Y350"/>
  <c r="Z350"/>
  <c r="AA350"/>
  <c r="AB350"/>
  <c r="AC350"/>
  <c r="AD350"/>
  <c r="W351"/>
  <c r="X351"/>
  <c r="Y351"/>
  <c r="Z351"/>
  <c r="AA351"/>
  <c r="AB351"/>
  <c r="AC351"/>
  <c r="AD351"/>
  <c r="W352"/>
  <c r="X352"/>
  <c r="Y352"/>
  <c r="Z352"/>
  <c r="AA352"/>
  <c r="AB352"/>
  <c r="AC352"/>
  <c r="AD352"/>
  <c r="W353"/>
  <c r="X353"/>
  <c r="Y353"/>
  <c r="Z353"/>
  <c r="AA353"/>
  <c r="AB353"/>
  <c r="AC353"/>
  <c r="AD353"/>
  <c r="W354"/>
  <c r="X354"/>
  <c r="Y354"/>
  <c r="Z354"/>
  <c r="AA354"/>
  <c r="AB354"/>
  <c r="AC354"/>
  <c r="AD354"/>
  <c r="W355"/>
  <c r="X355"/>
  <c r="Y355"/>
  <c r="Z355"/>
  <c r="AA355"/>
  <c r="AB355"/>
  <c r="AC355"/>
  <c r="AD355"/>
  <c r="W356"/>
  <c r="X356"/>
  <c r="Y356"/>
  <c r="Z356"/>
  <c r="AA356"/>
  <c r="AB356"/>
  <c r="AC356"/>
  <c r="AD356"/>
  <c r="W357"/>
  <c r="X357"/>
  <c r="Y357"/>
  <c r="Z357"/>
  <c r="AA357"/>
  <c r="AB357"/>
  <c r="AC357"/>
  <c r="AD357"/>
  <c r="W358"/>
  <c r="X358"/>
  <c r="Y358"/>
  <c r="Z358"/>
  <c r="AA358"/>
  <c r="AB358"/>
  <c r="AC358"/>
  <c r="AD358"/>
  <c r="W359"/>
  <c r="X359"/>
  <c r="Y359"/>
  <c r="Z359"/>
  <c r="AA359"/>
  <c r="AB359"/>
  <c r="AC359"/>
  <c r="AD359"/>
  <c r="W360"/>
  <c r="X360"/>
  <c r="Y360"/>
  <c r="Z360"/>
  <c r="AA360"/>
  <c r="AB360"/>
  <c r="AC360"/>
  <c r="AD360"/>
  <c r="W361"/>
  <c r="X361"/>
  <c r="Y361"/>
  <c r="Z361"/>
  <c r="AA361"/>
  <c r="AB361"/>
  <c r="AC361"/>
  <c r="AD361"/>
  <c r="W362"/>
  <c r="X362"/>
  <c r="Y362"/>
  <c r="Z362"/>
  <c r="AA362"/>
  <c r="AB362"/>
  <c r="AC362"/>
  <c r="AD362"/>
  <c r="W363"/>
  <c r="X363"/>
  <c r="Y363"/>
  <c r="Z363"/>
  <c r="AA363"/>
  <c r="AB363"/>
  <c r="AC363"/>
  <c r="AD363"/>
  <c r="W364"/>
  <c r="X364"/>
  <c r="Y364"/>
  <c r="Z364"/>
  <c r="AA364"/>
  <c r="AB364"/>
  <c r="AC364"/>
  <c r="AD364"/>
  <c r="W365"/>
  <c r="X365"/>
  <c r="Y365"/>
  <c r="Z365"/>
  <c r="AA365"/>
  <c r="AB365"/>
  <c r="AC365"/>
  <c r="AD365"/>
  <c r="W366"/>
  <c r="X366"/>
  <c r="Y366"/>
  <c r="Z366"/>
  <c r="AA366"/>
  <c r="AB366"/>
  <c r="AC366"/>
  <c r="AD366"/>
  <c r="W367"/>
  <c r="X367"/>
  <c r="Y367"/>
  <c r="Z367"/>
  <c r="AA367"/>
  <c r="AB367"/>
  <c r="AC367"/>
  <c r="AD367"/>
  <c r="W368"/>
  <c r="X368"/>
  <c r="Y368"/>
  <c r="Z368"/>
  <c r="AA368"/>
  <c r="AB368"/>
  <c r="AC368"/>
  <c r="AD368"/>
  <c r="W369"/>
  <c r="X369"/>
  <c r="Y369"/>
  <c r="Z369"/>
  <c r="AA369"/>
  <c r="AB369"/>
  <c r="AC369"/>
  <c r="AD369"/>
  <c r="W370"/>
  <c r="X370"/>
  <c r="Y370"/>
  <c r="Z370"/>
  <c r="AA370"/>
  <c r="AB370"/>
  <c r="AC370"/>
  <c r="AD370"/>
  <c r="W371"/>
  <c r="X371"/>
  <c r="Y371"/>
  <c r="Z371"/>
  <c r="AA371"/>
  <c r="AB371"/>
  <c r="AC371"/>
  <c r="AD371"/>
  <c r="W372"/>
  <c r="X372"/>
  <c r="Y372"/>
  <c r="Z372"/>
  <c r="AA372"/>
  <c r="AB372"/>
  <c r="AC372"/>
  <c r="AD372"/>
  <c r="W373"/>
  <c r="X373"/>
  <c r="Y373"/>
  <c r="Z373"/>
  <c r="AA373"/>
  <c r="AB373"/>
  <c r="AC373"/>
  <c r="AD373"/>
  <c r="W374"/>
  <c r="X374"/>
  <c r="Y374"/>
  <c r="Z374"/>
  <c r="AA374"/>
  <c r="AB374"/>
  <c r="AC374"/>
  <c r="AD374"/>
  <c r="W375"/>
  <c r="X375"/>
  <c r="Y375"/>
  <c r="Z375"/>
  <c r="AA375"/>
  <c r="AB375"/>
  <c r="AC375"/>
  <c r="AD375"/>
  <c r="W376"/>
  <c r="X376"/>
  <c r="Y376"/>
  <c r="Z376"/>
  <c r="AA376"/>
  <c r="AB376"/>
  <c r="AC376"/>
  <c r="AD376"/>
  <c r="W377"/>
  <c r="X377"/>
  <c r="Y377"/>
  <c r="Z377"/>
  <c r="AA377"/>
  <c r="AB377"/>
  <c r="AC377"/>
  <c r="AD377"/>
  <c r="W378"/>
  <c r="X378"/>
  <c r="Y378"/>
  <c r="Z378"/>
  <c r="AA378"/>
  <c r="AB378"/>
  <c r="AC378"/>
  <c r="AD378"/>
  <c r="W379"/>
  <c r="X379"/>
  <c r="Y379"/>
  <c r="Z379"/>
  <c r="AA379"/>
  <c r="AB379"/>
  <c r="AC379"/>
  <c r="AD379"/>
  <c r="W380"/>
  <c r="X380"/>
  <c r="Y380"/>
  <c r="Z380"/>
  <c r="AA380"/>
  <c r="AB380"/>
  <c r="AC380"/>
  <c r="AD380"/>
  <c r="W381"/>
  <c r="X381"/>
  <c r="Y381"/>
  <c r="Z381"/>
  <c r="AA381"/>
  <c r="AB381"/>
  <c r="AC381"/>
  <c r="AD381"/>
  <c r="W382"/>
  <c r="X382"/>
  <c r="Y382"/>
  <c r="Z382"/>
  <c r="AA382"/>
  <c r="AB382"/>
  <c r="AC382"/>
  <c r="AD382"/>
  <c r="W383"/>
  <c r="X383"/>
  <c r="Y383"/>
  <c r="Z383"/>
  <c r="AA383"/>
  <c r="AB383"/>
  <c r="AC383"/>
  <c r="AD383"/>
  <c r="W384"/>
  <c r="X384"/>
  <c r="Y384"/>
  <c r="Z384"/>
  <c r="AA384"/>
  <c r="AB384"/>
  <c r="AC384"/>
  <c r="AD384"/>
  <c r="W385"/>
  <c r="X385"/>
  <c r="Y385"/>
  <c r="Z385"/>
  <c r="AA385"/>
  <c r="AB385"/>
  <c r="AC385"/>
  <c r="AD385"/>
  <c r="W386"/>
  <c r="X386"/>
  <c r="Y386"/>
  <c r="Z386"/>
  <c r="AA386"/>
  <c r="AB386"/>
  <c r="AC386"/>
  <c r="AD386"/>
  <c r="W387"/>
  <c r="X387"/>
  <c r="Y387"/>
  <c r="Z387"/>
  <c r="AA387"/>
  <c r="AB387"/>
  <c r="AC387"/>
  <c r="AD387"/>
  <c r="W388"/>
  <c r="X388"/>
  <c r="Y388"/>
  <c r="Z388"/>
  <c r="AA388"/>
  <c r="AB388"/>
  <c r="AC388"/>
  <c r="AD388"/>
  <c r="W389"/>
  <c r="X389"/>
  <c r="Y389"/>
  <c r="Z389"/>
  <c r="AA389"/>
  <c r="AB389"/>
  <c r="AC389"/>
  <c r="AD389"/>
  <c r="W390"/>
  <c r="X390"/>
  <c r="Y390"/>
  <c r="Z390"/>
  <c r="AA390"/>
  <c r="AB390"/>
  <c r="AC390"/>
  <c r="AD390"/>
  <c r="W391"/>
  <c r="X391"/>
  <c r="Y391"/>
  <c r="Z391"/>
  <c r="AA391"/>
  <c r="AB391"/>
  <c r="AC391"/>
  <c r="AD391"/>
  <c r="W392"/>
  <c r="X392"/>
  <c r="Y392"/>
  <c r="Z392"/>
  <c r="AA392"/>
  <c r="AB392"/>
  <c r="AC392"/>
  <c r="AD392"/>
  <c r="W393"/>
  <c r="X393"/>
  <c r="Y393"/>
  <c r="Z393"/>
  <c r="AA393"/>
  <c r="AB393"/>
  <c r="AC393"/>
  <c r="AD393"/>
  <c r="W394"/>
  <c r="X394"/>
  <c r="Y394"/>
  <c r="Z394"/>
  <c r="AA394"/>
  <c r="AB394"/>
  <c r="AC394"/>
  <c r="AD394"/>
  <c r="W395"/>
  <c r="X395"/>
  <c r="Y395"/>
  <c r="Z395"/>
  <c r="AA395"/>
  <c r="AB395"/>
  <c r="AC395"/>
  <c r="AD395"/>
  <c r="W396"/>
  <c r="X396"/>
  <c r="Y396"/>
  <c r="Z396"/>
  <c r="AA396"/>
  <c r="AB396"/>
  <c r="AC396"/>
  <c r="AD396"/>
  <c r="W397"/>
  <c r="X397"/>
  <c r="Y397"/>
  <c r="Z397"/>
  <c r="AA397"/>
  <c r="AB397"/>
  <c r="AC397"/>
  <c r="AD397"/>
  <c r="W398"/>
  <c r="X398"/>
  <c r="Y398"/>
  <c r="Z398"/>
  <c r="AA398"/>
  <c r="AB398"/>
  <c r="AC398"/>
  <c r="AD398"/>
  <c r="W399"/>
  <c r="X399"/>
  <c r="Y399"/>
  <c r="Z399"/>
  <c r="AA399"/>
  <c r="AB399"/>
  <c r="AC399"/>
  <c r="AD399"/>
  <c r="W400"/>
  <c r="X400"/>
  <c r="Y400"/>
  <c r="Z400"/>
  <c r="AA400"/>
  <c r="AB400"/>
  <c r="AC400"/>
  <c r="AD400"/>
  <c r="W401"/>
  <c r="X401"/>
  <c r="Y401"/>
  <c r="Z401"/>
  <c r="AA401"/>
  <c r="AB401"/>
  <c r="AC401"/>
  <c r="AD401"/>
  <c r="W402"/>
  <c r="X402"/>
  <c r="Y402"/>
  <c r="Z402"/>
  <c r="AA402"/>
  <c r="AB402"/>
  <c r="AC402"/>
  <c r="AD402"/>
  <c r="W403"/>
  <c r="X403"/>
  <c r="Y403"/>
  <c r="Z403"/>
  <c r="AA403"/>
  <c r="AB403"/>
  <c r="AC403"/>
  <c r="AD403"/>
  <c r="W404"/>
  <c r="X404"/>
  <c r="Y404"/>
  <c r="Z404"/>
  <c r="AA404"/>
  <c r="AB404"/>
  <c r="AC404"/>
  <c r="AD404"/>
  <c r="W405"/>
  <c r="X405"/>
  <c r="Y405"/>
  <c r="Z405"/>
  <c r="AA405"/>
  <c r="AB405"/>
  <c r="AC405"/>
  <c r="AD405"/>
  <c r="W406"/>
  <c r="X406"/>
  <c r="Y406"/>
  <c r="Z406"/>
  <c r="AA406"/>
  <c r="AB406"/>
  <c r="AC406"/>
  <c r="AD406"/>
  <c r="W407"/>
  <c r="X407"/>
  <c r="Y407"/>
  <c r="Z407"/>
  <c r="AA407"/>
  <c r="AB407"/>
  <c r="AC407"/>
  <c r="AD407"/>
  <c r="W408"/>
  <c r="X408"/>
  <c r="Y408"/>
  <c r="Z408"/>
  <c r="AA408"/>
  <c r="AB408"/>
  <c r="AC408"/>
  <c r="AD408"/>
  <c r="W409"/>
  <c r="X409"/>
  <c r="Y409"/>
  <c r="Z409"/>
  <c r="AA409"/>
  <c r="AB409"/>
  <c r="AC409"/>
  <c r="AD409"/>
  <c r="W410"/>
  <c r="X410"/>
  <c r="Y410"/>
  <c r="Z410"/>
  <c r="AA410"/>
  <c r="AB410"/>
  <c r="AC410"/>
  <c r="AD410"/>
  <c r="W411"/>
  <c r="X411"/>
  <c r="Y411"/>
  <c r="Z411"/>
  <c r="AA411"/>
  <c r="AB411"/>
  <c r="AC411"/>
  <c r="AD411"/>
  <c r="W412"/>
  <c r="X412"/>
  <c r="Y412"/>
  <c r="Z412"/>
  <c r="AA412"/>
  <c r="AB412"/>
  <c r="AC412"/>
  <c r="AD412"/>
  <c r="W413"/>
  <c r="X413"/>
  <c r="Y413"/>
  <c r="Z413"/>
  <c r="AA413"/>
  <c r="AB413"/>
  <c r="AC413"/>
  <c r="AD413"/>
  <c r="W414"/>
  <c r="X414"/>
  <c r="Y414"/>
  <c r="Z414"/>
  <c r="AA414"/>
  <c r="AB414"/>
  <c r="AC414"/>
  <c r="AD414"/>
  <c r="W415"/>
  <c r="X415"/>
  <c r="Y415"/>
  <c r="Z415"/>
  <c r="AA415"/>
  <c r="AB415"/>
  <c r="AC415"/>
  <c r="AD415"/>
  <c r="W416"/>
  <c r="X416"/>
  <c r="Y416"/>
  <c r="Z416"/>
  <c r="AA416"/>
  <c r="AB416"/>
  <c r="AC416"/>
  <c r="AD416"/>
  <c r="W417"/>
  <c r="X417"/>
  <c r="Y417"/>
  <c r="Z417"/>
  <c r="AA417"/>
  <c r="AB417"/>
  <c r="AC417"/>
  <c r="AD417"/>
  <c r="W418"/>
  <c r="X418"/>
  <c r="Y418"/>
  <c r="Z418"/>
  <c r="AA418"/>
  <c r="AB418"/>
  <c r="AC418"/>
  <c r="AD418"/>
  <c r="W419"/>
  <c r="X419"/>
  <c r="Y419"/>
  <c r="Z419"/>
  <c r="AA419"/>
  <c r="AB419"/>
  <c r="AC419"/>
  <c r="AD419"/>
  <c r="W420"/>
  <c r="X420"/>
  <c r="Y420"/>
  <c r="Z420"/>
  <c r="AA420"/>
  <c r="AB420"/>
  <c r="AC420"/>
  <c r="AD420"/>
  <c r="W421"/>
  <c r="X421"/>
  <c r="Y421"/>
  <c r="Z421"/>
  <c r="AA421"/>
  <c r="AB421"/>
  <c r="AC421"/>
  <c r="AD421"/>
  <c r="W422"/>
  <c r="X422"/>
  <c r="Y422"/>
  <c r="Z422"/>
  <c r="AA422"/>
  <c r="AB422"/>
  <c r="AC422"/>
  <c r="AD422"/>
  <c r="W423"/>
  <c r="X423"/>
  <c r="Y423"/>
  <c r="Z423"/>
  <c r="AA423"/>
  <c r="AB423"/>
  <c r="AC423"/>
  <c r="AD423"/>
  <c r="W424"/>
  <c r="X424"/>
  <c r="Y424"/>
  <c r="Z424"/>
  <c r="AA424"/>
  <c r="AB424"/>
  <c r="AC424"/>
  <c r="AD424"/>
  <c r="W425"/>
  <c r="X425"/>
  <c r="Y425"/>
  <c r="Z425"/>
  <c r="AA425"/>
  <c r="AB425"/>
  <c r="AC425"/>
  <c r="AD425"/>
  <c r="W426"/>
  <c r="X426"/>
  <c r="Y426"/>
  <c r="Z426"/>
  <c r="AA426"/>
  <c r="AB426"/>
  <c r="AC426"/>
  <c r="AD426"/>
  <c r="W427"/>
  <c r="X427"/>
  <c r="Y427"/>
  <c r="Z427"/>
  <c r="AA427"/>
  <c r="AB427"/>
  <c r="AC427"/>
  <c r="AD427"/>
  <c r="W428"/>
  <c r="X428"/>
  <c r="Y428"/>
  <c r="Z428"/>
  <c r="AA428"/>
  <c r="AB428"/>
  <c r="AC428"/>
  <c r="AD428"/>
  <c r="W429"/>
  <c r="X429"/>
  <c r="Y429"/>
  <c r="Z429"/>
  <c r="AA429"/>
  <c r="AB429"/>
  <c r="AC429"/>
  <c r="AD429"/>
  <c r="W430"/>
  <c r="X430"/>
  <c r="Y430"/>
  <c r="Z430"/>
  <c r="AA430"/>
  <c r="AB430"/>
  <c r="AC430"/>
  <c r="AD430"/>
  <c r="W431"/>
  <c r="X431"/>
  <c r="Y431"/>
  <c r="Z431"/>
  <c r="AA431"/>
  <c r="AB431"/>
  <c r="AC431"/>
  <c r="AD431"/>
  <c r="W432"/>
  <c r="X432"/>
  <c r="Y432"/>
  <c r="Z432"/>
  <c r="AA432"/>
  <c r="AB432"/>
  <c r="AC432"/>
  <c r="AD432"/>
  <c r="W433"/>
  <c r="X433"/>
  <c r="Y433"/>
  <c r="Z433"/>
  <c r="AA433"/>
  <c r="AB433"/>
  <c r="AC433"/>
  <c r="AD433"/>
  <c r="W434"/>
  <c r="X434"/>
  <c r="Y434"/>
  <c r="Z434"/>
  <c r="AA434"/>
  <c r="AB434"/>
  <c r="AC434"/>
  <c r="AD434"/>
  <c r="W435"/>
  <c r="X435"/>
  <c r="Y435"/>
  <c r="Z435"/>
  <c r="AA435"/>
  <c r="AB435"/>
  <c r="AC435"/>
  <c r="AD435"/>
  <c r="W436"/>
  <c r="X436"/>
  <c r="Y436"/>
  <c r="Z436"/>
  <c r="AA436"/>
  <c r="AB436"/>
  <c r="AC436"/>
  <c r="AD436"/>
  <c r="W437"/>
  <c r="X437"/>
  <c r="Y437"/>
  <c r="Z437"/>
  <c r="AA437"/>
  <c r="AB437"/>
  <c r="AC437"/>
  <c r="AD437"/>
  <c r="W438"/>
  <c r="X438"/>
  <c r="Y438"/>
  <c r="Z438"/>
  <c r="AA438"/>
  <c r="AB438"/>
  <c r="AC438"/>
  <c r="AD438"/>
  <c r="W439"/>
  <c r="X439"/>
  <c r="Y439"/>
  <c r="Z439"/>
  <c r="AA439"/>
  <c r="AB439"/>
  <c r="AC439"/>
  <c r="AD439"/>
  <c r="W440"/>
  <c r="X440"/>
  <c r="Y440"/>
  <c r="Z440"/>
  <c r="AA440"/>
  <c r="AB440"/>
  <c r="AC440"/>
  <c r="AD440"/>
  <c r="W441"/>
  <c r="X441"/>
  <c r="Y441"/>
  <c r="Z441"/>
  <c r="AA441"/>
  <c r="AB441"/>
  <c r="AC441"/>
  <c r="AD441"/>
  <c r="W442"/>
  <c r="X442"/>
  <c r="Y442"/>
  <c r="Z442"/>
  <c r="AA442"/>
  <c r="AB442"/>
  <c r="AC442"/>
  <c r="AD442"/>
  <c r="W443"/>
  <c r="X443"/>
  <c r="Y443"/>
  <c r="Z443"/>
  <c r="AA443"/>
  <c r="AB443"/>
  <c r="AC443"/>
  <c r="AD443"/>
  <c r="W444"/>
  <c r="X444"/>
  <c r="Y444"/>
  <c r="Z444"/>
  <c r="AA444"/>
  <c r="AB444"/>
  <c r="AC444"/>
  <c r="AD444"/>
  <c r="W445"/>
  <c r="X445"/>
  <c r="Y445"/>
  <c r="Z445"/>
  <c r="AA445"/>
  <c r="AB445"/>
  <c r="AC445"/>
  <c r="AD445"/>
  <c r="W446"/>
  <c r="X446"/>
  <c r="Y446"/>
  <c r="Z446"/>
  <c r="AA446"/>
  <c r="AB446"/>
  <c r="AC446"/>
  <c r="AD446"/>
  <c r="W447"/>
  <c r="X447"/>
  <c r="Y447"/>
  <c r="Z447"/>
  <c r="AA447"/>
  <c r="AB447"/>
  <c r="AC447"/>
  <c r="AD447"/>
  <c r="W448"/>
  <c r="X448"/>
  <c r="Y448"/>
  <c r="Z448"/>
  <c r="AA448"/>
  <c r="AB448"/>
  <c r="AC448"/>
  <c r="AD448"/>
  <c r="W449"/>
  <c r="X449"/>
  <c r="Y449"/>
  <c r="Z449"/>
  <c r="AA449"/>
  <c r="AB449"/>
  <c r="AC449"/>
  <c r="AD449"/>
  <c r="W450"/>
  <c r="X450"/>
  <c r="Y450"/>
  <c r="Z450"/>
  <c r="AA450"/>
  <c r="AB450"/>
  <c r="AC450"/>
  <c r="AD450"/>
  <c r="W451"/>
  <c r="X451"/>
  <c r="Y451"/>
  <c r="Z451"/>
  <c r="AA451"/>
  <c r="AB451"/>
  <c r="AC451"/>
  <c r="AD451"/>
  <c r="W452"/>
  <c r="X452"/>
  <c r="Y452"/>
  <c r="Z452"/>
  <c r="AA452"/>
  <c r="AB452"/>
  <c r="AC452"/>
  <c r="AD452"/>
  <c r="W453"/>
  <c r="X453"/>
  <c r="Y453"/>
  <c r="Z453"/>
  <c r="AA453"/>
  <c r="AB453"/>
  <c r="AC453"/>
  <c r="AD453"/>
  <c r="W454"/>
  <c r="X454"/>
  <c r="Y454"/>
  <c r="Z454"/>
  <c r="AA454"/>
  <c r="AB454"/>
  <c r="AC454"/>
  <c r="AD454"/>
  <c r="W455"/>
  <c r="X455"/>
  <c r="Y455"/>
  <c r="Z455"/>
  <c r="AA455"/>
  <c r="AB455"/>
  <c r="AC455"/>
  <c r="AD455"/>
  <c r="W456"/>
  <c r="X456"/>
  <c r="Y456"/>
  <c r="Z456"/>
  <c r="AA456"/>
  <c r="AB456"/>
  <c r="AC456"/>
  <c r="AD456"/>
  <c r="W457"/>
  <c r="X457"/>
  <c r="Y457"/>
  <c r="Z457"/>
  <c r="AA457"/>
  <c r="AB457"/>
  <c r="AC457"/>
  <c r="AD457"/>
  <c r="W458"/>
  <c r="X458"/>
  <c r="Y458"/>
  <c r="Z458"/>
  <c r="AA458"/>
  <c r="AB458"/>
  <c r="AC458"/>
  <c r="AD458"/>
  <c r="W459"/>
  <c r="X459"/>
  <c r="Y459"/>
  <c r="Z459"/>
  <c r="AA459"/>
  <c r="AB459"/>
  <c r="AC459"/>
  <c r="AD459"/>
  <c r="W460"/>
  <c r="X460"/>
  <c r="Y460"/>
  <c r="Z460"/>
  <c r="AA460"/>
  <c r="AB460"/>
  <c r="AC460"/>
  <c r="AD460"/>
  <c r="W461"/>
  <c r="X461"/>
  <c r="Y461"/>
  <c r="Z461"/>
  <c r="AA461"/>
  <c r="AB461"/>
  <c r="AC461"/>
  <c r="AD461"/>
  <c r="W462"/>
  <c r="X462"/>
  <c r="Y462"/>
  <c r="Z462"/>
  <c r="AA462"/>
  <c r="AB462"/>
  <c r="AC462"/>
  <c r="AD462"/>
  <c r="W463"/>
  <c r="X463"/>
  <c r="Y463"/>
  <c r="Z463"/>
  <c r="AA463"/>
  <c r="AB463"/>
  <c r="AC463"/>
  <c r="AD463"/>
  <c r="W464"/>
  <c r="X464"/>
  <c r="Y464"/>
  <c r="Z464"/>
  <c r="AA464"/>
  <c r="AB464"/>
  <c r="AC464"/>
  <c r="AD464"/>
  <c r="W465"/>
  <c r="X465"/>
  <c r="Y465"/>
  <c r="Z465"/>
  <c r="AA465"/>
  <c r="AB465"/>
  <c r="AC465"/>
  <c r="AD465"/>
  <c r="W466"/>
  <c r="X466"/>
  <c r="Y466"/>
  <c r="Z466"/>
  <c r="AA466"/>
  <c r="AB466"/>
  <c r="AC466"/>
  <c r="AD466"/>
  <c r="W467"/>
  <c r="X467"/>
  <c r="Y467"/>
  <c r="Z467"/>
  <c r="AA467"/>
  <c r="AB467"/>
  <c r="AC467"/>
  <c r="AD467"/>
  <c r="W468"/>
  <c r="X468"/>
  <c r="Y468"/>
  <c r="Z468"/>
  <c r="AA468"/>
  <c r="AB468"/>
  <c r="AC468"/>
  <c r="AD468"/>
  <c r="W469"/>
  <c r="X469"/>
  <c r="Y469"/>
  <c r="Z469"/>
  <c r="AA469"/>
  <c r="AB469"/>
  <c r="AC469"/>
  <c r="AD469"/>
  <c r="W470"/>
  <c r="X470"/>
  <c r="Y470"/>
  <c r="Z470"/>
  <c r="AA470"/>
  <c r="AB470"/>
  <c r="AC470"/>
  <c r="AD470"/>
  <c r="W471"/>
  <c r="X471"/>
  <c r="Y471"/>
  <c r="Z471"/>
  <c r="AA471"/>
  <c r="AB471"/>
  <c r="AC471"/>
  <c r="AD471"/>
  <c r="W472"/>
  <c r="X472"/>
  <c r="Y472"/>
  <c r="Z472"/>
  <c r="AA472"/>
  <c r="AB472"/>
  <c r="AC472"/>
  <c r="AD472"/>
  <c r="W473"/>
  <c r="X473"/>
  <c r="Y473"/>
  <c r="Z473"/>
  <c r="AA473"/>
  <c r="AB473"/>
  <c r="AC473"/>
  <c r="AD473"/>
  <c r="W474"/>
  <c r="X474"/>
  <c r="Y474"/>
  <c r="Z474"/>
  <c r="AA474"/>
  <c r="AB474"/>
  <c r="AC474"/>
  <c r="AD474"/>
  <c r="W475"/>
  <c r="X475"/>
  <c r="Y475"/>
  <c r="Z475"/>
  <c r="AA475"/>
  <c r="AB475"/>
  <c r="AC475"/>
  <c r="AD475"/>
  <c r="W476"/>
  <c r="X476"/>
  <c r="Y476"/>
  <c r="Z476"/>
  <c r="AA476"/>
  <c r="AB476"/>
  <c r="AC476"/>
  <c r="AD476"/>
  <c r="W477"/>
  <c r="X477"/>
  <c r="Y477"/>
  <c r="Z477"/>
  <c r="AA477"/>
  <c r="AB477"/>
  <c r="AC477"/>
  <c r="AD477"/>
  <c r="W478"/>
  <c r="X478"/>
  <c r="Y478"/>
  <c r="Z478"/>
  <c r="AA478"/>
  <c r="AB478"/>
  <c r="AC478"/>
  <c r="AD478"/>
  <c r="W479"/>
  <c r="X479"/>
  <c r="Y479"/>
  <c r="Z479"/>
  <c r="AA479"/>
  <c r="AB479"/>
  <c r="AC479"/>
  <c r="AD479"/>
  <c r="W480"/>
  <c r="X480"/>
  <c r="Y480"/>
  <c r="Z480"/>
  <c r="AA480"/>
  <c r="AB480"/>
  <c r="AC480"/>
  <c r="AD480"/>
  <c r="W481"/>
  <c r="X481"/>
  <c r="Y481"/>
  <c r="Z481"/>
  <c r="AA481"/>
  <c r="AB481"/>
  <c r="AC481"/>
  <c r="AD481"/>
  <c r="W482"/>
  <c r="X482"/>
  <c r="Y482"/>
  <c r="Z482"/>
  <c r="AA482"/>
  <c r="AB482"/>
  <c r="AC482"/>
  <c r="AD482"/>
  <c r="W483"/>
  <c r="X483"/>
  <c r="Y483"/>
  <c r="Z483"/>
  <c r="AA483"/>
  <c r="AB483"/>
  <c r="AC483"/>
  <c r="AD483"/>
  <c r="W484"/>
  <c r="X484"/>
  <c r="Y484"/>
  <c r="Z484"/>
  <c r="AA484"/>
  <c r="AB484"/>
  <c r="AC484"/>
  <c r="AD484"/>
  <c r="W485"/>
  <c r="X485"/>
  <c r="Y485"/>
  <c r="Z485"/>
  <c r="AA485"/>
  <c r="AB485"/>
  <c r="AC485"/>
  <c r="AD485"/>
  <c r="W486"/>
  <c r="X486"/>
  <c r="Y486"/>
  <c r="Z486"/>
  <c r="AA486"/>
  <c r="AB486"/>
  <c r="AC486"/>
  <c r="AD486"/>
  <c r="W487"/>
  <c r="X487"/>
  <c r="Y487"/>
  <c r="Z487"/>
  <c r="AA487"/>
  <c r="AB487"/>
  <c r="AC487"/>
  <c r="AD487"/>
  <c r="W488"/>
  <c r="X488"/>
  <c r="Y488"/>
  <c r="Z488"/>
  <c r="AA488"/>
  <c r="AB488"/>
  <c r="AC488"/>
  <c r="AD488"/>
  <c r="W489"/>
  <c r="X489"/>
  <c r="Y489"/>
  <c r="Z489"/>
  <c r="AA489"/>
  <c r="AB489"/>
  <c r="AC489"/>
  <c r="AD489"/>
  <c r="W490"/>
  <c r="X490"/>
  <c r="Y490"/>
  <c r="Z490"/>
  <c r="AA490"/>
  <c r="AB490"/>
  <c r="AC490"/>
  <c r="AD490"/>
  <c r="W491"/>
  <c r="X491"/>
  <c r="Y491"/>
  <c r="Z491"/>
  <c r="AA491"/>
  <c r="AB491"/>
  <c r="AC491"/>
  <c r="AD491"/>
  <c r="W492"/>
  <c r="X492"/>
  <c r="Y492"/>
  <c r="Z492"/>
  <c r="AA492"/>
  <c r="AB492"/>
  <c r="AC492"/>
  <c r="AD492"/>
  <c r="W493"/>
  <c r="X493"/>
  <c r="Y493"/>
  <c r="Z493"/>
  <c r="AA493"/>
  <c r="AB493"/>
  <c r="AC493"/>
  <c r="AD493"/>
  <c r="W494"/>
  <c r="X494"/>
  <c r="Y494"/>
  <c r="Z494"/>
  <c r="AA494"/>
  <c r="AB494"/>
  <c r="AC494"/>
  <c r="AD494"/>
  <c r="W495"/>
  <c r="X495"/>
  <c r="Y495"/>
  <c r="Z495"/>
  <c r="AA495"/>
  <c r="AB495"/>
  <c r="AC495"/>
  <c r="AD495"/>
  <c r="W496"/>
  <c r="X496"/>
  <c r="Y496"/>
  <c r="Z496"/>
  <c r="AA496"/>
  <c r="AB496"/>
  <c r="AC496"/>
  <c r="AD496"/>
  <c r="W497"/>
  <c r="X497"/>
  <c r="Y497"/>
  <c r="Z497"/>
  <c r="AA497"/>
  <c r="AB497"/>
  <c r="AC497"/>
  <c r="AD497"/>
  <c r="W498"/>
  <c r="X498"/>
  <c r="Y498"/>
  <c r="Z498"/>
  <c r="AA498"/>
  <c r="AB498"/>
  <c r="AC498"/>
  <c r="AD498"/>
  <c r="W499"/>
  <c r="X499"/>
  <c r="Y499"/>
  <c r="Z499"/>
  <c r="AA499"/>
  <c r="AB499"/>
  <c r="AC499"/>
  <c r="AD499"/>
  <c r="W500"/>
  <c r="X500"/>
  <c r="Y500"/>
  <c r="Z500"/>
  <c r="AA500"/>
  <c r="AB500"/>
  <c r="AC500"/>
  <c r="AD500"/>
  <c r="W501"/>
  <c r="X501"/>
  <c r="Y501"/>
  <c r="Z501"/>
  <c r="AA501"/>
  <c r="AB501"/>
  <c r="AC501"/>
  <c r="AD501"/>
  <c r="W502"/>
  <c r="X502"/>
  <c r="Y502"/>
  <c r="Z502"/>
  <c r="AA502"/>
  <c r="AB502"/>
  <c r="AC502"/>
  <c r="AD502"/>
  <c r="W503"/>
  <c r="X503"/>
  <c r="Y503"/>
  <c r="Z503"/>
  <c r="AA503"/>
  <c r="AB503"/>
  <c r="AC503"/>
  <c r="AD503"/>
  <c r="W504"/>
  <c r="X504"/>
  <c r="Y504"/>
  <c r="Z504"/>
  <c r="AA504"/>
  <c r="AB504"/>
  <c r="AC504"/>
  <c r="AD504"/>
  <c r="W505"/>
  <c r="X505"/>
  <c r="Y505"/>
  <c r="Z505"/>
  <c r="AA505"/>
  <c r="AB505"/>
  <c r="AC505"/>
  <c r="AD505"/>
  <c r="W506"/>
  <c r="X506"/>
  <c r="Y506"/>
  <c r="Z506"/>
  <c r="AA506"/>
  <c r="AB506"/>
  <c r="AC506"/>
  <c r="AD506"/>
  <c r="W507"/>
  <c r="X507"/>
  <c r="Y507"/>
  <c r="Z507"/>
  <c r="AA507"/>
  <c r="AB507"/>
  <c r="AC507"/>
  <c r="AD507"/>
  <c r="W508"/>
  <c r="X508"/>
  <c r="Y508"/>
  <c r="Z508"/>
  <c r="AA508"/>
  <c r="AB508"/>
  <c r="AC508"/>
  <c r="AD508"/>
  <c r="W509"/>
  <c r="X509"/>
  <c r="Y509"/>
  <c r="Z509"/>
  <c r="AA509"/>
  <c r="AB509"/>
  <c r="AC509"/>
  <c r="AD509"/>
  <c r="W510"/>
  <c r="X510"/>
  <c r="Y510"/>
  <c r="Z510"/>
  <c r="AA510"/>
  <c r="AB510"/>
  <c r="AC510"/>
  <c r="AD510"/>
  <c r="W511"/>
  <c r="X511"/>
  <c r="Y511"/>
  <c r="Z511"/>
  <c r="AA511"/>
  <c r="AB511"/>
  <c r="AC511"/>
  <c r="AD511"/>
  <c r="W512"/>
  <c r="X512"/>
  <c r="Y512"/>
  <c r="Z512"/>
  <c r="AA512"/>
  <c r="AB512"/>
  <c r="AC512"/>
  <c r="AD512"/>
  <c r="W513"/>
  <c r="X513"/>
  <c r="Y513"/>
  <c r="Z513"/>
  <c r="AA513"/>
  <c r="AB513"/>
  <c r="AC513"/>
  <c r="AD513"/>
  <c r="W514"/>
  <c r="X514"/>
  <c r="Y514"/>
  <c r="Z514"/>
  <c r="AA514"/>
  <c r="AB514"/>
  <c r="AC514"/>
  <c r="AD514"/>
  <c r="W515"/>
  <c r="X515"/>
  <c r="Y515"/>
  <c r="Z515"/>
  <c r="AA515"/>
  <c r="AB515"/>
  <c r="AC515"/>
  <c r="AD515"/>
  <c r="W516"/>
  <c r="X516"/>
  <c r="Y516"/>
  <c r="Z516"/>
  <c r="AA516"/>
  <c r="AB516"/>
  <c r="AC516"/>
  <c r="AD516"/>
  <c r="W517"/>
  <c r="X517"/>
  <c r="Y517"/>
  <c r="Z517"/>
  <c r="AA517"/>
  <c r="AB517"/>
  <c r="AC517"/>
  <c r="AD517"/>
  <c r="W518"/>
  <c r="X518"/>
  <c r="Y518"/>
  <c r="Z518"/>
  <c r="AA518"/>
  <c r="AB518"/>
  <c r="AC518"/>
  <c r="AD518"/>
  <c r="W519"/>
  <c r="X519"/>
  <c r="Y519"/>
  <c r="Z519"/>
  <c r="AA519"/>
  <c r="AB519"/>
  <c r="AC519"/>
  <c r="AD519"/>
  <c r="W520"/>
  <c r="X520"/>
  <c r="Y520"/>
  <c r="Z520"/>
  <c r="AA520"/>
  <c r="AB520"/>
  <c r="AC520"/>
  <c r="AD520"/>
  <c r="W521"/>
  <c r="X521"/>
  <c r="Y521"/>
  <c r="Z521"/>
  <c r="AA521"/>
  <c r="AB521"/>
  <c r="AC521"/>
  <c r="AD521"/>
  <c r="W522"/>
  <c r="X522"/>
  <c r="Y522"/>
  <c r="Z522"/>
  <c r="AA522"/>
  <c r="AB522"/>
  <c r="AC522"/>
  <c r="AD522"/>
  <c r="W523"/>
  <c r="X523"/>
  <c r="Y523"/>
  <c r="Z523"/>
  <c r="AA523"/>
  <c r="AB523"/>
  <c r="AC523"/>
  <c r="AD523"/>
  <c r="W524"/>
  <c r="X524"/>
  <c r="Y524"/>
  <c r="Z524"/>
  <c r="AA524"/>
  <c r="AB524"/>
  <c r="AC524"/>
  <c r="AD524"/>
  <c r="W525"/>
  <c r="X525"/>
  <c r="Y525"/>
  <c r="Z525"/>
  <c r="AA525"/>
  <c r="AB525"/>
  <c r="AC525"/>
  <c r="AD525"/>
  <c r="W526"/>
  <c r="X526"/>
  <c r="Y526"/>
  <c r="Z526"/>
  <c r="AA526"/>
  <c r="AB526"/>
  <c r="AC526"/>
  <c r="AD526"/>
  <c r="W527"/>
  <c r="X527"/>
  <c r="Y527"/>
  <c r="Z527"/>
  <c r="AA527"/>
  <c r="AB527"/>
  <c r="AC527"/>
  <c r="AD527"/>
  <c r="W528"/>
  <c r="X528"/>
  <c r="Y528"/>
  <c r="Z528"/>
  <c r="AA528"/>
  <c r="AB528"/>
  <c r="AC528"/>
  <c r="AD528"/>
  <c r="W529"/>
  <c r="X529"/>
  <c r="Y529"/>
  <c r="Z529"/>
  <c r="AA529"/>
  <c r="AB529"/>
  <c r="AC529"/>
  <c r="AD529"/>
  <c r="W530"/>
  <c r="X530"/>
  <c r="Y530"/>
  <c r="Z530"/>
  <c r="AA530"/>
  <c r="AB530"/>
  <c r="AC530"/>
  <c r="AD530"/>
  <c r="W531"/>
  <c r="X531"/>
  <c r="Y531"/>
  <c r="Z531"/>
  <c r="AA531"/>
  <c r="AB531"/>
  <c r="AC531"/>
  <c r="AD531"/>
  <c r="W532"/>
  <c r="X532"/>
  <c r="Y532"/>
  <c r="Z532"/>
  <c r="AA532"/>
  <c r="AB532"/>
  <c r="AC532"/>
  <c r="AD532"/>
  <c r="W533"/>
  <c r="X533"/>
  <c r="Y533"/>
  <c r="Z533"/>
  <c r="AA533"/>
  <c r="AB533"/>
  <c r="AC533"/>
  <c r="AD533"/>
  <c r="W534"/>
  <c r="X534"/>
  <c r="Y534"/>
  <c r="Z534"/>
  <c r="AA534"/>
  <c r="AB534"/>
  <c r="AC534"/>
  <c r="AD534"/>
  <c r="W535"/>
  <c r="X535"/>
  <c r="Y535"/>
  <c r="Z535"/>
  <c r="AA535"/>
  <c r="AB535"/>
  <c r="AC535"/>
  <c r="AD535"/>
  <c r="W536"/>
  <c r="X536"/>
  <c r="Y536"/>
  <c r="Z536"/>
  <c r="AA536"/>
  <c r="AB536"/>
  <c r="AC536"/>
  <c r="AD536"/>
  <c r="W537"/>
  <c r="X537"/>
  <c r="Y537"/>
  <c r="Z537"/>
  <c r="AA537"/>
  <c r="AB537"/>
  <c r="AC537"/>
  <c r="AD537"/>
  <c r="W538"/>
  <c r="X538"/>
  <c r="Y538"/>
  <c r="Z538"/>
  <c r="AA538"/>
  <c r="AB538"/>
  <c r="AC538"/>
  <c r="AD538"/>
  <c r="W539"/>
  <c r="X539"/>
  <c r="Y539"/>
  <c r="Z539"/>
  <c r="AA539"/>
  <c r="AB539"/>
  <c r="AC539"/>
  <c r="AD539"/>
  <c r="W540"/>
  <c r="X540"/>
  <c r="Y540"/>
  <c r="Z540"/>
  <c r="AA540"/>
  <c r="AB540"/>
  <c r="AC540"/>
  <c r="AD540"/>
  <c r="W541"/>
  <c r="X541"/>
  <c r="Y541"/>
  <c r="Z541"/>
  <c r="AA541"/>
  <c r="AB541"/>
  <c r="AC541"/>
  <c r="AD541"/>
  <c r="W542"/>
  <c r="X542"/>
  <c r="Y542"/>
  <c r="Z542"/>
  <c r="AA542"/>
  <c r="AB542"/>
  <c r="AC542"/>
  <c r="AD542"/>
  <c r="W543"/>
  <c r="X543"/>
  <c r="Y543"/>
  <c r="Z543"/>
  <c r="AA543"/>
  <c r="AB543"/>
  <c r="AC543"/>
  <c r="AD543"/>
  <c r="W544"/>
  <c r="X544"/>
  <c r="Y544"/>
  <c r="Z544"/>
  <c r="AA544"/>
  <c r="AB544"/>
  <c r="AC544"/>
  <c r="AD544"/>
  <c r="W545"/>
  <c r="X545"/>
  <c r="Y545"/>
  <c r="Z545"/>
  <c r="AA545"/>
  <c r="AB545"/>
  <c r="AC545"/>
  <c r="AD545"/>
  <c r="W546"/>
  <c r="X546"/>
  <c r="Y546"/>
  <c r="Z546"/>
  <c r="AA546"/>
  <c r="AB546"/>
  <c r="AC546"/>
  <c r="AD546"/>
  <c r="W547"/>
  <c r="X547"/>
  <c r="Y547"/>
  <c r="Z547"/>
  <c r="AA547"/>
  <c r="AB547"/>
  <c r="AC547"/>
  <c r="AD547"/>
  <c r="W548"/>
  <c r="X548"/>
  <c r="Y548"/>
  <c r="Z548"/>
  <c r="AA548"/>
  <c r="AB548"/>
  <c r="AC548"/>
  <c r="AD548"/>
  <c r="W549"/>
  <c r="X549"/>
  <c r="Y549"/>
  <c r="Z549"/>
  <c r="AA549"/>
  <c r="AB549"/>
  <c r="AC549"/>
  <c r="AD549"/>
  <c r="W550"/>
  <c r="X550"/>
  <c r="Y550"/>
  <c r="Z550"/>
  <c r="AA550"/>
  <c r="AB550"/>
  <c r="AC550"/>
  <c r="AD550"/>
  <c r="W551"/>
  <c r="X551"/>
  <c r="Y551"/>
  <c r="Z551"/>
  <c r="AA551"/>
  <c r="AB551"/>
  <c r="AC551"/>
  <c r="AD551"/>
  <c r="W552"/>
  <c r="X552"/>
  <c r="Y552"/>
  <c r="Z552"/>
  <c r="AA552"/>
  <c r="AB552"/>
  <c r="AC552"/>
  <c r="AD552"/>
  <c r="W553"/>
  <c r="X553"/>
  <c r="Y553"/>
  <c r="Z553"/>
  <c r="AA553"/>
  <c r="AB553"/>
  <c r="AC553"/>
  <c r="AD553"/>
  <c r="W554"/>
  <c r="X554"/>
  <c r="Y554"/>
  <c r="Z554"/>
  <c r="AA554"/>
  <c r="AB554"/>
  <c r="AC554"/>
  <c r="AD554"/>
  <c r="W555"/>
  <c r="X555"/>
  <c r="Y555"/>
  <c r="Z555"/>
  <c r="AA555"/>
  <c r="AB555"/>
  <c r="AC555"/>
  <c r="AD555"/>
  <c r="W556"/>
  <c r="X556"/>
  <c r="Y556"/>
  <c r="Z556"/>
  <c r="AA556"/>
  <c r="AB556"/>
  <c r="AC556"/>
  <c r="AD556"/>
  <c r="W557"/>
  <c r="X557"/>
  <c r="Y557"/>
  <c r="Z557"/>
  <c r="AA557"/>
  <c r="AB557"/>
  <c r="AC557"/>
  <c r="AD557"/>
  <c r="W558"/>
  <c r="X558"/>
  <c r="Y558"/>
  <c r="Z558"/>
  <c r="AA558"/>
  <c r="AB558"/>
  <c r="AC558"/>
  <c r="AD558"/>
  <c r="W559"/>
  <c r="X559"/>
  <c r="Y559"/>
  <c r="Z559"/>
  <c r="AA559"/>
  <c r="AB559"/>
  <c r="AC559"/>
  <c r="AD559"/>
  <c r="W560"/>
  <c r="X560"/>
  <c r="Y560"/>
  <c r="Z560"/>
  <c r="AA560"/>
  <c r="AB560"/>
  <c r="AC560"/>
  <c r="AD560"/>
  <c r="W561"/>
  <c r="X561"/>
  <c r="Y561"/>
  <c r="Z561"/>
  <c r="AA561"/>
  <c r="AB561"/>
  <c r="AC561"/>
  <c r="AD561"/>
  <c r="W562"/>
  <c r="X562"/>
  <c r="Y562"/>
  <c r="Z562"/>
  <c r="AA562"/>
  <c r="AB562"/>
  <c r="AC562"/>
  <c r="AD562"/>
  <c r="W563"/>
  <c r="X563"/>
  <c r="Y563"/>
  <c r="Z563"/>
  <c r="AA563"/>
  <c r="AB563"/>
  <c r="AC563"/>
  <c r="AD563"/>
  <c r="W564"/>
  <c r="X564"/>
  <c r="Y564"/>
  <c r="Z564"/>
  <c r="AA564"/>
  <c r="AB564"/>
  <c r="AC564"/>
  <c r="AD564"/>
  <c r="W565"/>
  <c r="X565"/>
  <c r="Y565"/>
  <c r="Z565"/>
  <c r="AA565"/>
  <c r="AB565"/>
  <c r="AC565"/>
  <c r="AD565"/>
  <c r="W566"/>
  <c r="X566"/>
  <c r="Y566"/>
  <c r="Z566"/>
  <c r="AA566"/>
  <c r="AB566"/>
  <c r="AC566"/>
  <c r="AD566"/>
  <c r="W567"/>
  <c r="X567"/>
  <c r="Y567"/>
  <c r="Z567"/>
  <c r="AA567"/>
  <c r="AB567"/>
  <c r="AC567"/>
  <c r="AD567"/>
  <c r="W568"/>
  <c r="X568"/>
  <c r="Y568"/>
  <c r="Z568"/>
  <c r="AA568"/>
  <c r="AB568"/>
  <c r="AC568"/>
  <c r="AD568"/>
  <c r="W569"/>
  <c r="X569"/>
  <c r="Y569"/>
  <c r="Z569"/>
  <c r="AA569"/>
  <c r="AB569"/>
  <c r="AC569"/>
  <c r="AD569"/>
  <c r="W570"/>
  <c r="X570"/>
  <c r="Y570"/>
  <c r="Z570"/>
  <c r="AA570"/>
  <c r="AB570"/>
  <c r="AC570"/>
  <c r="AD570"/>
  <c r="W571"/>
  <c r="X571"/>
  <c r="Y571"/>
  <c r="Z571"/>
  <c r="AA571"/>
  <c r="AB571"/>
  <c r="AC571"/>
  <c r="AD571"/>
  <c r="W572"/>
  <c r="X572"/>
  <c r="Y572"/>
  <c r="Z572"/>
  <c r="AA572"/>
  <c r="AB572"/>
  <c r="AC572"/>
  <c r="AD572"/>
  <c r="W573"/>
  <c r="X573"/>
  <c r="Y573"/>
  <c r="Z573"/>
  <c r="AA573"/>
  <c r="AB573"/>
  <c r="AC573"/>
  <c r="AD573"/>
  <c r="W574"/>
  <c r="X574"/>
  <c r="Y574"/>
  <c r="Z574"/>
  <c r="AA574"/>
  <c r="AB574"/>
  <c r="AC574"/>
  <c r="AD574"/>
  <c r="W575"/>
  <c r="X575"/>
  <c r="Y575"/>
  <c r="Z575"/>
  <c r="AA575"/>
  <c r="AB575"/>
  <c r="AC575"/>
  <c r="AD575"/>
  <c r="W576"/>
  <c r="X576"/>
  <c r="Y576"/>
  <c r="Z576"/>
  <c r="AA576"/>
  <c r="AB576"/>
  <c r="AC576"/>
  <c r="AD576"/>
  <c r="W577"/>
  <c r="X577"/>
  <c r="Y577"/>
  <c r="Z577"/>
  <c r="AA577"/>
  <c r="AB577"/>
  <c r="AC577"/>
  <c r="AD577"/>
  <c r="W578"/>
  <c r="X578"/>
  <c r="Y578"/>
  <c r="Z578"/>
  <c r="AA578"/>
  <c r="AB578"/>
  <c r="AC578"/>
  <c r="AD578"/>
  <c r="W579"/>
  <c r="X579"/>
  <c r="Y579"/>
  <c r="Z579"/>
  <c r="AA579"/>
  <c r="AB579"/>
  <c r="AC579"/>
  <c r="AD579"/>
  <c r="W580"/>
  <c r="X580"/>
  <c r="Y580"/>
  <c r="Z580"/>
  <c r="AA580"/>
  <c r="AB580"/>
  <c r="AC580"/>
  <c r="AD580"/>
  <c r="W581"/>
  <c r="X581"/>
  <c r="Y581"/>
  <c r="Z581"/>
  <c r="AA581"/>
  <c r="AB581"/>
  <c r="AC581"/>
  <c r="AD581"/>
  <c r="W582"/>
  <c r="X582"/>
  <c r="Y582"/>
  <c r="Z582"/>
  <c r="AA582"/>
  <c r="AB582"/>
  <c r="AC582"/>
  <c r="AD582"/>
  <c r="W583"/>
  <c r="X583"/>
  <c r="Y583"/>
  <c r="Z583"/>
  <c r="AA583"/>
  <c r="AB583"/>
  <c r="AC583"/>
  <c r="AD583"/>
  <c r="W584"/>
  <c r="X584"/>
  <c r="Y584"/>
  <c r="Z584"/>
  <c r="AA584"/>
  <c r="AB584"/>
  <c r="AC584"/>
  <c r="AD584"/>
  <c r="W585"/>
  <c r="X585"/>
  <c r="Y585"/>
  <c r="Z585"/>
  <c r="AA585"/>
  <c r="AB585"/>
  <c r="AC585"/>
  <c r="AD585"/>
  <c r="W586"/>
  <c r="X586"/>
  <c r="Y586"/>
  <c r="Z586"/>
  <c r="AA586"/>
  <c r="AB586"/>
  <c r="AC586"/>
  <c r="AD586"/>
  <c r="W587"/>
  <c r="X587"/>
  <c r="Y587"/>
  <c r="Z587"/>
  <c r="AA587"/>
  <c r="AB587"/>
  <c r="AC587"/>
  <c r="AD587"/>
  <c r="W588"/>
  <c r="X588"/>
  <c r="Y588"/>
  <c r="Z588"/>
  <c r="AA588"/>
  <c r="AB588"/>
  <c r="AC588"/>
  <c r="AD588"/>
  <c r="W589"/>
  <c r="X589"/>
  <c r="Y589"/>
  <c r="Z589"/>
  <c r="AA589"/>
  <c r="AB589"/>
  <c r="AC589"/>
  <c r="AD589"/>
  <c r="W590"/>
  <c r="X590"/>
  <c r="Y590"/>
  <c r="Z590"/>
  <c r="AA590"/>
  <c r="AB590"/>
  <c r="AC590"/>
  <c r="AD590"/>
  <c r="W591"/>
  <c r="X591"/>
  <c r="Y591"/>
  <c r="Z591"/>
  <c r="AA591"/>
  <c r="AB591"/>
  <c r="AC591"/>
  <c r="AD591"/>
  <c r="W592"/>
  <c r="X592"/>
  <c r="Y592"/>
  <c r="Z592"/>
  <c r="AA592"/>
  <c r="AB592"/>
  <c r="AC592"/>
  <c r="AD592"/>
  <c r="W593"/>
  <c r="X593"/>
  <c r="Y593"/>
  <c r="Z593"/>
  <c r="AA593"/>
  <c r="AB593"/>
  <c r="AC593"/>
  <c r="AD593"/>
  <c r="W594"/>
  <c r="X594"/>
  <c r="Y594"/>
  <c r="Z594"/>
  <c r="AA594"/>
  <c r="AB594"/>
  <c r="AC594"/>
  <c r="AD594"/>
  <c r="W595"/>
  <c r="X595"/>
  <c r="Y595"/>
  <c r="Z595"/>
  <c r="AA595"/>
  <c r="AB595"/>
  <c r="AC595"/>
  <c r="AD595"/>
  <c r="W596"/>
  <c r="X596"/>
  <c r="Y596"/>
  <c r="Z596"/>
  <c r="AA596"/>
  <c r="AB596"/>
  <c r="AC596"/>
  <c r="AD596"/>
  <c r="W597"/>
  <c r="X597"/>
  <c r="Y597"/>
  <c r="Z597"/>
  <c r="AA597"/>
  <c r="AB597"/>
  <c r="AC597"/>
  <c r="AD597"/>
  <c r="W598"/>
  <c r="X598"/>
  <c r="Y598"/>
  <c r="Z598"/>
  <c r="AA598"/>
  <c r="AB598"/>
  <c r="AC598"/>
  <c r="AD598"/>
  <c r="W599"/>
  <c r="X599"/>
  <c r="Y599"/>
  <c r="Z599"/>
  <c r="AA599"/>
  <c r="AB599"/>
  <c r="AC599"/>
  <c r="AD599"/>
  <c r="W600"/>
  <c r="X600"/>
  <c r="Y600"/>
  <c r="Z600"/>
  <c r="AA600"/>
  <c r="AB600"/>
  <c r="AC600"/>
  <c r="AD600"/>
  <c r="W601"/>
  <c r="X601"/>
  <c r="Y601"/>
  <c r="Z601"/>
  <c r="AA601"/>
  <c r="AB601"/>
  <c r="AC601"/>
  <c r="AD601"/>
  <c r="W602"/>
  <c r="X602"/>
  <c r="Y602"/>
  <c r="Z602"/>
  <c r="AA602"/>
  <c r="AB602"/>
  <c r="AC602"/>
  <c r="AD602"/>
  <c r="W603"/>
  <c r="X603"/>
  <c r="Y603"/>
  <c r="Z603"/>
  <c r="AA603"/>
  <c r="AB603"/>
  <c r="AC603"/>
  <c r="AD603"/>
  <c r="W604"/>
  <c r="X604"/>
  <c r="Y604"/>
  <c r="Z604"/>
  <c r="AA604"/>
  <c r="AB604"/>
  <c r="AC604"/>
  <c r="AD604"/>
  <c r="W605"/>
  <c r="X605"/>
  <c r="Y605"/>
  <c r="Z605"/>
  <c r="AA605"/>
  <c r="AB605"/>
  <c r="AC605"/>
  <c r="AD605"/>
  <c r="W606"/>
  <c r="X606"/>
  <c r="Y606"/>
  <c r="Z606"/>
  <c r="AA606"/>
  <c r="AB606"/>
  <c r="AC606"/>
  <c r="AD606"/>
  <c r="W607"/>
  <c r="X607"/>
  <c r="Y607"/>
  <c r="Z607"/>
  <c r="AA607"/>
  <c r="AB607"/>
  <c r="AC607"/>
  <c r="AD607"/>
  <c r="W608"/>
  <c r="X608"/>
  <c r="Y608"/>
  <c r="Z608"/>
  <c r="AA608"/>
  <c r="AB608"/>
  <c r="AC608"/>
  <c r="AD608"/>
  <c r="W609"/>
  <c r="X609"/>
  <c r="Y609"/>
  <c r="Z609"/>
  <c r="AA609"/>
  <c r="AB609"/>
  <c r="AC609"/>
  <c r="AD609"/>
  <c r="W610"/>
  <c r="X610"/>
  <c r="Y610"/>
  <c r="Z610"/>
  <c r="AA610"/>
  <c r="AB610"/>
  <c r="AC610"/>
  <c r="AD610"/>
  <c r="W611"/>
  <c r="X611"/>
  <c r="Y611"/>
  <c r="Z611"/>
  <c r="AA611"/>
  <c r="AB611"/>
  <c r="AC611"/>
  <c r="AD611"/>
  <c r="W612"/>
  <c r="X612"/>
  <c r="Y612"/>
  <c r="Z612"/>
  <c r="AA612"/>
  <c r="AB612"/>
  <c r="AC612"/>
  <c r="AD612"/>
  <c r="W613"/>
  <c r="X613"/>
  <c r="Y613"/>
  <c r="Z613"/>
  <c r="AA613"/>
  <c r="AB613"/>
  <c r="AC613"/>
  <c r="AD613"/>
  <c r="W614"/>
  <c r="X614"/>
  <c r="Y614"/>
  <c r="Z614"/>
  <c r="AA614"/>
  <c r="AB614"/>
  <c r="AC614"/>
  <c r="AD614"/>
  <c r="W615"/>
  <c r="X615"/>
  <c r="Y615"/>
  <c r="Z615"/>
  <c r="AA615"/>
  <c r="AB615"/>
  <c r="AC615"/>
  <c r="AD615"/>
  <c r="W616"/>
  <c r="X616"/>
  <c r="Y616"/>
  <c r="Z616"/>
  <c r="AA616"/>
  <c r="AB616"/>
  <c r="AC616"/>
  <c r="AD616"/>
  <c r="W617"/>
  <c r="X617"/>
  <c r="Y617"/>
  <c r="Z617"/>
  <c r="AA617"/>
  <c r="AB617"/>
  <c r="AC617"/>
  <c r="AD617"/>
  <c r="W618"/>
  <c r="X618"/>
  <c r="Y618"/>
  <c r="Z618"/>
  <c r="AA618"/>
  <c r="AB618"/>
  <c r="AC618"/>
  <c r="AD618"/>
  <c r="W619"/>
  <c r="X619"/>
  <c r="Y619"/>
  <c r="Z619"/>
  <c r="AA619"/>
  <c r="AB619"/>
  <c r="AC619"/>
  <c r="AD619"/>
  <c r="W620"/>
  <c r="X620"/>
  <c r="Y620"/>
  <c r="Z620"/>
  <c r="AA620"/>
  <c r="AB620"/>
  <c r="AC620"/>
  <c r="AD620"/>
  <c r="W621"/>
  <c r="X621"/>
  <c r="Y621"/>
  <c r="Z621"/>
  <c r="AA621"/>
  <c r="AB621"/>
  <c r="AC621"/>
  <c r="AD621"/>
  <c r="W622"/>
  <c r="X622"/>
  <c r="Y622"/>
  <c r="Z622"/>
  <c r="AA622"/>
  <c r="AB622"/>
  <c r="AC622"/>
  <c r="AD622"/>
  <c r="W623"/>
  <c r="X623"/>
  <c r="Y623"/>
  <c r="Z623"/>
  <c r="AA623"/>
  <c r="AB623"/>
  <c r="AC623"/>
  <c r="AD623"/>
  <c r="W624"/>
  <c r="X624"/>
  <c r="Y624"/>
  <c r="Z624"/>
  <c r="AA624"/>
  <c r="AB624"/>
  <c r="AC624"/>
  <c r="AD624"/>
  <c r="W625"/>
  <c r="X625"/>
  <c r="Y625"/>
  <c r="Z625"/>
  <c r="AA625"/>
  <c r="AB625"/>
  <c r="AC625"/>
  <c r="AD625"/>
  <c r="W626"/>
  <c r="X626"/>
  <c r="Y626"/>
  <c r="Z626"/>
  <c r="AA626"/>
  <c r="AB626"/>
  <c r="AC626"/>
  <c r="AD626"/>
  <c r="W627"/>
  <c r="X627"/>
  <c r="Y627"/>
  <c r="Z627"/>
  <c r="AA627"/>
  <c r="AB627"/>
  <c r="AC627"/>
  <c r="AD627"/>
  <c r="W628"/>
  <c r="X628"/>
  <c r="Y628"/>
  <c r="Z628"/>
  <c r="AA628"/>
  <c r="AB628"/>
  <c r="AC628"/>
  <c r="AD628"/>
  <c r="W629"/>
  <c r="X629"/>
  <c r="Y629"/>
  <c r="Z629"/>
  <c r="AA629"/>
  <c r="AB629"/>
  <c r="AC629"/>
  <c r="AD629"/>
  <c r="W630"/>
  <c r="X630"/>
  <c r="Y630"/>
  <c r="Z630"/>
  <c r="AA630"/>
  <c r="AB630"/>
  <c r="AC630"/>
  <c r="AD630"/>
  <c r="W631"/>
  <c r="X631"/>
  <c r="Y631"/>
  <c r="Z631"/>
  <c r="AA631"/>
  <c r="AB631"/>
  <c r="AC631"/>
  <c r="AD631"/>
  <c r="W632"/>
  <c r="X632"/>
  <c r="Y632"/>
  <c r="Z632"/>
  <c r="AA632"/>
  <c r="AB632"/>
  <c r="AC632"/>
  <c r="AD632"/>
  <c r="W633"/>
  <c r="X633"/>
  <c r="Y633"/>
  <c r="Z633"/>
  <c r="AA633"/>
  <c r="AB633"/>
  <c r="AC633"/>
  <c r="AD633"/>
  <c r="W634"/>
  <c r="X634"/>
  <c r="Y634"/>
  <c r="Z634"/>
  <c r="AA634"/>
  <c r="AB634"/>
  <c r="AC634"/>
  <c r="AD634"/>
  <c r="W635"/>
  <c r="X635"/>
  <c r="Y635"/>
  <c r="Z635"/>
  <c r="AA635"/>
  <c r="AB635"/>
  <c r="AC635"/>
  <c r="AD635"/>
  <c r="W636"/>
  <c r="X636"/>
  <c r="Y636"/>
  <c r="Z636"/>
  <c r="AA636"/>
  <c r="AB636"/>
  <c r="AC636"/>
  <c r="AD636"/>
  <c r="W637"/>
  <c r="X637"/>
  <c r="Y637"/>
  <c r="Z637"/>
  <c r="AA637"/>
  <c r="AB637"/>
  <c r="AC637"/>
  <c r="AD637"/>
  <c r="W638"/>
  <c r="X638"/>
  <c r="Y638"/>
  <c r="Z638"/>
  <c r="AA638"/>
  <c r="AB638"/>
  <c r="AC638"/>
  <c r="AD638"/>
  <c r="W639"/>
  <c r="X639"/>
  <c r="Y639"/>
  <c r="Z639"/>
  <c r="AA639"/>
  <c r="AB639"/>
  <c r="AC639"/>
  <c r="AD639"/>
  <c r="W640"/>
  <c r="X640"/>
  <c r="Y640"/>
  <c r="Z640"/>
  <c r="AA640"/>
  <c r="AB640"/>
  <c r="AC640"/>
  <c r="AD640"/>
  <c r="W641"/>
  <c r="X641"/>
  <c r="Y641"/>
  <c r="Z641"/>
  <c r="AA641"/>
  <c r="AB641"/>
  <c r="AC641"/>
  <c r="AD641"/>
  <c r="W642"/>
  <c r="X642"/>
  <c r="Y642"/>
  <c r="Z642"/>
  <c r="AA642"/>
  <c r="AB642"/>
  <c r="AC642"/>
  <c r="AD642"/>
  <c r="W643"/>
  <c r="X643"/>
  <c r="Y643"/>
  <c r="Z643"/>
  <c r="AA643"/>
  <c r="AB643"/>
  <c r="AC643"/>
  <c r="AD643"/>
  <c r="W644"/>
  <c r="X644"/>
  <c r="Y644"/>
  <c r="Z644"/>
  <c r="AA644"/>
  <c r="AB644"/>
  <c r="AC644"/>
  <c r="AD644"/>
  <c r="W645"/>
  <c r="X645"/>
  <c r="Y645"/>
  <c r="Z645"/>
  <c r="AA645"/>
  <c r="AB645"/>
  <c r="AC645"/>
  <c r="AD645"/>
  <c r="W646"/>
  <c r="X646"/>
  <c r="Y646"/>
  <c r="Z646"/>
  <c r="AA646"/>
  <c r="AB646"/>
  <c r="AC646"/>
  <c r="AD646"/>
  <c r="W647"/>
  <c r="X647"/>
  <c r="Y647"/>
  <c r="Z647"/>
  <c r="AA647"/>
  <c r="AB647"/>
  <c r="AC647"/>
  <c r="AD647"/>
  <c r="W648"/>
  <c r="X648"/>
  <c r="Y648"/>
  <c r="Z648"/>
  <c r="AA648"/>
  <c r="AB648"/>
  <c r="AC648"/>
  <c r="AD648"/>
  <c r="W649"/>
  <c r="X649"/>
  <c r="Y649"/>
  <c r="Z649"/>
  <c r="AA649"/>
  <c r="AB649"/>
  <c r="AC649"/>
  <c r="AD649"/>
  <c r="W650"/>
  <c r="X650"/>
  <c r="Y650"/>
  <c r="Z650"/>
  <c r="AA650"/>
  <c r="AB650"/>
  <c r="AC650"/>
  <c r="AD650"/>
  <c r="W651"/>
  <c r="X651"/>
  <c r="Y651"/>
  <c r="Z651"/>
  <c r="AA651"/>
  <c r="AB651"/>
  <c r="AC651"/>
  <c r="AD651"/>
  <c r="W652"/>
  <c r="X652"/>
  <c r="Y652"/>
  <c r="Z652"/>
  <c r="AA652"/>
  <c r="AB652"/>
  <c r="AC652"/>
  <c r="AD652"/>
  <c r="W653"/>
  <c r="X653"/>
  <c r="Y653"/>
  <c r="Z653"/>
  <c r="AA653"/>
  <c r="AB653"/>
  <c r="AC653"/>
  <c r="AD653"/>
  <c r="W654"/>
  <c r="X654"/>
  <c r="Y654"/>
  <c r="Z654"/>
  <c r="AA654"/>
  <c r="AB654"/>
  <c r="AC654"/>
  <c r="AD654"/>
  <c r="W655"/>
  <c r="X655"/>
  <c r="Y655"/>
  <c r="Z655"/>
  <c r="AA655"/>
  <c r="AB655"/>
  <c r="AC655"/>
  <c r="AD655"/>
  <c r="W656"/>
  <c r="X656"/>
  <c r="Y656"/>
  <c r="Z656"/>
  <c r="AA656"/>
  <c r="AB656"/>
  <c r="AC656"/>
  <c r="AD656"/>
  <c r="W657"/>
  <c r="X657"/>
  <c r="Y657"/>
  <c r="Z657"/>
  <c r="AA657"/>
  <c r="AB657"/>
  <c r="AC657"/>
  <c r="AD657"/>
  <c r="W658"/>
  <c r="X658"/>
  <c r="Y658"/>
  <c r="Z658"/>
  <c r="AA658"/>
  <c r="AB658"/>
  <c r="AC658"/>
  <c r="AD658"/>
  <c r="W659"/>
  <c r="X659"/>
  <c r="Y659"/>
  <c r="Z659"/>
  <c r="AA659"/>
  <c r="AB659"/>
  <c r="AC659"/>
  <c r="AD659"/>
  <c r="W660"/>
  <c r="X660"/>
  <c r="Y660"/>
  <c r="Z660"/>
  <c r="AA660"/>
  <c r="AB660"/>
  <c r="AC660"/>
  <c r="AD660"/>
  <c r="W661"/>
  <c r="X661"/>
  <c r="Y661"/>
  <c r="Z661"/>
  <c r="AA661"/>
  <c r="AB661"/>
  <c r="AC661"/>
  <c r="AD661"/>
  <c r="W662"/>
  <c r="X662"/>
  <c r="Y662"/>
  <c r="Z662"/>
  <c r="AA662"/>
  <c r="AB662"/>
  <c r="AC662"/>
  <c r="AD662"/>
  <c r="W663"/>
  <c r="X663"/>
  <c r="Y663"/>
  <c r="Z663"/>
  <c r="AA663"/>
  <c r="AB663"/>
  <c r="AC663"/>
  <c r="AD663"/>
  <c r="W664"/>
  <c r="X664"/>
  <c r="Y664"/>
  <c r="Z664"/>
  <c r="AA664"/>
  <c r="AB664"/>
  <c r="AC664"/>
  <c r="AD664"/>
  <c r="W665"/>
  <c r="X665"/>
  <c r="Y665"/>
  <c r="Z665"/>
  <c r="AA665"/>
  <c r="AB665"/>
  <c r="AC665"/>
  <c r="AD665"/>
  <c r="W666"/>
  <c r="X666"/>
  <c r="Y666"/>
  <c r="Z666"/>
  <c r="AA666"/>
  <c r="AB666"/>
  <c r="AC666"/>
  <c r="AD666"/>
  <c r="W667"/>
  <c r="X667"/>
  <c r="Y667"/>
  <c r="Z667"/>
  <c r="AA667"/>
  <c r="AB667"/>
  <c r="AC667"/>
  <c r="AD667"/>
  <c r="W668"/>
  <c r="X668"/>
  <c r="Y668"/>
  <c r="Z668"/>
  <c r="AA668"/>
  <c r="AB668"/>
  <c r="AC668"/>
  <c r="AD668"/>
  <c r="W669"/>
  <c r="X669"/>
  <c r="Y669"/>
  <c r="Z669"/>
  <c r="AA669"/>
  <c r="AB669"/>
  <c r="AC669"/>
  <c r="AD669"/>
  <c r="W670"/>
  <c r="X670"/>
  <c r="Y670"/>
  <c r="Z670"/>
  <c r="AA670"/>
  <c r="AB670"/>
  <c r="AC670"/>
  <c r="AD670"/>
  <c r="W671"/>
  <c r="X671"/>
  <c r="Y671"/>
  <c r="Z671"/>
  <c r="AA671"/>
  <c r="AB671"/>
  <c r="AC671"/>
  <c r="AD671"/>
  <c r="W672"/>
  <c r="X672"/>
  <c r="Y672"/>
  <c r="Z672"/>
  <c r="AA672"/>
  <c r="AB672"/>
  <c r="AC672"/>
  <c r="AD672"/>
  <c r="W673"/>
  <c r="X673"/>
  <c r="Y673"/>
  <c r="Z673"/>
  <c r="AA673"/>
  <c r="AB673"/>
  <c r="AC673"/>
  <c r="AD673"/>
  <c r="W674"/>
  <c r="X674"/>
  <c r="Y674"/>
  <c r="Z674"/>
  <c r="AA674"/>
  <c r="AB674"/>
  <c r="AC674"/>
  <c r="AD674"/>
  <c r="W675"/>
  <c r="X675"/>
  <c r="Y675"/>
  <c r="Z675"/>
  <c r="AA675"/>
  <c r="AB675"/>
  <c r="AC675"/>
  <c r="AD675"/>
  <c r="W676"/>
  <c r="X676"/>
  <c r="Y676"/>
  <c r="Z676"/>
  <c r="AA676"/>
  <c r="AB676"/>
  <c r="AC676"/>
  <c r="AD676"/>
  <c r="W677"/>
  <c r="X677"/>
  <c r="Y677"/>
  <c r="Z677"/>
  <c r="AA677"/>
  <c r="AB677"/>
  <c r="AC677"/>
  <c r="AD677"/>
  <c r="W678"/>
  <c r="X678"/>
  <c r="Y678"/>
  <c r="Z678"/>
  <c r="AA678"/>
  <c r="AB678"/>
  <c r="AC678"/>
  <c r="AD678"/>
  <c r="W679"/>
  <c r="X679"/>
  <c r="Y679"/>
  <c r="Z679"/>
  <c r="AA679"/>
  <c r="AB679"/>
  <c r="AC679"/>
  <c r="AD679"/>
  <c r="W680"/>
  <c r="X680"/>
  <c r="Y680"/>
  <c r="Z680"/>
  <c r="AA680"/>
  <c r="AB680"/>
  <c r="AC680"/>
  <c r="AD680"/>
  <c r="W681"/>
  <c r="X681"/>
  <c r="Y681"/>
  <c r="Z681"/>
  <c r="AA681"/>
  <c r="AB681"/>
  <c r="AC681"/>
  <c r="AD681"/>
  <c r="W682"/>
  <c r="X682"/>
  <c r="Y682"/>
  <c r="Z682"/>
  <c r="AA682"/>
  <c r="AB682"/>
  <c r="AC682"/>
  <c r="AD682"/>
  <c r="W683"/>
  <c r="X683"/>
  <c r="Y683"/>
  <c r="Z683"/>
  <c r="AA683"/>
  <c r="AB683"/>
  <c r="AC683"/>
  <c r="AD683"/>
  <c r="W684"/>
  <c r="X684"/>
  <c r="Y684"/>
  <c r="Z684"/>
  <c r="AA684"/>
  <c r="AB684"/>
  <c r="AC684"/>
  <c r="AD684"/>
  <c r="W685"/>
  <c r="X685"/>
  <c r="Y685"/>
  <c r="Z685"/>
  <c r="AA685"/>
  <c r="AB685"/>
  <c r="AC685"/>
  <c r="AD685"/>
  <c r="W686"/>
  <c r="X686"/>
  <c r="Y686"/>
  <c r="Z686"/>
  <c r="AA686"/>
  <c r="AB686"/>
  <c r="AC686"/>
  <c r="AD686"/>
  <c r="W687"/>
  <c r="X687"/>
  <c r="Y687"/>
  <c r="Z687"/>
  <c r="AA687"/>
  <c r="AB687"/>
  <c r="AC687"/>
  <c r="AD687"/>
  <c r="W688"/>
  <c r="X688"/>
  <c r="Y688"/>
  <c r="Z688"/>
  <c r="AA688"/>
  <c r="AB688"/>
  <c r="AC688"/>
  <c r="AD688"/>
  <c r="W689"/>
  <c r="X689"/>
  <c r="Y689"/>
  <c r="Z689"/>
  <c r="AA689"/>
  <c r="AB689"/>
  <c r="AC689"/>
  <c r="AD689"/>
  <c r="W690"/>
  <c r="X690"/>
  <c r="Y690"/>
  <c r="Z690"/>
  <c r="AA690"/>
  <c r="AB690"/>
  <c r="AC690"/>
  <c r="AD690"/>
  <c r="W691"/>
  <c r="X691"/>
  <c r="Y691"/>
  <c r="Z691"/>
  <c r="AA691"/>
  <c r="AB691"/>
  <c r="AC691"/>
  <c r="AD691"/>
  <c r="W692"/>
  <c r="X692"/>
  <c r="Y692"/>
  <c r="Z692"/>
  <c r="AA692"/>
  <c r="AB692"/>
  <c r="AC692"/>
  <c r="AD692"/>
  <c r="W693"/>
  <c r="X693"/>
  <c r="Y693"/>
  <c r="Z693"/>
  <c r="AA693"/>
  <c r="AB693"/>
  <c r="AC693"/>
  <c r="AD693"/>
  <c r="W694"/>
  <c r="X694"/>
  <c r="Y694"/>
  <c r="Z694"/>
  <c r="AA694"/>
  <c r="AB694"/>
  <c r="AC694"/>
  <c r="AD694"/>
  <c r="W695"/>
  <c r="X695"/>
  <c r="Y695"/>
  <c r="Z695"/>
  <c r="AA695"/>
  <c r="AB695"/>
  <c r="AC695"/>
  <c r="AD695"/>
  <c r="W696"/>
  <c r="X696"/>
  <c r="Y696"/>
  <c r="Z696"/>
  <c r="AA696"/>
  <c r="AB696"/>
  <c r="AC696"/>
  <c r="AD696"/>
  <c r="W697"/>
  <c r="X697"/>
  <c r="Y697"/>
  <c r="Z697"/>
  <c r="AA697"/>
  <c r="AB697"/>
  <c r="AC697"/>
  <c r="AD697"/>
  <c r="W698"/>
  <c r="X698"/>
  <c r="Y698"/>
  <c r="Z698"/>
  <c r="AA698"/>
  <c r="AB698"/>
  <c r="AC698"/>
  <c r="AD698"/>
  <c r="W699"/>
  <c r="X699"/>
  <c r="Y699"/>
  <c r="Z699"/>
  <c r="AA699"/>
  <c r="AB699"/>
  <c r="AC699"/>
  <c r="AD699"/>
  <c r="W700"/>
  <c r="X700"/>
  <c r="Y700"/>
  <c r="Z700"/>
  <c r="AA700"/>
  <c r="AB700"/>
  <c r="AC700"/>
  <c r="AD700"/>
  <c r="W701"/>
  <c r="X701"/>
  <c r="Y701"/>
  <c r="Z701"/>
  <c r="AA701"/>
  <c r="AB701"/>
  <c r="AC701"/>
  <c r="AD701"/>
  <c r="W702"/>
  <c r="X702"/>
  <c r="Y702"/>
  <c r="Z702"/>
  <c r="AA702"/>
  <c r="AB702"/>
  <c r="AC702"/>
  <c r="AD702"/>
  <c r="W703"/>
  <c r="X703"/>
  <c r="Y703"/>
  <c r="Z703"/>
  <c r="AA703"/>
  <c r="AB703"/>
  <c r="AC703"/>
  <c r="AD703"/>
  <c r="W704"/>
  <c r="X704"/>
  <c r="Y704"/>
  <c r="Z704"/>
  <c r="AA704"/>
  <c r="AB704"/>
  <c r="AC704"/>
  <c r="AD704"/>
  <c r="W705"/>
  <c r="X705"/>
  <c r="Y705"/>
  <c r="Z705"/>
  <c r="AA705"/>
  <c r="AB705"/>
  <c r="AC705"/>
  <c r="AD705"/>
  <c r="W706"/>
  <c r="X706"/>
  <c r="Y706"/>
  <c r="Z706"/>
  <c r="AA706"/>
  <c r="AB706"/>
  <c r="AC706"/>
  <c r="AD706"/>
  <c r="W707"/>
  <c r="X707"/>
  <c r="Y707"/>
  <c r="Z707"/>
  <c r="AA707"/>
  <c r="AB707"/>
  <c r="AC707"/>
  <c r="AD707"/>
  <c r="W708"/>
  <c r="X708"/>
  <c r="Y708"/>
  <c r="Z708"/>
  <c r="AA708"/>
  <c r="AB708"/>
  <c r="AC708"/>
  <c r="AD708"/>
  <c r="W709"/>
  <c r="X709"/>
  <c r="Y709"/>
  <c r="Z709"/>
  <c r="AA709"/>
  <c r="AB709"/>
  <c r="AC709"/>
  <c r="AD709"/>
  <c r="W710"/>
  <c r="X710"/>
  <c r="Y710"/>
  <c r="Z710"/>
  <c r="AA710"/>
  <c r="AB710"/>
  <c r="AC710"/>
  <c r="AD710"/>
  <c r="W711"/>
  <c r="X711"/>
  <c r="Y711"/>
  <c r="Z711"/>
  <c r="AA711"/>
  <c r="AB711"/>
  <c r="AC711"/>
  <c r="AD711"/>
  <c r="W712"/>
  <c r="X712"/>
  <c r="Y712"/>
  <c r="Z712"/>
  <c r="AA712"/>
  <c r="AB712"/>
  <c r="AC712"/>
  <c r="AD712"/>
  <c r="W713"/>
  <c r="X713"/>
  <c r="Y713"/>
  <c r="Z713"/>
  <c r="AA713"/>
  <c r="AB713"/>
  <c r="AC713"/>
  <c r="AD713"/>
  <c r="W714"/>
  <c r="X714"/>
  <c r="Y714"/>
  <c r="Z714"/>
  <c r="AA714"/>
  <c r="AB714"/>
  <c r="AC714"/>
  <c r="AD714"/>
  <c r="W715"/>
  <c r="X715"/>
  <c r="Y715"/>
  <c r="Z715"/>
  <c r="AA715"/>
  <c r="AB715"/>
  <c r="AC715"/>
  <c r="AD715"/>
  <c r="W716"/>
  <c r="X716"/>
  <c r="Y716"/>
  <c r="Z716"/>
  <c r="AA716"/>
  <c r="AB716"/>
  <c r="AC716"/>
  <c r="AD716"/>
  <c r="W717"/>
  <c r="X717"/>
  <c r="Y717"/>
  <c r="Z717"/>
  <c r="AA717"/>
  <c r="AB717"/>
  <c r="AC717"/>
  <c r="AD717"/>
  <c r="W718"/>
  <c r="X718"/>
  <c r="Y718"/>
  <c r="Z718"/>
  <c r="AA718"/>
  <c r="AB718"/>
  <c r="AC718"/>
  <c r="AD718"/>
  <c r="W719"/>
  <c r="X719"/>
  <c r="Y719"/>
  <c r="Z719"/>
  <c r="AA719"/>
  <c r="AB719"/>
  <c r="AC719"/>
  <c r="AD719"/>
  <c r="W720"/>
  <c r="X720"/>
  <c r="Y720"/>
  <c r="Z720"/>
  <c r="AA720"/>
  <c r="AB720"/>
  <c r="AC720"/>
  <c r="AD720"/>
  <c r="W721"/>
  <c r="X721"/>
  <c r="Y721"/>
  <c r="Z721"/>
  <c r="AA721"/>
  <c r="AB721"/>
  <c r="AC721"/>
  <c r="AD721"/>
  <c r="W722"/>
  <c r="X722"/>
  <c r="Y722"/>
  <c r="Z722"/>
  <c r="AA722"/>
  <c r="AB722"/>
  <c r="AC722"/>
  <c r="AD722"/>
  <c r="W723"/>
  <c r="X723"/>
  <c r="Y723"/>
  <c r="Z723"/>
  <c r="AA723"/>
  <c r="AB723"/>
  <c r="AC723"/>
  <c r="AD723"/>
  <c r="W724"/>
  <c r="X724"/>
  <c r="Y724"/>
  <c r="Z724"/>
  <c r="AA724"/>
  <c r="AB724"/>
  <c r="AC724"/>
  <c r="AD724"/>
  <c r="W725"/>
  <c r="X725"/>
  <c r="Y725"/>
  <c r="Z725"/>
  <c r="AA725"/>
  <c r="AB725"/>
  <c r="AC725"/>
  <c r="AD725"/>
  <c r="W726"/>
  <c r="X726"/>
  <c r="Y726"/>
  <c r="Z726"/>
  <c r="AA726"/>
  <c r="AB726"/>
  <c r="AC726"/>
  <c r="AD726"/>
  <c r="W727"/>
  <c r="X727"/>
  <c r="Y727"/>
  <c r="Z727"/>
  <c r="AA727"/>
  <c r="AB727"/>
  <c r="AC727"/>
  <c r="AD727"/>
  <c r="W728"/>
  <c r="X728"/>
  <c r="Y728"/>
  <c r="Z728"/>
  <c r="AA728"/>
  <c r="AB728"/>
  <c r="AC728"/>
  <c r="AD728"/>
  <c r="W729"/>
  <c r="X729"/>
  <c r="Y729"/>
  <c r="Z729"/>
  <c r="AA729"/>
  <c r="AB729"/>
  <c r="AC729"/>
  <c r="AD729"/>
  <c r="W730"/>
  <c r="X730"/>
  <c r="Y730"/>
  <c r="Z730"/>
  <c r="AA730"/>
  <c r="AB730"/>
  <c r="AC730"/>
  <c r="AD730"/>
  <c r="W731"/>
  <c r="X731"/>
  <c r="Y731"/>
  <c r="Z731"/>
  <c r="AA731"/>
  <c r="AB731"/>
  <c r="AC731"/>
  <c r="AD731"/>
  <c r="W732"/>
  <c r="X732"/>
  <c r="Y732"/>
  <c r="Z732"/>
  <c r="AA732"/>
  <c r="AB732"/>
  <c r="AC732"/>
  <c r="AD732"/>
  <c r="W733"/>
  <c r="X733"/>
  <c r="Y733"/>
  <c r="Z733"/>
  <c r="AA733"/>
  <c r="AB733"/>
  <c r="AC733"/>
  <c r="AD733"/>
  <c r="W734"/>
  <c r="X734"/>
  <c r="Y734"/>
  <c r="Z734"/>
  <c r="AA734"/>
  <c r="AB734"/>
  <c r="AC734"/>
  <c r="AD734"/>
  <c r="W735"/>
  <c r="X735"/>
  <c r="Y735"/>
  <c r="Z735"/>
  <c r="AA735"/>
  <c r="AB735"/>
  <c r="AC735"/>
  <c r="AD735"/>
  <c r="W736"/>
  <c r="X736"/>
  <c r="Y736"/>
  <c r="Z736"/>
  <c r="AA736"/>
  <c r="AB736"/>
  <c r="AC736"/>
  <c r="AD736"/>
  <c r="W737"/>
  <c r="X737"/>
  <c r="Y737"/>
  <c r="Z737"/>
  <c r="AA737"/>
  <c r="AB737"/>
  <c r="AC737"/>
  <c r="AD737"/>
  <c r="W738"/>
  <c r="X738"/>
  <c r="Y738"/>
  <c r="Z738"/>
  <c r="AA738"/>
  <c r="AB738"/>
  <c r="AC738"/>
  <c r="AD738"/>
  <c r="W739"/>
  <c r="X739"/>
  <c r="Y739"/>
  <c r="Z739"/>
  <c r="AA739"/>
  <c r="AB739"/>
  <c r="AC739"/>
  <c r="AD739"/>
  <c r="W740"/>
  <c r="X740"/>
  <c r="Y740"/>
  <c r="Z740"/>
  <c r="AA740"/>
  <c r="AB740"/>
  <c r="AC740"/>
  <c r="AD740"/>
  <c r="W741"/>
  <c r="X741"/>
  <c r="Y741"/>
  <c r="Z741"/>
  <c r="AA741"/>
  <c r="AB741"/>
  <c r="AC741"/>
  <c r="AD741"/>
  <c r="W742"/>
  <c r="X742"/>
  <c r="Y742"/>
  <c r="Z742"/>
  <c r="AA742"/>
  <c r="AB742"/>
  <c r="AC742"/>
  <c r="AD742"/>
  <c r="W743"/>
  <c r="X743"/>
  <c r="Y743"/>
  <c r="Z743"/>
  <c r="AA743"/>
  <c r="AB743"/>
  <c r="AC743"/>
  <c r="AD743"/>
  <c r="W744"/>
  <c r="X744"/>
  <c r="Y744"/>
  <c r="Z744"/>
  <c r="AA744"/>
  <c r="AB744"/>
  <c r="AC744"/>
  <c r="AD744"/>
  <c r="W745"/>
  <c r="X745"/>
  <c r="Y745"/>
  <c r="Z745"/>
  <c r="AA745"/>
  <c r="AB745"/>
  <c r="AC745"/>
  <c r="AD745"/>
  <c r="W746"/>
  <c r="X746"/>
  <c r="Y746"/>
  <c r="Z746"/>
  <c r="AA746"/>
  <c r="AB746"/>
  <c r="AC746"/>
  <c r="AD746"/>
  <c r="W747"/>
  <c r="X747"/>
  <c r="Y747"/>
  <c r="Z747"/>
  <c r="AA747"/>
  <c r="AB747"/>
  <c r="AC747"/>
  <c r="AD747"/>
  <c r="W748"/>
  <c r="X748"/>
  <c r="Y748"/>
  <c r="Z748"/>
  <c r="AA748"/>
  <c r="AB748"/>
  <c r="AC748"/>
  <c r="AD748"/>
  <c r="W749"/>
  <c r="X749"/>
  <c r="Y749"/>
  <c r="Z749"/>
  <c r="AA749"/>
  <c r="AB749"/>
  <c r="AC749"/>
  <c r="AD749"/>
  <c r="W750"/>
  <c r="X750"/>
  <c r="Y750"/>
  <c r="Z750"/>
  <c r="AA750"/>
  <c r="AB750"/>
  <c r="AC750"/>
  <c r="AD750"/>
  <c r="W751"/>
  <c r="X751"/>
  <c r="Y751"/>
  <c r="Z751"/>
  <c r="AA751"/>
  <c r="AB751"/>
  <c r="AC751"/>
  <c r="AD751"/>
  <c r="W752"/>
  <c r="X752"/>
  <c r="Y752"/>
  <c r="Z752"/>
  <c r="AA752"/>
  <c r="AB752"/>
  <c r="AC752"/>
  <c r="AD752"/>
  <c r="W753"/>
  <c r="X753"/>
  <c r="Y753"/>
  <c r="Z753"/>
  <c r="AA753"/>
  <c r="AB753"/>
  <c r="AC753"/>
  <c r="AD753"/>
  <c r="W754"/>
  <c r="X754"/>
  <c r="Y754"/>
  <c r="Z754"/>
  <c r="AA754"/>
  <c r="AB754"/>
  <c r="AC754"/>
  <c r="AD754"/>
  <c r="W755"/>
  <c r="X755"/>
  <c r="Y755"/>
  <c r="Z755"/>
  <c r="AA755"/>
  <c r="AB755"/>
  <c r="AC755"/>
  <c r="AD755"/>
  <c r="W756"/>
  <c r="X756"/>
  <c r="Y756"/>
  <c r="Z756"/>
  <c r="AA756"/>
  <c r="AB756"/>
  <c r="AC756"/>
  <c r="AD756"/>
  <c r="W757"/>
  <c r="X757"/>
  <c r="Y757"/>
  <c r="Z757"/>
  <c r="AA757"/>
  <c r="AB757"/>
  <c r="AC757"/>
  <c r="AD757"/>
  <c r="W758"/>
  <c r="X758"/>
  <c r="Y758"/>
  <c r="Z758"/>
  <c r="AA758"/>
  <c r="AB758"/>
  <c r="AC758"/>
  <c r="AD758"/>
  <c r="W759"/>
  <c r="X759"/>
  <c r="Y759"/>
  <c r="Z759"/>
  <c r="AA759"/>
  <c r="AB759"/>
  <c r="AC759"/>
  <c r="AD759"/>
  <c r="W760"/>
  <c r="X760"/>
  <c r="Y760"/>
  <c r="Z760"/>
  <c r="AA760"/>
  <c r="AB760"/>
  <c r="AC760"/>
  <c r="AD760"/>
  <c r="W761"/>
  <c r="X761"/>
  <c r="Y761"/>
  <c r="Z761"/>
  <c r="AA761"/>
  <c r="AB761"/>
  <c r="AC761"/>
  <c r="AD761"/>
  <c r="W762"/>
  <c r="X762"/>
  <c r="Y762"/>
  <c r="Z762"/>
  <c r="AA762"/>
  <c r="AB762"/>
  <c r="AC762"/>
  <c r="AD762"/>
  <c r="W763"/>
  <c r="X763"/>
  <c r="Y763"/>
  <c r="Z763"/>
  <c r="AA763"/>
  <c r="AB763"/>
  <c r="AC763"/>
  <c r="AD763"/>
  <c r="W764"/>
  <c r="X764"/>
  <c r="Y764"/>
  <c r="Z764"/>
  <c r="AA764"/>
  <c r="AB764"/>
  <c r="AC764"/>
  <c r="AD764"/>
  <c r="W765"/>
  <c r="X765"/>
  <c r="Y765"/>
  <c r="Z765"/>
  <c r="AA765"/>
  <c r="AB765"/>
  <c r="AC765"/>
  <c r="AD765"/>
  <c r="W766"/>
  <c r="X766"/>
  <c r="Y766"/>
  <c r="Z766"/>
  <c r="AA766"/>
  <c r="AB766"/>
  <c r="AC766"/>
  <c r="AD766"/>
  <c r="W767"/>
  <c r="X767"/>
  <c r="Y767"/>
  <c r="Z767"/>
  <c r="AA767"/>
  <c r="AB767"/>
  <c r="AC767"/>
  <c r="AD767"/>
  <c r="W768"/>
  <c r="X768"/>
  <c r="Y768"/>
  <c r="Z768"/>
  <c r="AA768"/>
  <c r="AB768"/>
  <c r="AC768"/>
  <c r="AD768"/>
  <c r="W769"/>
  <c r="X769"/>
  <c r="Y769"/>
  <c r="Z769"/>
  <c r="AA769"/>
  <c r="AB769"/>
  <c r="AC769"/>
  <c r="AD769"/>
  <c r="W770"/>
  <c r="X770"/>
  <c r="Y770"/>
  <c r="Z770"/>
  <c r="AA770"/>
  <c r="AB770"/>
  <c r="AC770"/>
  <c r="AD770"/>
  <c r="W771"/>
  <c r="X771"/>
  <c r="Y771"/>
  <c r="Z771"/>
  <c r="AA771"/>
  <c r="AB771"/>
  <c r="AC771"/>
  <c r="AD771"/>
  <c r="W772"/>
  <c r="X772"/>
  <c r="Y772"/>
  <c r="Z772"/>
  <c r="AA772"/>
  <c r="AB772"/>
  <c r="AC772"/>
  <c r="AD772"/>
  <c r="W773"/>
  <c r="X773"/>
  <c r="Y773"/>
  <c r="Z773"/>
  <c r="AA773"/>
  <c r="AB773"/>
  <c r="AC773"/>
  <c r="AD773"/>
  <c r="W774"/>
  <c r="X774"/>
  <c r="Y774"/>
  <c r="Z774"/>
  <c r="AA774"/>
  <c r="AB774"/>
  <c r="AC774"/>
  <c r="AD774"/>
  <c r="W775"/>
  <c r="X775"/>
  <c r="Y775"/>
  <c r="Z775"/>
  <c r="AA775"/>
  <c r="AB775"/>
  <c r="AC775"/>
  <c r="AD775"/>
  <c r="W776"/>
  <c r="X776"/>
  <c r="Y776"/>
  <c r="Z776"/>
  <c r="AA776"/>
  <c r="AB776"/>
  <c r="AC776"/>
  <c r="AD776"/>
  <c r="W777"/>
  <c r="X777"/>
  <c r="Y777"/>
  <c r="Z777"/>
  <c r="AA777"/>
  <c r="AB777"/>
  <c r="AC777"/>
  <c r="AD777"/>
  <c r="W778"/>
  <c r="X778"/>
  <c r="Y778"/>
  <c r="Z778"/>
  <c r="AA778"/>
  <c r="AB778"/>
  <c r="AC778"/>
  <c r="AD778"/>
  <c r="W779"/>
  <c r="X779"/>
  <c r="Y779"/>
  <c r="Z779"/>
  <c r="AA779"/>
  <c r="AB779"/>
  <c r="AC779"/>
  <c r="AD779"/>
  <c r="W780"/>
  <c r="X780"/>
  <c r="Y780"/>
  <c r="Z780"/>
  <c r="AA780"/>
  <c r="AB780"/>
  <c r="AC780"/>
  <c r="AD780"/>
  <c r="W781"/>
  <c r="X781"/>
  <c r="Y781"/>
  <c r="Z781"/>
  <c r="AA781"/>
  <c r="AB781"/>
  <c r="AC781"/>
  <c r="AD781"/>
  <c r="W782"/>
  <c r="X782"/>
  <c r="Y782"/>
  <c r="Z782"/>
  <c r="AA782"/>
  <c r="AB782"/>
  <c r="AC782"/>
  <c r="AD782"/>
  <c r="W783"/>
  <c r="X783"/>
  <c r="Y783"/>
  <c r="Z783"/>
  <c r="AA783"/>
  <c r="AB783"/>
  <c r="AC783"/>
  <c r="AD783"/>
  <c r="W784"/>
  <c r="X784"/>
  <c r="Y784"/>
  <c r="Z784"/>
  <c r="AA784"/>
  <c r="AB784"/>
  <c r="AC784"/>
  <c r="AD784"/>
  <c r="W785"/>
  <c r="X785"/>
  <c r="Y785"/>
  <c r="Z785"/>
  <c r="AA785"/>
  <c r="AB785"/>
  <c r="AC785"/>
  <c r="AD785"/>
  <c r="W786"/>
  <c r="X786"/>
  <c r="Y786"/>
  <c r="Z786"/>
  <c r="AA786"/>
  <c r="AB786"/>
  <c r="AC786"/>
  <c r="AD786"/>
  <c r="W787"/>
  <c r="X787"/>
  <c r="Y787"/>
  <c r="Z787"/>
  <c r="AA787"/>
  <c r="AB787"/>
  <c r="AC787"/>
  <c r="AD787"/>
  <c r="W788"/>
  <c r="X788"/>
  <c r="Y788"/>
  <c r="Z788"/>
  <c r="AA788"/>
  <c r="AB788"/>
  <c r="AC788"/>
  <c r="AD788"/>
  <c r="W789"/>
  <c r="X789"/>
  <c r="Y789"/>
  <c r="Z789"/>
  <c r="AA789"/>
  <c r="AB789"/>
  <c r="AC789"/>
  <c r="AD789"/>
  <c r="W790"/>
  <c r="X790"/>
  <c r="Y790"/>
  <c r="Z790"/>
  <c r="AA790"/>
  <c r="AB790"/>
  <c r="AC790"/>
  <c r="AD790"/>
  <c r="W791"/>
  <c r="X791"/>
  <c r="Y791"/>
  <c r="Z791"/>
  <c r="AA791"/>
  <c r="AB791"/>
  <c r="AC791"/>
  <c r="AD791"/>
  <c r="W792"/>
  <c r="X792"/>
  <c r="Y792"/>
  <c r="Z792"/>
  <c r="AA792"/>
  <c r="AB792"/>
  <c r="AC792"/>
  <c r="AD792"/>
  <c r="W793"/>
  <c r="X793"/>
  <c r="Y793"/>
  <c r="Z793"/>
  <c r="AA793"/>
  <c r="AB793"/>
  <c r="AC793"/>
  <c r="AD793"/>
  <c r="W794"/>
  <c r="X794"/>
  <c r="Y794"/>
  <c r="Z794"/>
  <c r="AA794"/>
  <c r="AB794"/>
  <c r="AC794"/>
  <c r="AD794"/>
  <c r="W795"/>
  <c r="X795"/>
  <c r="Y795"/>
  <c r="Z795"/>
  <c r="AA795"/>
  <c r="AB795"/>
  <c r="AC795"/>
  <c r="AD795"/>
  <c r="W796"/>
  <c r="X796"/>
  <c r="Y796"/>
  <c r="Z796"/>
  <c r="AA796"/>
  <c r="AB796"/>
  <c r="AC796"/>
  <c r="AD796"/>
  <c r="W797"/>
  <c r="X797"/>
  <c r="Y797"/>
  <c r="Z797"/>
  <c r="AA797"/>
  <c r="AB797"/>
  <c r="AC797"/>
  <c r="AD797"/>
  <c r="W798"/>
  <c r="X798"/>
  <c r="Y798"/>
  <c r="Z798"/>
  <c r="AA798"/>
  <c r="AB798"/>
  <c r="AC798"/>
  <c r="AD798"/>
  <c r="W799"/>
  <c r="X799"/>
  <c r="Y799"/>
  <c r="Z799"/>
  <c r="AA799"/>
  <c r="AB799"/>
  <c r="AC799"/>
  <c r="AD799"/>
  <c r="W800"/>
  <c r="X800"/>
  <c r="Y800"/>
  <c r="Z800"/>
  <c r="AA800"/>
  <c r="AB800"/>
  <c r="AC800"/>
  <c r="AD800"/>
  <c r="W801"/>
  <c r="X801"/>
  <c r="Y801"/>
  <c r="Z801"/>
  <c r="AA801"/>
  <c r="AB801"/>
  <c r="AC801"/>
  <c r="AD801"/>
  <c r="W802"/>
  <c r="X802"/>
  <c r="Y802"/>
  <c r="Z802"/>
  <c r="AA802"/>
  <c r="AB802"/>
  <c r="AC802"/>
  <c r="AD802"/>
  <c r="W803"/>
  <c r="X803"/>
  <c r="Y803"/>
  <c r="Z803"/>
  <c r="AA803"/>
  <c r="AB803"/>
  <c r="AC803"/>
  <c r="AD803"/>
  <c r="W804"/>
  <c r="X804"/>
  <c r="Y804"/>
  <c r="Z804"/>
  <c r="AA804"/>
  <c r="AB804"/>
  <c r="AC804"/>
  <c r="AD804"/>
  <c r="W805"/>
  <c r="X805"/>
  <c r="Y805"/>
  <c r="Z805"/>
  <c r="AA805"/>
  <c r="AB805"/>
  <c r="AC805"/>
  <c r="AD805"/>
  <c r="W806"/>
  <c r="X806"/>
  <c r="Y806"/>
  <c r="Z806"/>
  <c r="AA806"/>
  <c r="AB806"/>
  <c r="AC806"/>
  <c r="AD806"/>
  <c r="W807"/>
  <c r="X807"/>
  <c r="Y807"/>
  <c r="Z807"/>
  <c r="AA807"/>
  <c r="AB807"/>
  <c r="AC807"/>
  <c r="AD807"/>
  <c r="W808"/>
  <c r="X808"/>
  <c r="Y808"/>
  <c r="Z808"/>
  <c r="AA808"/>
  <c r="AB808"/>
  <c r="AC808"/>
  <c r="AD808"/>
  <c r="W809"/>
  <c r="X809"/>
  <c r="Y809"/>
  <c r="Z809"/>
  <c r="AA809"/>
  <c r="AB809"/>
  <c r="AC809"/>
  <c r="AD809"/>
  <c r="W810"/>
  <c r="X810"/>
  <c r="Y810"/>
  <c r="Z810"/>
  <c r="AA810"/>
  <c r="AB810"/>
  <c r="AC810"/>
  <c r="AD810"/>
  <c r="W811"/>
  <c r="X811"/>
  <c r="Y811"/>
  <c r="Z811"/>
  <c r="AA811"/>
  <c r="AB811"/>
  <c r="AC811"/>
  <c r="AD811"/>
  <c r="W812"/>
  <c r="X812"/>
  <c r="Y812"/>
  <c r="Z812"/>
  <c r="AA812"/>
  <c r="AB812"/>
  <c r="AC812"/>
  <c r="AD812"/>
  <c r="W813"/>
  <c r="X813"/>
  <c r="Y813"/>
  <c r="Z813"/>
  <c r="AA813"/>
  <c r="AB813"/>
  <c r="AC813"/>
  <c r="AD813"/>
  <c r="W814"/>
  <c r="X814"/>
  <c r="Y814"/>
  <c r="Z814"/>
  <c r="AA814"/>
  <c r="AB814"/>
  <c r="AC814"/>
  <c r="AD814"/>
  <c r="W815"/>
  <c r="X815"/>
  <c r="Y815"/>
  <c r="Z815"/>
  <c r="AA815"/>
  <c r="AB815"/>
  <c r="AC815"/>
  <c r="AD815"/>
  <c r="W816"/>
  <c r="X816"/>
  <c r="Y816"/>
  <c r="Z816"/>
  <c r="AA816"/>
  <c r="AB816"/>
  <c r="AC816"/>
  <c r="AD816"/>
  <c r="W817"/>
  <c r="X817"/>
  <c r="Y817"/>
  <c r="Z817"/>
  <c r="AA817"/>
  <c r="AB817"/>
  <c r="AC817"/>
  <c r="AD817"/>
  <c r="W818"/>
  <c r="X818"/>
  <c r="Y818"/>
  <c r="Z818"/>
  <c r="AA818"/>
  <c r="AB818"/>
  <c r="AC818"/>
  <c r="AD818"/>
  <c r="W819"/>
  <c r="X819"/>
  <c r="Y819"/>
  <c r="Z819"/>
  <c r="AA819"/>
  <c r="AB819"/>
  <c r="AC819"/>
  <c r="AD819"/>
  <c r="W820"/>
  <c r="X820"/>
  <c r="Y820"/>
  <c r="Z820"/>
  <c r="AA820"/>
  <c r="AB820"/>
  <c r="AC820"/>
  <c r="AD820"/>
  <c r="W821"/>
  <c r="X821"/>
  <c r="Y821"/>
  <c r="Z821"/>
  <c r="AA821"/>
  <c r="AB821"/>
  <c r="AC821"/>
  <c r="AD821"/>
  <c r="W822"/>
  <c r="X822"/>
  <c r="Y822"/>
  <c r="Z822"/>
  <c r="AA822"/>
  <c r="AB822"/>
  <c r="AC822"/>
  <c r="AD822"/>
  <c r="W823"/>
  <c r="X823"/>
  <c r="Y823"/>
  <c r="Z823"/>
  <c r="AA823"/>
  <c r="AB823"/>
  <c r="AC823"/>
  <c r="AD823"/>
  <c r="W824"/>
  <c r="X824"/>
  <c r="Y824"/>
  <c r="Z824"/>
  <c r="AA824"/>
  <c r="AB824"/>
  <c r="AC824"/>
  <c r="AD824"/>
  <c r="W825"/>
  <c r="X825"/>
  <c r="Y825"/>
  <c r="Z825"/>
  <c r="AA825"/>
  <c r="AB825"/>
  <c r="AC825"/>
  <c r="AD825"/>
  <c r="W826"/>
  <c r="X826"/>
  <c r="Y826"/>
  <c r="Z826"/>
  <c r="AA826"/>
  <c r="AB826"/>
  <c r="AC826"/>
  <c r="AD826"/>
  <c r="W827"/>
  <c r="X827"/>
  <c r="Y827"/>
  <c r="Z827"/>
  <c r="AA827"/>
  <c r="AB827"/>
  <c r="AC827"/>
  <c r="AD827"/>
  <c r="W828"/>
  <c r="X828"/>
  <c r="Y828"/>
  <c r="Z828"/>
  <c r="AA828"/>
  <c r="AB828"/>
  <c r="AC828"/>
  <c r="AD828"/>
  <c r="W829"/>
  <c r="X829"/>
  <c r="Y829"/>
  <c r="Z829"/>
  <c r="AA829"/>
  <c r="AB829"/>
  <c r="AC829"/>
  <c r="AD829"/>
  <c r="W830"/>
  <c r="X830"/>
  <c r="Y830"/>
  <c r="Z830"/>
  <c r="AA830"/>
  <c r="AB830"/>
  <c r="AC830"/>
  <c r="AD830"/>
  <c r="W831"/>
  <c r="X831"/>
  <c r="Y831"/>
  <c r="Z831"/>
  <c r="AA831"/>
  <c r="AB831"/>
  <c r="AC831"/>
  <c r="AD831"/>
  <c r="W832"/>
  <c r="X832"/>
  <c r="Y832"/>
  <c r="Z832"/>
  <c r="AA832"/>
  <c r="AB832"/>
  <c r="AC832"/>
  <c r="AD832"/>
  <c r="W833"/>
  <c r="X833"/>
  <c r="Y833"/>
  <c r="Z833"/>
  <c r="AA833"/>
  <c r="AB833"/>
  <c r="AC833"/>
  <c r="AD833"/>
  <c r="W834"/>
  <c r="X834"/>
  <c r="Y834"/>
  <c r="Z834"/>
  <c r="AA834"/>
  <c r="AB834"/>
  <c r="AC834"/>
  <c r="AD834"/>
  <c r="W835"/>
  <c r="X835"/>
  <c r="Y835"/>
  <c r="Z835"/>
  <c r="AA835"/>
  <c r="AB835"/>
  <c r="AC835"/>
  <c r="AD835"/>
  <c r="W836"/>
  <c r="X836"/>
  <c r="Y836"/>
  <c r="Z836"/>
  <c r="AA836"/>
  <c r="AB836"/>
  <c r="AC836"/>
  <c r="AD836"/>
  <c r="W837"/>
  <c r="X837"/>
  <c r="Y837"/>
  <c r="Z837"/>
  <c r="AA837"/>
  <c r="AB837"/>
  <c r="AC837"/>
  <c r="AD837"/>
  <c r="W838"/>
  <c r="X838"/>
  <c r="Y838"/>
  <c r="Z838"/>
  <c r="AA838"/>
  <c r="AB838"/>
  <c r="AC838"/>
  <c r="AD838"/>
  <c r="W839"/>
  <c r="X839"/>
  <c r="Y839"/>
  <c r="Z839"/>
  <c r="AA839"/>
  <c r="AB839"/>
  <c r="AC839"/>
  <c r="AD839"/>
  <c r="W840"/>
  <c r="X840"/>
  <c r="Y840"/>
  <c r="Z840"/>
  <c r="AA840"/>
  <c r="AB840"/>
  <c r="AC840"/>
  <c r="AD840"/>
  <c r="W841"/>
  <c r="X841"/>
  <c r="Y841"/>
  <c r="Z841"/>
  <c r="AA841"/>
  <c r="AB841"/>
  <c r="AC841"/>
  <c r="AD841"/>
  <c r="W842"/>
  <c r="X842"/>
  <c r="Y842"/>
  <c r="Z842"/>
  <c r="AA842"/>
  <c r="AB842"/>
  <c r="AC842"/>
  <c r="AD842"/>
  <c r="W843"/>
  <c r="X843"/>
  <c r="Y843"/>
  <c r="Z843"/>
  <c r="AA843"/>
  <c r="AB843"/>
  <c r="AC843"/>
  <c r="AD843"/>
  <c r="W844"/>
  <c r="X844"/>
  <c r="Y844"/>
  <c r="Z844"/>
  <c r="AA844"/>
  <c r="AB844"/>
  <c r="AC844"/>
  <c r="AD844"/>
  <c r="W845"/>
  <c r="X845"/>
  <c r="Y845"/>
  <c r="Z845"/>
  <c r="AA845"/>
  <c r="AB845"/>
  <c r="AC845"/>
  <c r="AD845"/>
  <c r="W846"/>
  <c r="X846"/>
  <c r="Y846"/>
  <c r="Z846"/>
  <c r="AA846"/>
  <c r="AB846"/>
  <c r="AC846"/>
  <c r="AD846"/>
  <c r="W847"/>
  <c r="X847"/>
  <c r="Y847"/>
  <c r="Z847"/>
  <c r="AA847"/>
  <c r="AB847"/>
  <c r="AC847"/>
  <c r="AD847"/>
  <c r="W848"/>
  <c r="X848"/>
  <c r="Y848"/>
  <c r="Z848"/>
  <c r="AA848"/>
  <c r="AB848"/>
  <c r="AC848"/>
  <c r="AD848"/>
  <c r="W849"/>
  <c r="X849"/>
  <c r="Y849"/>
  <c r="Z849"/>
  <c r="AA849"/>
  <c r="AB849"/>
  <c r="AC849"/>
  <c r="AD849"/>
  <c r="W850"/>
  <c r="X850"/>
  <c r="Y850"/>
  <c r="Z850"/>
  <c r="AA850"/>
  <c r="AB850"/>
  <c r="AC850"/>
  <c r="AD850"/>
  <c r="W851"/>
  <c r="X851"/>
  <c r="Y851"/>
  <c r="Z851"/>
  <c r="AA851"/>
  <c r="AB851"/>
  <c r="AC851"/>
  <c r="AD851"/>
  <c r="W852"/>
  <c r="X852"/>
  <c r="Y852"/>
  <c r="Z852"/>
  <c r="AA852"/>
  <c r="AB852"/>
  <c r="AC852"/>
  <c r="AD852"/>
  <c r="W853"/>
  <c r="X853"/>
  <c r="Y853"/>
  <c r="Z853"/>
  <c r="AA853"/>
  <c r="AB853"/>
  <c r="AC853"/>
  <c r="AD853"/>
  <c r="W854"/>
  <c r="X854"/>
  <c r="Y854"/>
  <c r="Z854"/>
  <c r="AA854"/>
  <c r="AB854"/>
  <c r="AC854"/>
  <c r="AD854"/>
  <c r="W855"/>
  <c r="X855"/>
  <c r="Y855"/>
  <c r="Z855"/>
  <c r="AA855"/>
  <c r="AB855"/>
  <c r="AC855"/>
  <c r="AD855"/>
  <c r="W856"/>
  <c r="X856"/>
  <c r="Y856"/>
  <c r="Z856"/>
  <c r="AA856"/>
  <c r="AB856"/>
  <c r="AC856"/>
  <c r="AD856"/>
  <c r="W857"/>
  <c r="X857"/>
  <c r="Y857"/>
  <c r="Z857"/>
  <c r="AA857"/>
  <c r="AB857"/>
  <c r="AC857"/>
  <c r="AD857"/>
  <c r="W858"/>
  <c r="X858"/>
  <c r="Y858"/>
  <c r="Z858"/>
  <c r="AA858"/>
  <c r="AB858"/>
  <c r="AC858"/>
  <c r="AD858"/>
  <c r="W859"/>
  <c r="X859"/>
  <c r="Y859"/>
  <c r="Z859"/>
  <c r="AA859"/>
  <c r="AB859"/>
  <c r="AC859"/>
  <c r="AD859"/>
  <c r="W860"/>
  <c r="X860"/>
  <c r="Y860"/>
  <c r="Z860"/>
  <c r="AA860"/>
  <c r="AB860"/>
  <c r="AC860"/>
  <c r="AD860"/>
  <c r="W861"/>
  <c r="X861"/>
  <c r="Y861"/>
  <c r="Z861"/>
  <c r="AA861"/>
  <c r="AB861"/>
  <c r="AC861"/>
  <c r="AD861"/>
  <c r="W862"/>
  <c r="X862"/>
  <c r="Y862"/>
  <c r="Z862"/>
  <c r="AA862"/>
  <c r="AB862"/>
  <c r="AC862"/>
  <c r="AD862"/>
  <c r="W863"/>
  <c r="X863"/>
  <c r="Y863"/>
  <c r="Z863"/>
  <c r="AA863"/>
  <c r="AB863"/>
  <c r="AC863"/>
  <c r="AD863"/>
  <c r="W864"/>
  <c r="X864"/>
  <c r="Y864"/>
  <c r="Z864"/>
  <c r="AA864"/>
  <c r="AB864"/>
  <c r="AC864"/>
  <c r="AD864"/>
  <c r="W865"/>
  <c r="X865"/>
  <c r="Y865"/>
  <c r="Z865"/>
  <c r="AA865"/>
  <c r="AB865"/>
  <c r="AC865"/>
  <c r="AD865"/>
  <c r="W866"/>
  <c r="X866"/>
  <c r="Y866"/>
  <c r="Z866"/>
  <c r="AA866"/>
  <c r="AB866"/>
  <c r="AC866"/>
  <c r="AD866"/>
  <c r="W867"/>
  <c r="X867"/>
  <c r="Y867"/>
  <c r="Z867"/>
  <c r="AA867"/>
  <c r="AB867"/>
  <c r="AC867"/>
  <c r="AD867"/>
  <c r="W868"/>
  <c r="X868"/>
  <c r="Y868"/>
  <c r="Z868"/>
  <c r="AA868"/>
  <c r="AB868"/>
  <c r="AC868"/>
  <c r="AD868"/>
  <c r="W869"/>
  <c r="X869"/>
  <c r="Y869"/>
  <c r="Z869"/>
  <c r="AA869"/>
  <c r="AB869"/>
  <c r="AC869"/>
  <c r="AD869"/>
  <c r="W870"/>
  <c r="X870"/>
  <c r="Y870"/>
  <c r="Z870"/>
  <c r="AA870"/>
  <c r="AB870"/>
  <c r="AC870"/>
  <c r="AD870"/>
  <c r="W871"/>
  <c r="X871"/>
  <c r="Y871"/>
  <c r="Z871"/>
  <c r="AA871"/>
  <c r="AB871"/>
  <c r="AC871"/>
  <c r="AD871"/>
  <c r="W872"/>
  <c r="X872"/>
  <c r="Y872"/>
  <c r="Z872"/>
  <c r="AA872"/>
  <c r="AB872"/>
  <c r="AC872"/>
  <c r="AD872"/>
  <c r="W873"/>
  <c r="X873"/>
  <c r="Y873"/>
  <c r="Z873"/>
  <c r="AA873"/>
  <c r="AB873"/>
  <c r="AC873"/>
  <c r="AD873"/>
  <c r="W874"/>
  <c r="X874"/>
  <c r="Y874"/>
  <c r="Z874"/>
  <c r="AA874"/>
  <c r="AB874"/>
  <c r="AC874"/>
  <c r="AD874"/>
  <c r="W875"/>
  <c r="X875"/>
  <c r="Y875"/>
  <c r="Z875"/>
  <c r="AA875"/>
  <c r="AB875"/>
  <c r="AC875"/>
  <c r="AD875"/>
  <c r="W876"/>
  <c r="X876"/>
  <c r="Y876"/>
  <c r="Z876"/>
  <c r="AA876"/>
  <c r="AB876"/>
  <c r="AC876"/>
  <c r="AD876"/>
  <c r="W877"/>
  <c r="X877"/>
  <c r="Y877"/>
  <c r="Z877"/>
  <c r="AA877"/>
  <c r="AB877"/>
  <c r="AC877"/>
  <c r="AD877"/>
  <c r="W878"/>
  <c r="X878"/>
  <c r="Y878"/>
  <c r="Z878"/>
  <c r="AA878"/>
  <c r="AB878"/>
  <c r="AC878"/>
  <c r="AD878"/>
  <c r="W879"/>
  <c r="X879"/>
  <c r="Y879"/>
  <c r="Z879"/>
  <c r="AA879"/>
  <c r="AB879"/>
  <c r="AC879"/>
  <c r="AD879"/>
  <c r="W880"/>
  <c r="X880"/>
  <c r="Y880"/>
  <c r="Z880"/>
  <c r="AA880"/>
  <c r="AB880"/>
  <c r="AC880"/>
  <c r="AD880"/>
  <c r="W881"/>
  <c r="X881"/>
  <c r="Y881"/>
  <c r="Z881"/>
  <c r="AA881"/>
  <c r="AB881"/>
  <c r="AC881"/>
  <c r="AD881"/>
  <c r="W882"/>
  <c r="X882"/>
  <c r="Y882"/>
  <c r="Z882"/>
  <c r="AA882"/>
  <c r="AB882"/>
  <c r="AC882"/>
  <c r="AD882"/>
  <c r="W883"/>
  <c r="X883"/>
  <c r="Y883"/>
  <c r="Z883"/>
  <c r="AA883"/>
  <c r="AB883"/>
  <c r="AC883"/>
  <c r="AD883"/>
  <c r="W884"/>
  <c r="X884"/>
  <c r="Y884"/>
  <c r="Z884"/>
  <c r="AA884"/>
  <c r="AB884"/>
  <c r="AC884"/>
  <c r="AD884"/>
  <c r="W885"/>
  <c r="X885"/>
  <c r="Y885"/>
  <c r="Z885"/>
  <c r="AA885"/>
  <c r="AB885"/>
  <c r="AC885"/>
  <c r="AD885"/>
  <c r="W886"/>
  <c r="X886"/>
  <c r="Y886"/>
  <c r="Z886"/>
  <c r="AA886"/>
  <c r="AB886"/>
  <c r="AC886"/>
  <c r="AD886"/>
  <c r="W887"/>
  <c r="X887"/>
  <c r="Y887"/>
  <c r="Z887"/>
  <c r="AA887"/>
  <c r="AB887"/>
  <c r="AC887"/>
  <c r="AD887"/>
  <c r="W888"/>
  <c r="X888"/>
  <c r="Y888"/>
  <c r="Z888"/>
  <c r="AA888"/>
  <c r="AB888"/>
  <c r="AC888"/>
  <c r="AD888"/>
  <c r="W889"/>
  <c r="X889"/>
  <c r="Y889"/>
  <c r="Z889"/>
  <c r="AA889"/>
  <c r="AB889"/>
  <c r="AC889"/>
  <c r="AD889"/>
  <c r="W890"/>
  <c r="X890"/>
  <c r="Y890"/>
  <c r="Z890"/>
  <c r="AA890"/>
  <c r="AB890"/>
  <c r="AC890"/>
  <c r="AD890"/>
  <c r="W891"/>
  <c r="X891"/>
  <c r="Y891"/>
  <c r="Z891"/>
  <c r="AA891"/>
  <c r="AB891"/>
  <c r="AC891"/>
  <c r="AD891"/>
  <c r="W892"/>
  <c r="X892"/>
  <c r="Y892"/>
  <c r="Z892"/>
  <c r="AA892"/>
  <c r="AB892"/>
  <c r="AC892"/>
  <c r="AD892"/>
  <c r="W893"/>
  <c r="X893"/>
  <c r="Y893"/>
  <c r="Z893"/>
  <c r="AA893"/>
  <c r="AB893"/>
  <c r="AC893"/>
  <c r="AD893"/>
  <c r="W894"/>
  <c r="X894"/>
  <c r="Y894"/>
  <c r="Z894"/>
  <c r="AA894"/>
  <c r="AB894"/>
  <c r="AC894"/>
  <c r="AD894"/>
  <c r="W895"/>
  <c r="X895"/>
  <c r="Y895"/>
  <c r="Z895"/>
  <c r="AA895"/>
  <c r="AB895"/>
  <c r="AC895"/>
  <c r="AD895"/>
  <c r="W896"/>
  <c r="X896"/>
  <c r="Y896"/>
  <c r="Z896"/>
  <c r="AA896"/>
  <c r="AB896"/>
  <c r="AC896"/>
  <c r="AD896"/>
  <c r="W897"/>
  <c r="X897"/>
  <c r="Y897"/>
  <c r="Z897"/>
  <c r="AA897"/>
  <c r="AB897"/>
  <c r="AC897"/>
  <c r="AD897"/>
  <c r="W898"/>
  <c r="X898"/>
  <c r="Y898"/>
  <c r="Z898"/>
  <c r="AA898"/>
  <c r="AB898"/>
  <c r="AC898"/>
  <c r="AD898"/>
  <c r="W899"/>
  <c r="X899"/>
  <c r="Y899"/>
  <c r="Z899"/>
  <c r="AA899"/>
  <c r="AB899"/>
  <c r="AC899"/>
  <c r="AD899"/>
  <c r="W900"/>
  <c r="X900"/>
  <c r="Y900"/>
  <c r="Z900"/>
  <c r="AA900"/>
  <c r="AB900"/>
  <c r="AC900"/>
  <c r="AD900"/>
  <c r="W901"/>
  <c r="X901"/>
  <c r="Y901"/>
  <c r="Z901"/>
  <c r="AA901"/>
  <c r="AB901"/>
  <c r="AC901"/>
  <c r="AD901"/>
  <c r="W902"/>
  <c r="X902"/>
  <c r="Y902"/>
  <c r="Z902"/>
  <c r="AA902"/>
  <c r="AB902"/>
  <c r="AC902"/>
  <c r="AD902"/>
  <c r="W903"/>
  <c r="X903"/>
  <c r="Y903"/>
  <c r="Z903"/>
  <c r="AA903"/>
  <c r="AB903"/>
  <c r="AC903"/>
  <c r="AD903"/>
  <c r="W904"/>
  <c r="X904"/>
  <c r="Y904"/>
  <c r="Z904"/>
  <c r="AA904"/>
  <c r="AB904"/>
  <c r="AC904"/>
  <c r="AD904"/>
  <c r="W905"/>
  <c r="X905"/>
  <c r="Y905"/>
  <c r="Z905"/>
  <c r="AA905"/>
  <c r="AB905"/>
  <c r="AC905"/>
  <c r="AD905"/>
  <c r="W906"/>
  <c r="X906"/>
  <c r="Y906"/>
  <c r="Z906"/>
  <c r="AA906"/>
  <c r="AB906"/>
  <c r="AC906"/>
  <c r="AD906"/>
  <c r="W907"/>
  <c r="X907"/>
  <c r="Y907"/>
  <c r="Z907"/>
  <c r="AA907"/>
  <c r="AB907"/>
  <c r="AC907"/>
  <c r="AD907"/>
  <c r="W908"/>
  <c r="X908"/>
  <c r="Y908"/>
  <c r="Z908"/>
  <c r="AA908"/>
  <c r="AB908"/>
  <c r="AC908"/>
  <c r="AD908"/>
  <c r="W909"/>
  <c r="X909"/>
  <c r="Y909"/>
  <c r="Z909"/>
  <c r="AA909"/>
  <c r="AB909"/>
  <c r="AC909"/>
  <c r="AD909"/>
  <c r="W910"/>
  <c r="X910"/>
  <c r="Y910"/>
  <c r="Z910"/>
  <c r="AA910"/>
  <c r="AB910"/>
  <c r="AC910"/>
  <c r="AD910"/>
  <c r="W911"/>
  <c r="X911"/>
  <c r="Y911"/>
  <c r="Z911"/>
  <c r="AA911"/>
  <c r="AB911"/>
  <c r="AC911"/>
  <c r="AD911"/>
  <c r="W912"/>
  <c r="X912"/>
  <c r="Y912"/>
  <c r="Z912"/>
  <c r="AA912"/>
  <c r="AB912"/>
  <c r="AC912"/>
  <c r="AD912"/>
  <c r="W913"/>
  <c r="X913"/>
  <c r="Y913"/>
  <c r="Z913"/>
  <c r="AA913"/>
  <c r="AB913"/>
  <c r="AC913"/>
  <c r="AD913"/>
  <c r="W914"/>
  <c r="X914"/>
  <c r="Y914"/>
  <c r="Z914"/>
  <c r="AA914"/>
  <c r="AB914"/>
  <c r="AC914"/>
  <c r="AD914"/>
  <c r="W915"/>
  <c r="X915"/>
  <c r="Y915"/>
  <c r="Z915"/>
  <c r="AA915"/>
  <c r="AB915"/>
  <c r="AC915"/>
  <c r="AD915"/>
  <c r="W916"/>
  <c r="X916"/>
  <c r="Y916"/>
  <c r="Z916"/>
  <c r="AA916"/>
  <c r="AB916"/>
  <c r="AC916"/>
  <c r="AD916"/>
  <c r="W917"/>
  <c r="X917"/>
  <c r="Y917"/>
  <c r="Z917"/>
  <c r="AA917"/>
  <c r="AB917"/>
  <c r="AC917"/>
  <c r="AD917"/>
  <c r="W918"/>
  <c r="X918"/>
  <c r="Y918"/>
  <c r="Z918"/>
  <c r="AA918"/>
  <c r="AB918"/>
  <c r="AC918"/>
  <c r="AD918"/>
  <c r="W919"/>
  <c r="X919"/>
  <c r="Y919"/>
  <c r="Z919"/>
  <c r="AA919"/>
  <c r="AB919"/>
  <c r="AC919"/>
  <c r="AD919"/>
  <c r="W920"/>
  <c r="X920"/>
  <c r="Y920"/>
  <c r="Z920"/>
  <c r="AA920"/>
  <c r="AB920"/>
  <c r="AC920"/>
  <c r="AD920"/>
  <c r="W921"/>
  <c r="X921"/>
  <c r="Y921"/>
  <c r="Z921"/>
  <c r="AA921"/>
  <c r="AB921"/>
  <c r="AC921"/>
  <c r="AD921"/>
  <c r="W922"/>
  <c r="X922"/>
  <c r="Y922"/>
  <c r="Z922"/>
  <c r="AA922"/>
  <c r="AB922"/>
  <c r="AC922"/>
  <c r="AD922"/>
  <c r="W923"/>
  <c r="X923"/>
  <c r="Y923"/>
  <c r="Z923"/>
  <c r="AA923"/>
  <c r="AB923"/>
  <c r="AC923"/>
  <c r="AD923"/>
  <c r="W924"/>
  <c r="X924"/>
  <c r="Y924"/>
  <c r="Z924"/>
  <c r="AA924"/>
  <c r="AB924"/>
  <c r="AC924"/>
  <c r="AD924"/>
  <c r="W925"/>
  <c r="X925"/>
  <c r="Y925"/>
  <c r="Z925"/>
  <c r="AA925"/>
  <c r="AB925"/>
  <c r="AC925"/>
  <c r="AD925"/>
  <c r="W926"/>
  <c r="X926"/>
  <c r="Y926"/>
  <c r="Z926"/>
  <c r="AA926"/>
  <c r="AB926"/>
  <c r="AC926"/>
  <c r="AD926"/>
  <c r="W927"/>
  <c r="X927"/>
  <c r="Y927"/>
  <c r="Z927"/>
  <c r="AA927"/>
  <c r="AB927"/>
  <c r="AC927"/>
  <c r="AD927"/>
  <c r="W928"/>
  <c r="X928"/>
  <c r="Y928"/>
  <c r="Z928"/>
  <c r="AA928"/>
  <c r="AB928"/>
  <c r="AC928"/>
  <c r="AD928"/>
  <c r="W929"/>
  <c r="X929"/>
  <c r="Y929"/>
  <c r="Z929"/>
  <c r="AA929"/>
  <c r="AB929"/>
  <c r="AC929"/>
  <c r="AD929"/>
  <c r="W930"/>
  <c r="X930"/>
  <c r="Y930"/>
  <c r="Z930"/>
  <c r="AA930"/>
  <c r="AB930"/>
  <c r="AC930"/>
  <c r="AD930"/>
  <c r="W931"/>
  <c r="X931"/>
  <c r="Y931"/>
  <c r="Z931"/>
  <c r="AA931"/>
  <c r="AB931"/>
  <c r="AC931"/>
  <c r="AD931"/>
  <c r="W932"/>
  <c r="X932"/>
  <c r="Y932"/>
  <c r="Z932"/>
  <c r="AA932"/>
  <c r="AB932"/>
  <c r="AC932"/>
  <c r="AD932"/>
  <c r="W933"/>
  <c r="X933"/>
  <c r="Y933"/>
  <c r="Z933"/>
  <c r="AA933"/>
  <c r="AB933"/>
  <c r="AC933"/>
  <c r="AD933"/>
  <c r="W934"/>
  <c r="X934"/>
  <c r="Y934"/>
  <c r="Z934"/>
  <c r="AA934"/>
  <c r="AB934"/>
  <c r="AC934"/>
  <c r="AD934"/>
  <c r="W935"/>
  <c r="X935"/>
  <c r="Y935"/>
  <c r="Z935"/>
  <c r="AA935"/>
  <c r="AB935"/>
  <c r="AC935"/>
  <c r="AD935"/>
  <c r="W936"/>
  <c r="X936"/>
  <c r="Y936"/>
  <c r="Z936"/>
  <c r="AA936"/>
  <c r="AB936"/>
  <c r="AC936"/>
  <c r="AD936"/>
  <c r="W937"/>
  <c r="X937"/>
  <c r="Y937"/>
  <c r="Z937"/>
  <c r="AA937"/>
  <c r="AB937"/>
  <c r="AC937"/>
  <c r="AD937"/>
  <c r="W938"/>
  <c r="X938"/>
  <c r="Y938"/>
  <c r="Z938"/>
  <c r="AA938"/>
  <c r="AB938"/>
  <c r="AC938"/>
  <c r="AD938"/>
  <c r="W939"/>
  <c r="X939"/>
  <c r="Y939"/>
  <c r="Z939"/>
  <c r="AA939"/>
  <c r="AB939"/>
  <c r="AC939"/>
  <c r="AD939"/>
  <c r="W940"/>
  <c r="X940"/>
  <c r="Y940"/>
  <c r="Z940"/>
  <c r="AA940"/>
  <c r="AB940"/>
  <c r="AC940"/>
  <c r="AD940"/>
  <c r="W941"/>
  <c r="X941"/>
  <c r="Y941"/>
  <c r="Z941"/>
  <c r="AA941"/>
  <c r="AB941"/>
  <c r="AC941"/>
  <c r="AD941"/>
  <c r="W942"/>
  <c r="X942"/>
  <c r="Y942"/>
  <c r="Z942"/>
  <c r="AA942"/>
  <c r="AB942"/>
  <c r="AC942"/>
  <c r="AD942"/>
  <c r="W943"/>
  <c r="X943"/>
  <c r="Y943"/>
  <c r="Z943"/>
  <c r="AA943"/>
  <c r="AB943"/>
  <c r="AC943"/>
  <c r="AD943"/>
  <c r="W944"/>
  <c r="X944"/>
  <c r="Y944"/>
  <c r="Z944"/>
  <c r="AA944"/>
  <c r="AB944"/>
  <c r="AC944"/>
  <c r="AD944"/>
  <c r="W945"/>
  <c r="X945"/>
  <c r="Y945"/>
  <c r="Z945"/>
  <c r="AA945"/>
  <c r="AB945"/>
  <c r="AC945"/>
  <c r="AD945"/>
  <c r="W946"/>
  <c r="X946"/>
  <c r="Y946"/>
  <c r="Z946"/>
  <c r="AA946"/>
  <c r="AB946"/>
  <c r="AC946"/>
  <c r="AD946"/>
  <c r="W947"/>
  <c r="X947"/>
  <c r="Y947"/>
  <c r="Z947"/>
  <c r="AA947"/>
  <c r="AB947"/>
  <c r="AC947"/>
  <c r="AD947"/>
  <c r="W948"/>
  <c r="X948"/>
  <c r="Y948"/>
  <c r="Z948"/>
  <c r="AA948"/>
  <c r="AB948"/>
  <c r="AC948"/>
  <c r="AD948"/>
  <c r="W949"/>
  <c r="X949"/>
  <c r="Y949"/>
  <c r="Z949"/>
  <c r="AA949"/>
  <c r="AB949"/>
  <c r="AC949"/>
  <c r="AD949"/>
  <c r="W950"/>
  <c r="X950"/>
  <c r="Y950"/>
  <c r="Z950"/>
  <c r="AA950"/>
  <c r="AB950"/>
  <c r="AC950"/>
  <c r="AD950"/>
  <c r="W951"/>
  <c r="X951"/>
  <c r="Y951"/>
  <c r="Z951"/>
  <c r="AA951"/>
  <c r="AB951"/>
  <c r="AC951"/>
  <c r="AD951"/>
  <c r="W952"/>
  <c r="X952"/>
  <c r="Y952"/>
  <c r="Z952"/>
  <c r="AA952"/>
  <c r="AB952"/>
  <c r="AC952"/>
  <c r="AD952"/>
  <c r="W953"/>
  <c r="X953"/>
  <c r="Y953"/>
  <c r="Z953"/>
  <c r="AA953"/>
  <c r="AB953"/>
  <c r="AC953"/>
  <c r="AD953"/>
  <c r="W954"/>
  <c r="X954"/>
  <c r="Y954"/>
  <c r="Z954"/>
  <c r="AA954"/>
  <c r="AB954"/>
  <c r="AC954"/>
  <c r="AD954"/>
  <c r="W955"/>
  <c r="X955"/>
  <c r="Y955"/>
  <c r="Z955"/>
  <c r="AA955"/>
  <c r="AB955"/>
  <c r="AC955"/>
  <c r="AD955"/>
  <c r="W956"/>
  <c r="X956"/>
  <c r="Y956"/>
  <c r="Z956"/>
  <c r="AA956"/>
  <c r="AB956"/>
  <c r="AC956"/>
  <c r="AD956"/>
  <c r="W957"/>
  <c r="X957"/>
  <c r="Y957"/>
  <c r="Z957"/>
  <c r="AA957"/>
  <c r="AB957"/>
  <c r="AC957"/>
  <c r="AD957"/>
  <c r="W958"/>
  <c r="X958"/>
  <c r="Y958"/>
  <c r="Z958"/>
  <c r="AA958"/>
  <c r="AB958"/>
  <c r="AC958"/>
  <c r="AD958"/>
  <c r="W959"/>
  <c r="X959"/>
  <c r="Y959"/>
  <c r="Z959"/>
  <c r="AA959"/>
  <c r="AB959"/>
  <c r="AC959"/>
  <c r="AD959"/>
  <c r="W960"/>
  <c r="X960"/>
  <c r="Y960"/>
  <c r="Z960"/>
  <c r="AA960"/>
  <c r="AB960"/>
  <c r="AC960"/>
  <c r="AD960"/>
  <c r="W961"/>
  <c r="X961"/>
  <c r="Y961"/>
  <c r="Z961"/>
  <c r="AA961"/>
  <c r="AB961"/>
  <c r="AC961"/>
  <c r="AD961"/>
  <c r="W962"/>
  <c r="X962"/>
  <c r="Y962"/>
  <c r="Z962"/>
  <c r="AA962"/>
  <c r="AB962"/>
  <c r="AC962"/>
  <c r="AD962"/>
  <c r="W963"/>
  <c r="X963"/>
  <c r="Y963"/>
  <c r="Z963"/>
  <c r="AA963"/>
  <c r="AB963"/>
  <c r="AC963"/>
  <c r="AD963"/>
  <c r="W964"/>
  <c r="X964"/>
  <c r="Y964"/>
  <c r="Z964"/>
  <c r="AA964"/>
  <c r="AB964"/>
  <c r="AC964"/>
  <c r="AD964"/>
  <c r="W965"/>
  <c r="X965"/>
  <c r="Y965"/>
  <c r="Z965"/>
  <c r="AA965"/>
  <c r="AB965"/>
  <c r="AC965"/>
  <c r="AD965"/>
  <c r="W966"/>
  <c r="X966"/>
  <c r="Y966"/>
  <c r="Z966"/>
  <c r="AA966"/>
  <c r="AB966"/>
  <c r="AC966"/>
  <c r="AD966"/>
  <c r="W967"/>
  <c r="X967"/>
  <c r="Y967"/>
  <c r="Z967"/>
  <c r="AA967"/>
  <c r="AB967"/>
  <c r="AC967"/>
  <c r="AD967"/>
  <c r="W968"/>
  <c r="X968"/>
  <c r="Y968"/>
  <c r="Z968"/>
  <c r="AA968"/>
  <c r="AB968"/>
  <c r="AC968"/>
  <c r="AD968"/>
  <c r="W969"/>
  <c r="X969"/>
  <c r="Y969"/>
  <c r="Z969"/>
  <c r="AA969"/>
  <c r="AB969"/>
  <c r="AC969"/>
  <c r="AD969"/>
  <c r="W970"/>
  <c r="X970"/>
  <c r="Y970"/>
  <c r="Z970"/>
  <c r="AA970"/>
  <c r="AB970"/>
  <c r="AC970"/>
  <c r="AD970"/>
  <c r="W971"/>
  <c r="X971"/>
  <c r="Y971"/>
  <c r="Z971"/>
  <c r="AA971"/>
  <c r="AB971"/>
  <c r="AC971"/>
  <c r="AD971"/>
  <c r="W972"/>
  <c r="X972"/>
  <c r="Y972"/>
  <c r="Z972"/>
  <c r="AA972"/>
  <c r="AB972"/>
  <c r="AC972"/>
  <c r="AD972"/>
  <c r="W973"/>
  <c r="X973"/>
  <c r="Y973"/>
  <c r="Z973"/>
  <c r="AA973"/>
  <c r="AB973"/>
  <c r="AC973"/>
  <c r="AD973"/>
  <c r="W974"/>
  <c r="X974"/>
  <c r="Y974"/>
  <c r="Z974"/>
  <c r="AA974"/>
  <c r="AB974"/>
  <c r="AC974"/>
  <c r="AD974"/>
  <c r="W975"/>
  <c r="X975"/>
  <c r="Y975"/>
  <c r="Z975"/>
  <c r="AA975"/>
  <c r="AB975"/>
  <c r="AC975"/>
  <c r="AD975"/>
  <c r="W976"/>
  <c r="X976"/>
  <c r="Y976"/>
  <c r="Z976"/>
  <c r="AA976"/>
  <c r="AB976"/>
  <c r="AC976"/>
  <c r="AD976"/>
  <c r="W977"/>
  <c r="X977"/>
  <c r="Y977"/>
  <c r="Z977"/>
  <c r="AA977"/>
  <c r="AB977"/>
  <c r="AC977"/>
  <c r="AD977"/>
  <c r="W978"/>
  <c r="X978"/>
  <c r="Y978"/>
  <c r="Z978"/>
  <c r="AA978"/>
  <c r="AB978"/>
  <c r="AC978"/>
  <c r="AD978"/>
  <c r="W979"/>
  <c r="X979"/>
  <c r="Y979"/>
  <c r="Z979"/>
  <c r="AA979"/>
  <c r="AB979"/>
  <c r="AC979"/>
  <c r="AD979"/>
  <c r="W980"/>
  <c r="X980"/>
  <c r="Y980"/>
  <c r="Z980"/>
  <c r="AA980"/>
  <c r="AB980"/>
  <c r="AC980"/>
  <c r="AD980"/>
  <c r="W981"/>
  <c r="X981"/>
  <c r="Y981"/>
  <c r="Z981"/>
  <c r="AA981"/>
  <c r="AB981"/>
  <c r="AC981"/>
  <c r="AD981"/>
  <c r="W982"/>
  <c r="X982"/>
  <c r="Y982"/>
  <c r="Z982"/>
  <c r="AA982"/>
  <c r="AB982"/>
  <c r="AC982"/>
  <c r="AD982"/>
  <c r="W983"/>
  <c r="X983"/>
  <c r="Y983"/>
  <c r="Z983"/>
  <c r="AA983"/>
  <c r="AB983"/>
  <c r="AC983"/>
  <c r="AD983"/>
  <c r="W984"/>
  <c r="X984"/>
  <c r="Y984"/>
  <c r="Z984"/>
  <c r="AA984"/>
  <c r="AB984"/>
  <c r="AC984"/>
  <c r="AD984"/>
  <c r="W985"/>
  <c r="X985"/>
  <c r="Y985"/>
  <c r="Z985"/>
  <c r="AA985"/>
  <c r="AB985"/>
  <c r="AC985"/>
  <c r="AD985"/>
  <c r="W986"/>
  <c r="X986"/>
  <c r="Y986"/>
  <c r="Z986"/>
  <c r="AA986"/>
  <c r="AB986"/>
  <c r="AC986"/>
  <c r="AD986"/>
  <c r="W987"/>
  <c r="X987"/>
  <c r="Y987"/>
  <c r="Z987"/>
  <c r="AA987"/>
  <c r="AB987"/>
  <c r="AC987"/>
  <c r="AD987"/>
  <c r="W988"/>
  <c r="X988"/>
  <c r="Y988"/>
  <c r="Z988"/>
  <c r="AA988"/>
  <c r="AB988"/>
  <c r="AC988"/>
  <c r="AD988"/>
  <c r="W989"/>
  <c r="X989"/>
  <c r="Y989"/>
  <c r="Z989"/>
  <c r="AA989"/>
  <c r="AB989"/>
  <c r="AC989"/>
  <c r="AD989"/>
  <c r="W990"/>
  <c r="X990"/>
  <c r="Y990"/>
  <c r="Z990"/>
  <c r="AA990"/>
  <c r="AB990"/>
  <c r="AC990"/>
  <c r="AD990"/>
  <c r="W991"/>
  <c r="X991"/>
  <c r="Y991"/>
  <c r="Z991"/>
  <c r="AA991"/>
  <c r="AB991"/>
  <c r="AC991"/>
  <c r="AD991"/>
  <c r="W992"/>
  <c r="X992"/>
  <c r="Y992"/>
  <c r="Z992"/>
  <c r="AA992"/>
  <c r="AB992"/>
  <c r="AC992"/>
  <c r="AD992"/>
  <c r="W993"/>
  <c r="X993"/>
  <c r="Y993"/>
  <c r="Z993"/>
  <c r="AA993"/>
  <c r="AB993"/>
  <c r="AC993"/>
  <c r="AD993"/>
  <c r="W994"/>
  <c r="X994"/>
  <c r="Y994"/>
  <c r="Z994"/>
  <c r="AA994"/>
  <c r="AB994"/>
  <c r="AC994"/>
  <c r="AD994"/>
  <c r="W995"/>
  <c r="X995"/>
  <c r="Y995"/>
  <c r="Z995"/>
  <c r="AA995"/>
  <c r="AB995"/>
  <c r="AC995"/>
  <c r="AD995"/>
  <c r="W996"/>
  <c r="X996"/>
  <c r="Y996"/>
  <c r="Z996"/>
  <c r="AA996"/>
  <c r="AB996"/>
  <c r="AC996"/>
  <c r="AD996"/>
  <c r="W997"/>
  <c r="X997"/>
  <c r="Y997"/>
  <c r="Z997"/>
  <c r="AA997"/>
  <c r="AB997"/>
  <c r="AC997"/>
  <c r="AD997"/>
  <c r="W998"/>
  <c r="X998"/>
  <c r="Y998"/>
  <c r="Z998"/>
  <c r="AA998"/>
  <c r="AB998"/>
  <c r="AC998"/>
  <c r="AD998"/>
  <c r="W999"/>
  <c r="X999"/>
  <c r="Y999"/>
  <c r="Z999"/>
  <c r="AA999"/>
  <c r="AB999"/>
  <c r="AC999"/>
  <c r="AD999"/>
  <c r="W1000"/>
  <c r="X1000"/>
  <c r="Y1000"/>
  <c r="Z1000"/>
  <c r="AA1000"/>
  <c r="AB1000"/>
  <c r="AC1000"/>
  <c r="AD1000"/>
  <c r="W1001"/>
  <c r="X1001"/>
  <c r="Y1001"/>
  <c r="Z1001"/>
  <c r="AA1001"/>
  <c r="AB1001"/>
  <c r="AC1001"/>
  <c r="AD1001"/>
  <c r="W1002"/>
  <c r="X1002"/>
  <c r="Y1002"/>
  <c r="Z1002"/>
  <c r="AA1002"/>
  <c r="AB1002"/>
  <c r="AC1002"/>
  <c r="AD1002"/>
  <c r="AD70"/>
  <c r="AC70"/>
  <c r="AB70"/>
  <c r="AA70"/>
  <c r="Z70"/>
  <c r="Y70"/>
  <c r="X70"/>
  <c r="W70"/>
</calcChain>
</file>

<file path=xl/sharedStrings.xml><?xml version="1.0" encoding="utf-8"?>
<sst xmlns="http://schemas.openxmlformats.org/spreadsheetml/2006/main" count="13295" uniqueCount="635">
  <si>
    <t>Mangalore University</t>
  </si>
  <si>
    <r>
      <rPr>
        <b/>
        <sz val="8"/>
        <color rgb="FF6495ED"/>
        <rFont val="Segoe UI"/>
        <family val="2"/>
      </rPr>
      <t xml:space="preserve">Tabulation Register for </t>
    </r>
    <r>
      <rPr>
        <b/>
        <sz val="8"/>
        <color rgb="FF000000"/>
        <rFont val="Segoe UI"/>
        <family val="2"/>
      </rPr>
      <t>Bachelor of Business Administration</t>
    </r>
    <r>
      <rPr>
        <b/>
        <sz val="8"/>
        <color rgb="FF000000"/>
        <rFont val="Segoe UI"/>
        <family val="2"/>
      </rPr>
      <t xml:space="preserve">                                                                                             </t>
    </r>
    <r>
      <rPr>
        <b/>
        <sz val="9"/>
        <color rgb="FF6495ED"/>
        <rFont val="Segoe UI"/>
        <family val="2"/>
      </rPr>
      <t xml:space="preserve">Semester : </t>
    </r>
    <r>
      <rPr>
        <b/>
        <sz val="8"/>
        <color rgb="FF000000"/>
        <rFont val="Segoe UI"/>
        <family val="2"/>
      </rPr>
      <t>III</t>
    </r>
    <r>
      <rPr>
        <b/>
        <sz val="8"/>
        <color rgb="FF000000"/>
        <rFont val="Segoe UI"/>
        <family val="2"/>
      </rPr>
      <t xml:space="preserve">     </t>
    </r>
    <r>
      <rPr>
        <b/>
        <sz val="8"/>
        <color rgb="FF6495ED"/>
        <rFont val="Segoe UI"/>
        <family val="2"/>
      </rPr>
      <t xml:space="preserve">Exam Month : </t>
    </r>
    <r>
      <rPr>
        <b/>
        <sz val="8"/>
        <color rgb="FF000000"/>
        <rFont val="Segoe UI"/>
        <family val="2"/>
      </rPr>
      <t xml:space="preserve">December 2024/January 2025 </t>
    </r>
    <r>
      <rPr>
        <b/>
        <sz val="8"/>
        <color rgb="FF000000"/>
        <rFont val="Segoe UI"/>
        <family val="2"/>
      </rPr>
      <t xml:space="preserve">                    </t>
    </r>
    <r>
      <rPr>
        <b/>
        <sz val="8"/>
        <color rgb="FF6495ED"/>
        <rFont val="Segoe UI"/>
        <family val="2"/>
      </rPr>
      <t xml:space="preserve">Discipline : </t>
    </r>
  </si>
  <si>
    <t>Sl.No.</t>
  </si>
  <si>
    <t>Course Code</t>
  </si>
  <si>
    <t>Course Name</t>
  </si>
  <si>
    <t>BBABMCN301</t>
  </si>
  <si>
    <t>Cost Accounting</t>
  </si>
  <si>
    <t>BBABMCN302</t>
  </si>
  <si>
    <t>Organizational Behavior</t>
  </si>
  <si>
    <t>BBABMCN303</t>
  </si>
  <si>
    <t>Statistics for Business Decisions</t>
  </si>
  <si>
    <t>BBAENLN301</t>
  </si>
  <si>
    <t>Generic English</t>
  </si>
  <si>
    <t>BBAHDLN301</t>
  </si>
  <si>
    <t>Hindi</t>
  </si>
  <si>
    <t>BBAKALN302</t>
  </si>
  <si>
    <t>Kannada</t>
  </si>
  <si>
    <t>BCACAEN302</t>
  </si>
  <si>
    <t>R PROGRAMMING</t>
  </si>
  <si>
    <t>COMCUSN302</t>
  </si>
  <si>
    <t>Cultural</t>
  </si>
  <si>
    <t>COMFISN301</t>
  </si>
  <si>
    <t>FINANCIAL EDUCATION &amp; INVESTMENT AWARENESS</t>
  </si>
  <si>
    <t>COMNCSN302</t>
  </si>
  <si>
    <t>NCC</t>
  </si>
  <si>
    <t>COMNSSN302</t>
  </si>
  <si>
    <t>NSS</t>
  </si>
  <si>
    <t>COMRRSN302</t>
  </si>
  <si>
    <t>Rovers and Rangers</t>
  </si>
  <si>
    <t>COMSRSN302</t>
  </si>
  <si>
    <t>Sports II</t>
  </si>
  <si>
    <t>Dr. B.B. Hegde First Grade College, Kundapura, Udupi.</t>
  </si>
  <si>
    <t>P16GBB0033</t>
  </si>
  <si>
    <t/>
  </si>
  <si>
    <t>00001</t>
  </si>
  <si>
    <t>Sub</t>
  </si>
  <si>
    <t>Total</t>
  </si>
  <si>
    <t>USN</t>
  </si>
  <si>
    <t>U05BB22M0013</t>
  </si>
  <si>
    <t>Th</t>
  </si>
  <si>
    <t>27.00 + 21.00</t>
  </si>
  <si>
    <t>VILAS</t>
  </si>
  <si>
    <t>Pr</t>
  </si>
  <si>
    <t xml:space="preserve"> - - + - - </t>
  </si>
  <si>
    <t>Grace</t>
  </si>
  <si>
    <t>Cr.</t>
  </si>
  <si>
    <t>SGPA</t>
  </si>
  <si>
    <t>GP</t>
  </si>
  <si>
    <t>CGPA</t>
  </si>
  <si>
    <t>CP</t>
  </si>
  <si>
    <t>Result: PASS</t>
  </si>
  <si>
    <t>Class</t>
  </si>
  <si>
    <t>Max. Total</t>
  </si>
  <si>
    <t>Term Grade: AB</t>
  </si>
  <si>
    <t>Letter Grade</t>
  </si>
  <si>
    <t>BC</t>
  </si>
  <si>
    <t>M.C.No</t>
  </si>
  <si>
    <t>MC0525372880</t>
  </si>
  <si>
    <t>Result</t>
  </si>
  <si>
    <t>Pass</t>
  </si>
  <si>
    <t>00002</t>
  </si>
  <si>
    <t>U05BB22M0046</t>
  </si>
  <si>
    <t>24.00 + 13.00</t>
  </si>
  <si>
    <t>13.00 + 17.00</t>
  </si>
  <si>
    <t>Shashanka</t>
  </si>
  <si>
    <t>Result: FAIL</t>
  </si>
  <si>
    <t xml:space="preserve">Term Grade: </t>
  </si>
  <si>
    <t>MC0525371749</t>
  </si>
  <si>
    <t>Fail</t>
  </si>
  <si>
    <t>00003</t>
  </si>
  <si>
    <t>U05BB22M0047</t>
  </si>
  <si>
    <t>24.00 + 20.00</t>
  </si>
  <si>
    <t>38.00 + 25.00</t>
  </si>
  <si>
    <t>Sowrab D Shetty</t>
  </si>
  <si>
    <t>Term Grade: BB+</t>
  </si>
  <si>
    <t>PP</t>
  </si>
  <si>
    <t>AB</t>
  </si>
  <si>
    <t>MC0525372518</t>
  </si>
  <si>
    <t>00004</t>
  </si>
  <si>
    <t>U05BB22M0051</t>
  </si>
  <si>
    <t>32.00 + 30.00</t>
  </si>
  <si>
    <t>VISHNU</t>
  </si>
  <si>
    <t>MC0525372887</t>
  </si>
  <si>
    <t>00005</t>
  </si>
  <si>
    <t>U05BB23M0002</t>
  </si>
  <si>
    <t>59.00 + 40.00</t>
  </si>
  <si>
    <t>54.00 + 40.00</t>
  </si>
  <si>
    <t>45.00 + 38.00</t>
  </si>
  <si>
    <t>60.00 + 40.00</t>
  </si>
  <si>
    <t>30.00 + 20.00</t>
  </si>
  <si>
    <t>Kalpana</t>
  </si>
  <si>
    <t xml:space="preserve"> - - +50.00</t>
  </si>
  <si>
    <t>Term Grade: OO+</t>
  </si>
  <si>
    <t>OO+</t>
  </si>
  <si>
    <t>OO</t>
  </si>
  <si>
    <t>OA</t>
  </si>
  <si>
    <t>MC0525372063</t>
  </si>
  <si>
    <t>00006</t>
  </si>
  <si>
    <t>U05BB23M0003</t>
  </si>
  <si>
    <t>24.00 + 23.00</t>
  </si>
  <si>
    <t>43.00 + 27.00</t>
  </si>
  <si>
    <t>36.00 + 32.00</t>
  </si>
  <si>
    <t>39.00 + 27.00</t>
  </si>
  <si>
    <t>26.00 + 35.00</t>
  </si>
  <si>
    <t>13.00 + 21.00</t>
  </si>
  <si>
    <t>21.00 + 16.00</t>
  </si>
  <si>
    <t>T V Neha Nair</t>
  </si>
  <si>
    <t xml:space="preserve"> - - +48.00</t>
  </si>
  <si>
    <t>AA</t>
  </si>
  <si>
    <t>AB+</t>
  </si>
  <si>
    <t>MC0525372256</t>
  </si>
  <si>
    <t>00007</t>
  </si>
  <si>
    <t>U05BB23M0004</t>
  </si>
  <si>
    <t>36.00 + 28.00</t>
  </si>
  <si>
    <t>43.00 + 30.00</t>
  </si>
  <si>
    <t>51.00 + 38.00</t>
  </si>
  <si>
    <t>38.00 + 30.00</t>
  </si>
  <si>
    <t>50.00 + 32.00</t>
  </si>
  <si>
    <t>25.00 + 29.00</t>
  </si>
  <si>
    <t>Shamanth J H</t>
  </si>
  <si>
    <t xml:space="preserve"> - - +49.00</t>
  </si>
  <si>
    <t>Term Grade: AA+</t>
  </si>
  <si>
    <t>OA+</t>
  </si>
  <si>
    <t>BB</t>
  </si>
  <si>
    <t>MC0525372838</t>
  </si>
  <si>
    <t>00008</t>
  </si>
  <si>
    <t>U05BB23M0005</t>
  </si>
  <si>
    <t>25.00 + 27.00</t>
  </si>
  <si>
    <t>34.00 + 27.00</t>
  </si>
  <si>
    <t>39.00 + 38.00</t>
  </si>
  <si>
    <t>40.00 + 24.00</t>
  </si>
  <si>
    <t>42.00 + 32.00</t>
  </si>
  <si>
    <t>6.00 + 22.00</t>
  </si>
  <si>
    <t>23.00 + 14.00</t>
  </si>
  <si>
    <t>SAROJA</t>
  </si>
  <si>
    <t>AA+</t>
  </si>
  <si>
    <t>MC0525372645</t>
  </si>
  <si>
    <t>00009</t>
  </si>
  <si>
    <t>U05BB23M0006</t>
  </si>
  <si>
    <t>24.00 + 28.00</t>
  </si>
  <si>
    <t>29.00 + 30.00</t>
  </si>
  <si>
    <t>29.00 + 31.00</t>
  </si>
  <si>
    <t>43.00 + 31.00</t>
  </si>
  <si>
    <t>39.00 + 30.00</t>
  </si>
  <si>
    <t>11.00 + 24.00</t>
  </si>
  <si>
    <t>Praveena</t>
  </si>
  <si>
    <t xml:space="preserve"> - - +46.00</t>
  </si>
  <si>
    <t>BB+</t>
  </si>
  <si>
    <t>MC0525373541</t>
  </si>
  <si>
    <t>00010</t>
  </si>
  <si>
    <t>U05BB23M0007</t>
  </si>
  <si>
    <t>45.00 + 28.00</t>
  </si>
  <si>
    <t>41.00 + 34.00</t>
  </si>
  <si>
    <t>54.00 + 34.00</t>
  </si>
  <si>
    <t>41.00 + 33.00</t>
  </si>
  <si>
    <t>50.00 + 36.00</t>
  </si>
  <si>
    <t>35.00 + 31.00</t>
  </si>
  <si>
    <t>25.00 + 20.00</t>
  </si>
  <si>
    <t>Sahana Sunil Mujumdar</t>
  </si>
  <si>
    <t>Term Grade: OA</t>
  </si>
  <si>
    <t>MC0525373361</t>
  </si>
  <si>
    <t>00011</t>
  </si>
  <si>
    <t>U05BB23M0008</t>
  </si>
  <si>
    <t>47.00 + 34.00</t>
  </si>
  <si>
    <t>53.00 + 36.00</t>
  </si>
  <si>
    <t>57.00 + 40.00</t>
  </si>
  <si>
    <t>56.00 + 38.00</t>
  </si>
  <si>
    <t>49.00 + 29.00</t>
  </si>
  <si>
    <t>23.00 + 20.00</t>
  </si>
  <si>
    <t>Madhura B</t>
  </si>
  <si>
    <t>Term Grade: OA+</t>
  </si>
  <si>
    <t>MC0525372257</t>
  </si>
  <si>
    <t>00012</t>
  </si>
  <si>
    <t>U05BB23M0009</t>
  </si>
  <si>
    <t>42.00 + 28.00</t>
  </si>
  <si>
    <t>49.00 + 34.00</t>
  </si>
  <si>
    <t>52.00 + 37.00</t>
  </si>
  <si>
    <t>39.00 + 32.00</t>
  </si>
  <si>
    <t>55.00 + 38.00</t>
  </si>
  <si>
    <t>28.00 + 26.00</t>
  </si>
  <si>
    <t>26.00 + 20.00</t>
  </si>
  <si>
    <t>Navyashri</t>
  </si>
  <si>
    <t>MC0525373362</t>
  </si>
  <si>
    <t>00013</t>
  </si>
  <si>
    <t>U05BB23M0010</t>
  </si>
  <si>
    <t>50.00 + 33.00</t>
  </si>
  <si>
    <t>47.00 + 30.00</t>
  </si>
  <si>
    <t>58.00 + 40.00</t>
  </si>
  <si>
    <t>36.00 + 29.00</t>
  </si>
  <si>
    <t>39.00 + 33.00</t>
  </si>
  <si>
    <t>36.00 + 25.00</t>
  </si>
  <si>
    <t>24.00 + 19.00</t>
  </si>
  <si>
    <t>Subhash B</t>
  </si>
  <si>
    <t>MC0525371883</t>
  </si>
  <si>
    <t>00014</t>
  </si>
  <si>
    <t>U05BB23M0011</t>
  </si>
  <si>
    <t>49.00 + 32.00</t>
  </si>
  <si>
    <t>43.00 + 36.00</t>
  </si>
  <si>
    <t>44.00 + 35.00</t>
  </si>
  <si>
    <t>36.00 + 34.00</t>
  </si>
  <si>
    <t>42.00 + 30.00</t>
  </si>
  <si>
    <t>29.00 + 20.00</t>
  </si>
  <si>
    <t>Kapil M Malsekar</t>
  </si>
  <si>
    <t>MC0525371496</t>
  </si>
  <si>
    <t>00015</t>
  </si>
  <si>
    <t>U05BB23M0012</t>
  </si>
  <si>
    <t>47.00 + 32.00</t>
  </si>
  <si>
    <t>45.00 + 36.00</t>
  </si>
  <si>
    <t>41.00 + 38.00</t>
  </si>
  <si>
    <t>40.00 + 34.00</t>
  </si>
  <si>
    <t>21.00 + 27.00</t>
  </si>
  <si>
    <t>SINCHANA</t>
  </si>
  <si>
    <t>MC0525372258</t>
  </si>
  <si>
    <t>00016</t>
  </si>
  <si>
    <t>U05BB23M0013</t>
  </si>
  <si>
    <t>55.00 + 32.00</t>
  </si>
  <si>
    <t>47.00 + 36.00</t>
  </si>
  <si>
    <t>58.00 + 39.00</t>
  </si>
  <si>
    <t>42.00 + 31.00</t>
  </si>
  <si>
    <t>57.00 + 39.00</t>
  </si>
  <si>
    <t>42.00 + 29.00</t>
  </si>
  <si>
    <t>29.00 + 18.00</t>
  </si>
  <si>
    <t>Rachana</t>
  </si>
  <si>
    <t>MC0525371700</t>
  </si>
  <si>
    <t>00017</t>
  </si>
  <si>
    <t>U05BB23M0014</t>
  </si>
  <si>
    <t>41.00 + 36.00</t>
  </si>
  <si>
    <t>55.00 + 39.00</t>
  </si>
  <si>
    <t>45.00 + 32.00</t>
  </si>
  <si>
    <t>26.00 + 28.00</t>
  </si>
  <si>
    <t>Sinchana</t>
  </si>
  <si>
    <t>MC0525372064</t>
  </si>
  <si>
    <t>00018</t>
  </si>
  <si>
    <t>U05BB23M0015</t>
  </si>
  <si>
    <t>44.00 + 32.00</t>
  </si>
  <si>
    <t>44.00 + 36.00</t>
  </si>
  <si>
    <t>43.00 + 32.00</t>
  </si>
  <si>
    <t>55.00 + 34.00</t>
  </si>
  <si>
    <t>37.00 + 33.00</t>
  </si>
  <si>
    <t>24.00 + 17.00</t>
  </si>
  <si>
    <t>Sharvari D</t>
  </si>
  <si>
    <t>MC0525373159</t>
  </si>
  <si>
    <t>00019</t>
  </si>
  <si>
    <t>U05BB23M0016</t>
  </si>
  <si>
    <t>37.00 + 31.00</t>
  </si>
  <si>
    <t>38.00 + 32.00</t>
  </si>
  <si>
    <t>3.00 + 23.00</t>
  </si>
  <si>
    <t>15.00 + 16.00</t>
  </si>
  <si>
    <t>Prarthana H R</t>
  </si>
  <si>
    <t>MC0525372065</t>
  </si>
  <si>
    <t>00020</t>
  </si>
  <si>
    <t>U05BB23M0017</t>
  </si>
  <si>
    <t>43.00 + 33.00</t>
  </si>
  <si>
    <t>51.00 + 37.00</t>
  </si>
  <si>
    <t>42.00 + 33.00</t>
  </si>
  <si>
    <t>32.00 + 23.00</t>
  </si>
  <si>
    <t>22.00 + 15.00</t>
  </si>
  <si>
    <t>Rakshitha</t>
  </si>
  <si>
    <t>MC0525372839</t>
  </si>
  <si>
    <t>00021</t>
  </si>
  <si>
    <t>U05BB23M0018</t>
  </si>
  <si>
    <t>17.00 + 17.00</t>
  </si>
  <si>
    <t>26.00 + 18.00</t>
  </si>
  <si>
    <t>40.00 + 33.00</t>
  </si>
  <si>
    <t>37.00 + 18.00</t>
  </si>
  <si>
    <t>24.00 + 21.00</t>
  </si>
  <si>
    <t>1.00 + 19.00</t>
  </si>
  <si>
    <t>20.00 + 14.00</t>
  </si>
  <si>
    <t>Prajwal</t>
  </si>
  <si>
    <t xml:space="preserve"> - - +40.00</t>
  </si>
  <si>
    <t>MC0525373160</t>
  </si>
  <si>
    <t>00022</t>
  </si>
  <si>
    <t>U05BB23M0020</t>
  </si>
  <si>
    <t>53.00 + 40.00</t>
  </si>
  <si>
    <t>46.00 + 38.00</t>
  </si>
  <si>
    <t>59.00 + 38.00</t>
  </si>
  <si>
    <t>28.00 + 20.00</t>
  </si>
  <si>
    <t>Pratham P Bhandary</t>
  </si>
  <si>
    <t>MC0525371702</t>
  </si>
  <si>
    <t>00023</t>
  </si>
  <si>
    <t>U05BB23M0021</t>
  </si>
  <si>
    <t>54.00 + 39.00</t>
  </si>
  <si>
    <t>48.00 + 39.00</t>
  </si>
  <si>
    <t>46.00 + 34.00</t>
  </si>
  <si>
    <t>56.00 + 40.00</t>
  </si>
  <si>
    <t>30.00 + 18.00</t>
  </si>
  <si>
    <t>SHRAVYA</t>
  </si>
  <si>
    <t>Term Grade: OO</t>
  </si>
  <si>
    <t>MC0525371703</t>
  </si>
  <si>
    <t>00024</t>
  </si>
  <si>
    <t>U05BB23M0022</t>
  </si>
  <si>
    <t>36.00 + 31.00</t>
  </si>
  <si>
    <t>57.00 + 38.00</t>
  </si>
  <si>
    <t>36.00 + 37.00</t>
  </si>
  <si>
    <t>4.00 + 20.00</t>
  </si>
  <si>
    <t>19.00 + 17.00</t>
  </si>
  <si>
    <t>Karthik</t>
  </si>
  <si>
    <t>MC0525371884</t>
  </si>
  <si>
    <t>00025</t>
  </si>
  <si>
    <t>U05BB23M0023</t>
  </si>
  <si>
    <t>37.00 + 30.00</t>
  </si>
  <si>
    <t>41.00 + 32.00</t>
  </si>
  <si>
    <t>51.00 + 34.00</t>
  </si>
  <si>
    <t>29.00 + 22.00</t>
  </si>
  <si>
    <t>25.00 + 17.00</t>
  </si>
  <si>
    <t>Gautham Kumar</t>
  </si>
  <si>
    <t>MC0525371497</t>
  </si>
  <si>
    <t>00026</t>
  </si>
  <si>
    <t>U05BB23M0024</t>
  </si>
  <si>
    <t>55.00 + 40.00</t>
  </si>
  <si>
    <t>40.00 + 40.00</t>
  </si>
  <si>
    <t>40.00 + 36.00</t>
  </si>
  <si>
    <t>Sameeksha</t>
  </si>
  <si>
    <t>MC0525372468</t>
  </si>
  <si>
    <t>00027</t>
  </si>
  <si>
    <t>U05BB23M0026</t>
  </si>
  <si>
    <t>24.00 + 22.00</t>
  </si>
  <si>
    <t>31.00 + 26.00</t>
  </si>
  <si>
    <t>52.00 + 27.00</t>
  </si>
  <si>
    <t>35.00 + 28.00</t>
  </si>
  <si>
    <t>33.00 + 29.00</t>
  </si>
  <si>
    <t>7.00 + 19.00</t>
  </si>
  <si>
    <t>SACHIN</t>
  </si>
  <si>
    <t>MC0525372646</t>
  </si>
  <si>
    <t>00028</t>
  </si>
  <si>
    <t>U05BB23M0027</t>
  </si>
  <si>
    <t>35.00 + 32.00</t>
  </si>
  <si>
    <t>44.00 + 33.00</t>
  </si>
  <si>
    <t>28.00 + 16.00</t>
  </si>
  <si>
    <t>Pavan</t>
  </si>
  <si>
    <t>MC0525372259</t>
  </si>
  <si>
    <t>00029</t>
  </si>
  <si>
    <t>U05BB23M0028</t>
  </si>
  <si>
    <t>43.00 + 25.00</t>
  </si>
  <si>
    <t>58.00 + 37.00</t>
  </si>
  <si>
    <t>37.00 + 26.00</t>
  </si>
  <si>
    <t>50.00 + 34.00</t>
  </si>
  <si>
    <t>47.00 + 22.00</t>
  </si>
  <si>
    <t>27.00 + 19.00</t>
  </si>
  <si>
    <t>KEERTHAN</t>
  </si>
  <si>
    <t>MC0525371498</t>
  </si>
  <si>
    <t>00030</t>
  </si>
  <si>
    <t>U05BB23M0029</t>
  </si>
  <si>
    <t>17.00 + 22.00</t>
  </si>
  <si>
    <t>24.00 + 25.00</t>
  </si>
  <si>
    <t>41.00 + 30.00</t>
  </si>
  <si>
    <t>36.00 + 26.00</t>
  </si>
  <si>
    <t>35.00 + 26.00</t>
  </si>
  <si>
    <t>13.00 + 19.00</t>
  </si>
  <si>
    <t>21.00 + 14.00</t>
  </si>
  <si>
    <t>Mithun</t>
  </si>
  <si>
    <t>MC0525373363</t>
  </si>
  <si>
    <t>00031</t>
  </si>
  <si>
    <t>U05BB23M0030</t>
  </si>
  <si>
    <t>27.00 + 25.00</t>
  </si>
  <si>
    <t>51.00 + 35.00</t>
  </si>
  <si>
    <t>40.00 + 27.00</t>
  </si>
  <si>
    <t>28.00 + 22.00</t>
  </si>
  <si>
    <t>21.00 + 19.00</t>
  </si>
  <si>
    <t>Pramod</t>
  </si>
  <si>
    <t xml:space="preserve"> - - +44.00</t>
  </si>
  <si>
    <t>Term Grade: AA</t>
  </si>
  <si>
    <t>MC0525372992</t>
  </si>
  <si>
    <t>00032</t>
  </si>
  <si>
    <t>U05BB23M0031</t>
  </si>
  <si>
    <t>44.00 + 24.00</t>
  </si>
  <si>
    <t>41.00 + 18.00</t>
  </si>
  <si>
    <t>34.00 + 28.00</t>
  </si>
  <si>
    <t>21.00 + 20.00</t>
  </si>
  <si>
    <t>20.00 + 15.00</t>
  </si>
  <si>
    <t>Sachin</t>
  </si>
  <si>
    <t>MC0525372993</t>
  </si>
  <si>
    <t>00033</t>
  </si>
  <si>
    <t>U05BB23M0032</t>
  </si>
  <si>
    <t>34.00 + 20.00</t>
  </si>
  <si>
    <t>27.00 + 22.00</t>
  </si>
  <si>
    <t>42.00 + 26.00</t>
  </si>
  <si>
    <t>23.00 + 15.00</t>
  </si>
  <si>
    <t>19.00 + 13.00</t>
  </si>
  <si>
    <t>KARTHIK</t>
  </si>
  <si>
    <t>MC0525372840</t>
  </si>
  <si>
    <t>00034</t>
  </si>
  <si>
    <t>U05BB23M0033</t>
  </si>
  <si>
    <t>43.00 + 40.00</t>
  </si>
  <si>
    <t>52.00 + 40.00</t>
  </si>
  <si>
    <t>Akshitha</t>
  </si>
  <si>
    <t>MC0525371499</t>
  </si>
  <si>
    <t>00035</t>
  </si>
  <si>
    <t>U05BB23M0034</t>
  </si>
  <si>
    <t>16.00 + 22.00</t>
  </si>
  <si>
    <t>40.00 + 26.00</t>
  </si>
  <si>
    <t>27.00 + 23.00</t>
  </si>
  <si>
    <t>9.00 + 21.00</t>
  </si>
  <si>
    <t>25.00 + 13.00</t>
  </si>
  <si>
    <t>Sai Charan J S</t>
  </si>
  <si>
    <t>MC0525371885</t>
  </si>
  <si>
    <t>00036</t>
  </si>
  <si>
    <t>U05BB23M0035</t>
  </si>
  <si>
    <t>25.00 + 25.00</t>
  </si>
  <si>
    <t>31.00 + 25.00</t>
  </si>
  <si>
    <t>8.00 + 21.00</t>
  </si>
  <si>
    <t>14.00 + 11.00</t>
  </si>
  <si>
    <t>Nithesh</t>
  </si>
  <si>
    <t xml:space="preserve"> - - +35.00</t>
  </si>
  <si>
    <t>MC0525371886</t>
  </si>
  <si>
    <t>00037</t>
  </si>
  <si>
    <t>U05BB23M0036</t>
  </si>
  <si>
    <t>52.00 + 34.00</t>
  </si>
  <si>
    <t>51.00 + 40.00</t>
  </si>
  <si>
    <t>49.00 + 40.00</t>
  </si>
  <si>
    <t>Rashmitha Narayana Tholar</t>
  </si>
  <si>
    <t>MC0525371704</t>
  </si>
  <si>
    <t>00038</t>
  </si>
  <si>
    <t>U05BB23M0037</t>
  </si>
  <si>
    <t>28.00 + 29.00</t>
  </si>
  <si>
    <t>32.00 + 34.00</t>
  </si>
  <si>
    <t>50.00 + 35.00</t>
  </si>
  <si>
    <t>42.00 + 27.00</t>
  </si>
  <si>
    <t>Rishmitha</t>
  </si>
  <si>
    <t>MC0525372841</t>
  </si>
  <si>
    <t>00039</t>
  </si>
  <si>
    <t>U05BB23M0038</t>
  </si>
  <si>
    <t>41.00 + 24.00</t>
  </si>
  <si>
    <t>34.00 + 30.00</t>
  </si>
  <si>
    <t>53.00 + 38.00</t>
  </si>
  <si>
    <t>40.00 + 28.00</t>
  </si>
  <si>
    <t>48.00 + 37.00</t>
  </si>
  <si>
    <t>29.00 + 14.00</t>
  </si>
  <si>
    <t>SAMPANNA</t>
  </si>
  <si>
    <t>MC0525372842</t>
  </si>
  <si>
    <t>00040</t>
  </si>
  <si>
    <t>U05BB23M0039</t>
  </si>
  <si>
    <t>48.00 + 40.00</t>
  </si>
  <si>
    <t>38.00 + 33.00</t>
  </si>
  <si>
    <t>54.00 + 36.00</t>
  </si>
  <si>
    <t>30.00 + 16.00</t>
  </si>
  <si>
    <t>Manjunath</t>
  </si>
  <si>
    <t>MC0525371500</t>
  </si>
  <si>
    <t>00041</t>
  </si>
  <si>
    <t>U05BB23M0040</t>
  </si>
  <si>
    <t>40.00 + 38.00</t>
  </si>
  <si>
    <t>44.00 + 40.00</t>
  </si>
  <si>
    <t>Bhoomika R</t>
  </si>
  <si>
    <t>MC0525372843</t>
  </si>
  <si>
    <t>00042</t>
  </si>
  <si>
    <t>U05BB23M0041</t>
  </si>
  <si>
    <t>27.00 + 26.00</t>
  </si>
  <si>
    <t>24.00 + 30.00</t>
  </si>
  <si>
    <t>43.00 + 34.00</t>
  </si>
  <si>
    <t>41.00 + 29.00</t>
  </si>
  <si>
    <t>37.00 + 32.00</t>
  </si>
  <si>
    <t>5.00 + 21.00</t>
  </si>
  <si>
    <t>20.00 + 13.00</t>
  </si>
  <si>
    <t>Sukesh</t>
  </si>
  <si>
    <t>MC0525371887</t>
  </si>
  <si>
    <t>00043</t>
  </si>
  <si>
    <t>U05BB23M0042</t>
  </si>
  <si>
    <t>47.00 + 40.00</t>
  </si>
  <si>
    <t>40.00 + 35.00</t>
  </si>
  <si>
    <t>Tincy C S</t>
  </si>
  <si>
    <t>MC0525371501</t>
  </si>
  <si>
    <t>00044</t>
  </si>
  <si>
    <t>U05BB23M0043</t>
  </si>
  <si>
    <t>47.00 + 28.00</t>
  </si>
  <si>
    <t>37.00 + 35.00</t>
  </si>
  <si>
    <t>41.00 + 27.00</t>
  </si>
  <si>
    <t>51.00 + 36.00</t>
  </si>
  <si>
    <t>29.00 + 16.00</t>
  </si>
  <si>
    <t>Vishal</t>
  </si>
  <si>
    <t>MC0525372469</t>
  </si>
  <si>
    <t>00045</t>
  </si>
  <si>
    <t>U05BB23M0044</t>
  </si>
  <si>
    <t>44.00 + 28.00</t>
  </si>
  <si>
    <t>37.00 + 34.00</t>
  </si>
  <si>
    <t>46.00 + 40.00</t>
  </si>
  <si>
    <t>25.00 + 19.00</t>
  </si>
  <si>
    <t>Yuvaraja</t>
  </si>
  <si>
    <t xml:space="preserve"> - - +45.00</t>
  </si>
  <si>
    <t>MC0525372994</t>
  </si>
  <si>
    <t>00046</t>
  </si>
  <si>
    <t>U05BB23M0045</t>
  </si>
  <si>
    <t>56.00 + 39.00</t>
  </si>
  <si>
    <t>39.00 + 36.00</t>
  </si>
  <si>
    <t>29.00 + 19.00</t>
  </si>
  <si>
    <t>SUJAN</t>
  </si>
  <si>
    <t xml:space="preserve"> - - +42.00</t>
  </si>
  <si>
    <t>MC0525371888</t>
  </si>
  <si>
    <t>00047</t>
  </si>
  <si>
    <t>U05BB23M0046</t>
  </si>
  <si>
    <t>39.00 + 35.00</t>
  </si>
  <si>
    <t>38.00 + 28.00</t>
  </si>
  <si>
    <t>50.00 + 37.00</t>
  </si>
  <si>
    <t>NAGENDRA B</t>
  </si>
  <si>
    <t>MC0525372470</t>
  </si>
  <si>
    <t>00048</t>
  </si>
  <si>
    <t>U05BB23M0047</t>
  </si>
  <si>
    <t>9.00 + 23.00</t>
  </si>
  <si>
    <t>32.00 + 33.00</t>
  </si>
  <si>
    <t>39.00 + 29.00</t>
  </si>
  <si>
    <t>8.00 + 23.00</t>
  </si>
  <si>
    <t>Shreya</t>
  </si>
  <si>
    <t>MC0525372260</t>
  </si>
  <si>
    <t>00049</t>
  </si>
  <si>
    <t>U05BB23M0048</t>
  </si>
  <si>
    <t>47.00 + 38.00</t>
  </si>
  <si>
    <t>KISHAN</t>
  </si>
  <si>
    <t>MC0525372066</t>
  </si>
  <si>
    <t>00050</t>
  </si>
  <si>
    <t>U05BB23M0049</t>
  </si>
  <si>
    <t>39.00 + 24.00</t>
  </si>
  <si>
    <t>47.00 + 31.00</t>
  </si>
  <si>
    <t>40.00 + 32.00</t>
  </si>
  <si>
    <t>30.00 + 31.00</t>
  </si>
  <si>
    <t>21.00 + 23.00</t>
  </si>
  <si>
    <t>22.00 + 20.00</t>
  </si>
  <si>
    <t>Dhanush</t>
  </si>
  <si>
    <t>MC0525372067</t>
  </si>
  <si>
    <t>00051</t>
  </si>
  <si>
    <t>U05BB23M0050</t>
  </si>
  <si>
    <t>46.00 + 33.00</t>
  </si>
  <si>
    <t>39.00 + 23.00</t>
  </si>
  <si>
    <t>7.00 + 20.00</t>
  </si>
  <si>
    <t>28.00 + 14.00</t>
  </si>
  <si>
    <t>NAGARAJA CHANDRAHASA SHETTY</t>
  </si>
  <si>
    <t>MC0525372471</t>
  </si>
  <si>
    <t>00052</t>
  </si>
  <si>
    <t>U05BB23M0051</t>
  </si>
  <si>
    <t>45.00 + 40.00</t>
  </si>
  <si>
    <t>Aishwarya</t>
  </si>
  <si>
    <t>MC0525372261</t>
  </si>
  <si>
    <t>00053</t>
  </si>
  <si>
    <t>U05BB23M0052</t>
  </si>
  <si>
    <t>44.00 + 29.00</t>
  </si>
  <si>
    <t>42.00 + 34.00</t>
  </si>
  <si>
    <t>36.00 + 22.00</t>
  </si>
  <si>
    <t>30.00 + 15.00</t>
  </si>
  <si>
    <t>Keerthana N</t>
  </si>
  <si>
    <t>MC0525371889</t>
  </si>
  <si>
    <t>00054</t>
  </si>
  <si>
    <t>U05BB23M0053</t>
  </si>
  <si>
    <t>40.00 + 29.00</t>
  </si>
  <si>
    <t>46.00 + 26.00</t>
  </si>
  <si>
    <t>ASHIK MANDARA</t>
  </si>
  <si>
    <t>MC0525371705</t>
  </si>
  <si>
    <t>00055</t>
  </si>
  <si>
    <t>U05BB23M0054</t>
  </si>
  <si>
    <t>34.00 + 31.00</t>
  </si>
  <si>
    <t>44.00 + 34.00</t>
  </si>
  <si>
    <t>25.00 + 15.00</t>
  </si>
  <si>
    <t>LAVA</t>
  </si>
  <si>
    <t>MC0525372844</t>
  </si>
  <si>
    <t>00056</t>
  </si>
  <si>
    <t>U05BB23M0055</t>
  </si>
  <si>
    <t>27.00 + 24.00</t>
  </si>
  <si>
    <t>33.00 + 28.00</t>
  </si>
  <si>
    <t>37.00 + 37.00</t>
  </si>
  <si>
    <t>5.00 + 29.00</t>
  </si>
  <si>
    <t>Suhas V Mallya</t>
  </si>
  <si>
    <t>MC0525372845</t>
  </si>
  <si>
    <t>00057</t>
  </si>
  <si>
    <t>U05BB23M0056</t>
  </si>
  <si>
    <t>14.00 + 22.00</t>
  </si>
  <si>
    <t>47.00 + 33.00</t>
  </si>
  <si>
    <t>25.00 + 31.00</t>
  </si>
  <si>
    <t>11.00 + 19.00</t>
  </si>
  <si>
    <t>24.00 + 16.00</t>
  </si>
  <si>
    <t>MC0525373542</t>
  </si>
  <si>
    <t>00058</t>
  </si>
  <si>
    <t>U05BB23M0057</t>
  </si>
  <si>
    <t>32.00 + 20.00</t>
  </si>
  <si>
    <t>38.00 + 19.00</t>
  </si>
  <si>
    <t>MC0525372262</t>
  </si>
  <si>
    <t>00059</t>
  </si>
  <si>
    <t>U05BB23M0059</t>
  </si>
  <si>
    <t>60.00 + 39.00</t>
  </si>
  <si>
    <t>MC0525372995</t>
  </si>
  <si>
    <t>00060</t>
  </si>
  <si>
    <t>U05BB23M0060</t>
  </si>
  <si>
    <t>50.00 + 40.00</t>
  </si>
  <si>
    <t>42.00 + 38.00</t>
  </si>
  <si>
    <t>Anisha</t>
  </si>
  <si>
    <t>MC0525371502</t>
  </si>
  <si>
    <t>00061</t>
  </si>
  <si>
    <t>U05BB23M0061</t>
  </si>
  <si>
    <t>44.00 + 39.00</t>
  </si>
  <si>
    <t>Aishwarya Shetty</t>
  </si>
  <si>
    <t>MC0525373161</t>
  </si>
  <si>
    <t>00062</t>
  </si>
  <si>
    <t>U05BB23M0062</t>
  </si>
  <si>
    <t>38.00 + 22.00</t>
  </si>
  <si>
    <t>38.00 + 20.00</t>
  </si>
  <si>
    <t>52.00 + 36.00</t>
  </si>
  <si>
    <t>35.00 + 29.00</t>
  </si>
  <si>
    <t>28.00 + 31.00</t>
  </si>
  <si>
    <t>21.00 + 22.00</t>
  </si>
  <si>
    <t>Meeru Mohammed Souban</t>
  </si>
  <si>
    <t>Term Grade: AB+</t>
  </si>
  <si>
    <t>MC0525372996</t>
  </si>
  <si>
    <t>00063</t>
  </si>
  <si>
    <t>U05BB23M0063</t>
  </si>
  <si>
    <t>45.00 + 30.00</t>
  </si>
  <si>
    <t>40.00 + 31.00</t>
  </si>
  <si>
    <t>57.00 + 35.00</t>
  </si>
  <si>
    <t>36.00 + 24.00</t>
  </si>
  <si>
    <t>Sushantha Shetty</t>
  </si>
  <si>
    <t xml:space="preserve"> - - +43.00</t>
  </si>
  <si>
    <t>MC0525373364</t>
  </si>
  <si>
    <t>00064</t>
  </si>
  <si>
    <t>U05BB23M0064</t>
  </si>
  <si>
    <t>46.00 + 27.00</t>
  </si>
  <si>
    <t>37.00 + 20.00</t>
  </si>
  <si>
    <t>0.00 + 22.00</t>
  </si>
  <si>
    <t>28.00 + 11.00</t>
  </si>
  <si>
    <t>Vishnu</t>
  </si>
  <si>
    <t xml:space="preserve"> - - +41.00</t>
  </si>
  <si>
    <t>MC0525372263</t>
  </si>
  <si>
    <t>00065</t>
  </si>
  <si>
    <t>U05BB23M0065</t>
  </si>
  <si>
    <t>Sagar</t>
  </si>
  <si>
    <t>MC0525371890</t>
  </si>
  <si>
    <t>00066</t>
  </si>
  <si>
    <t>U05BB23M0066</t>
  </si>
  <si>
    <t>57.00 + 36.00</t>
  </si>
  <si>
    <t>46.00 + 31.00</t>
  </si>
  <si>
    <t>Srajan S K</t>
  </si>
  <si>
    <t>MC0525373162</t>
  </si>
  <si>
    <t>00067</t>
  </si>
  <si>
    <t>U05AY23M0230</t>
  </si>
  <si>
    <t>37.00 + 38.00</t>
  </si>
  <si>
    <t>53.00 + 39.00</t>
  </si>
  <si>
    <t>46.00 + 39.00</t>
  </si>
  <si>
    <t>Shriraksha K A</t>
  </si>
  <si>
    <t>MC0525372489</t>
  </si>
  <si>
    <r>
      <t xml:space="preserve">Tabulation Register for </t>
    </r>
    <r>
      <rPr>
        <b/>
        <sz val="8"/>
        <color rgb="FF000000"/>
        <rFont val="Segoe UI"/>
        <family val="2"/>
      </rPr>
      <t>Bachelor of Business Administration</t>
    </r>
    <r>
      <rPr>
        <b/>
        <sz val="8"/>
        <color rgb="FF000000"/>
        <rFont val="Segoe UI"/>
        <family val="2"/>
      </rPr>
      <t xml:space="preserve">           </t>
    </r>
    <r>
      <rPr>
        <b/>
        <sz val="9"/>
        <color rgb="FF6495ED"/>
        <rFont val="Segoe UI"/>
        <family val="2"/>
      </rPr>
      <t xml:space="preserve">Semester : </t>
    </r>
    <r>
      <rPr>
        <b/>
        <sz val="8"/>
        <color rgb="FF000000"/>
        <rFont val="Segoe UI"/>
        <family val="2"/>
      </rPr>
      <t>III</t>
    </r>
    <r>
      <rPr>
        <b/>
        <sz val="8"/>
        <color rgb="FF000000"/>
        <rFont val="Segoe UI"/>
        <family val="2"/>
      </rPr>
      <t xml:space="preserve">     </t>
    </r>
    <r>
      <rPr>
        <b/>
        <sz val="8"/>
        <color rgb="FF6495ED"/>
        <rFont val="Segoe UI"/>
        <family val="2"/>
      </rPr>
      <t xml:space="preserve">Exam Month : </t>
    </r>
    <r>
      <rPr>
        <b/>
        <sz val="8"/>
        <color rgb="FF000000"/>
        <rFont val="Segoe UI"/>
        <family val="2"/>
      </rPr>
      <t xml:space="preserve">December 2024/January 2025 </t>
    </r>
    <r>
      <rPr>
        <b/>
        <sz val="8"/>
        <color rgb="FF000000"/>
        <rFont val="Segoe UI"/>
        <family val="2"/>
      </rPr>
      <t xml:space="preserve">                    </t>
    </r>
    <r>
      <rPr>
        <b/>
        <sz val="8"/>
        <color rgb="FF6495ED"/>
        <rFont val="Segoe UI"/>
        <family val="2"/>
      </rPr>
      <t xml:space="preserve">Discipline : </t>
    </r>
  </si>
  <si>
    <r>
      <t xml:space="preserve">Tabulation Register for </t>
    </r>
    <r>
      <rPr>
        <b/>
        <sz val="8"/>
        <color rgb="FF000000"/>
        <rFont val="Segoe UI"/>
        <family val="2"/>
      </rPr>
      <t>Bachelor of Business Administration</t>
    </r>
    <r>
      <rPr>
        <b/>
        <sz val="8"/>
        <color rgb="FF000000"/>
        <rFont val="Segoe UI"/>
        <family val="2"/>
      </rPr>
      <t xml:space="preserve">            </t>
    </r>
    <r>
      <rPr>
        <b/>
        <sz val="9"/>
        <color rgb="FF6495ED"/>
        <rFont val="Segoe UI"/>
        <family val="2"/>
      </rPr>
      <t xml:space="preserve">Semester : </t>
    </r>
    <r>
      <rPr>
        <b/>
        <sz val="8"/>
        <color rgb="FF000000"/>
        <rFont val="Segoe UI"/>
        <family val="2"/>
      </rPr>
      <t>III</t>
    </r>
    <r>
      <rPr>
        <b/>
        <sz val="8"/>
        <color rgb="FF000000"/>
        <rFont val="Segoe UI"/>
        <family val="2"/>
      </rPr>
      <t xml:space="preserve">     </t>
    </r>
    <r>
      <rPr>
        <b/>
        <sz val="8"/>
        <color rgb="FF6495ED"/>
        <rFont val="Segoe UI"/>
        <family val="2"/>
      </rPr>
      <t xml:space="preserve">Exam Month : </t>
    </r>
    <r>
      <rPr>
        <b/>
        <sz val="8"/>
        <color rgb="FF000000"/>
        <rFont val="Segoe UI"/>
        <family val="2"/>
      </rPr>
      <t xml:space="preserve">December 2024/January 2025 </t>
    </r>
    <r>
      <rPr>
        <b/>
        <sz val="8"/>
        <color rgb="FF000000"/>
        <rFont val="Segoe UI"/>
        <family val="2"/>
      </rPr>
      <t xml:space="preserve">                    </t>
    </r>
    <r>
      <rPr>
        <b/>
        <sz val="8"/>
        <color rgb="FF6495ED"/>
        <rFont val="Segoe UI"/>
        <family val="2"/>
      </rPr>
      <t xml:space="preserve">Discipline : </t>
    </r>
  </si>
</sst>
</file>

<file path=xl/styles.xml><?xml version="1.0" encoding="utf-8"?>
<styleSheet xmlns="http://schemas.openxmlformats.org/spreadsheetml/2006/main">
  <numFmts count="1">
    <numFmt numFmtId="164" formatCode="[$-10409]0.00;\(0.00\)"/>
  </numFmts>
  <fonts count="12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6495ED"/>
      <name val="Segoe UI"/>
      <family val="2"/>
    </font>
    <font>
      <b/>
      <sz val="8"/>
      <color rgb="FF6495ED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Calibri"/>
      <family val="2"/>
    </font>
    <font>
      <b/>
      <sz val="6"/>
      <color rgb="FF6495ED"/>
      <name val="Segoe UI"/>
      <family val="2"/>
    </font>
    <font>
      <b/>
      <sz val="6.5"/>
      <color rgb="FF000000"/>
      <name val="Segoe UI"/>
      <family val="2"/>
    </font>
    <font>
      <b/>
      <sz val="8"/>
      <color rgb="FF000000"/>
      <name val="Segoe U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1" fillId="0" borderId="0" xfId="0" applyFont="1"/>
    <xf numFmtId="0" fontId="4" fillId="3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6" fillId="3" borderId="1" xfId="0" applyFont="1" applyFill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2" borderId="0" xfId="0" applyFont="1" applyFill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top" wrapText="1" readingOrder="1"/>
    </xf>
    <xf numFmtId="0" fontId="8" fillId="4" borderId="1" xfId="0" applyFont="1" applyFill="1" applyBorder="1" applyAlignment="1">
      <alignment horizontal="center" vertical="top" wrapText="1" readingOrder="1"/>
    </xf>
    <xf numFmtId="0" fontId="9" fillId="4" borderId="1" xfId="0" applyFont="1" applyFill="1" applyBorder="1" applyAlignment="1">
      <alignment horizontal="center" vertical="top" wrapText="1" readingOrder="1"/>
    </xf>
    <xf numFmtId="0" fontId="10" fillId="4" borderId="1" xfId="0" applyFont="1" applyFill="1" applyBorder="1" applyAlignment="1">
      <alignment horizontal="center" vertical="top" wrapText="1" readingOrder="1"/>
    </xf>
    <xf numFmtId="164" fontId="8" fillId="3" borderId="1" xfId="0" applyNumberFormat="1" applyFont="1" applyFill="1" applyBorder="1" applyAlignment="1">
      <alignment horizontal="center" vertical="top" wrapText="1" readingOrder="1"/>
    </xf>
    <xf numFmtId="0" fontId="8" fillId="3" borderId="1" xfId="0" applyFont="1" applyFill="1" applyBorder="1" applyAlignment="1">
      <alignment horizontal="left" vertical="top" wrapText="1" readingOrder="1"/>
    </xf>
    <xf numFmtId="0" fontId="4" fillId="2" borderId="8" xfId="0" applyFont="1" applyFill="1" applyBorder="1" applyAlignment="1">
      <alignment horizontal="center" vertical="top" wrapText="1" readingOrder="1"/>
    </xf>
    <xf numFmtId="0" fontId="11" fillId="2" borderId="0" xfId="0" applyFont="1" applyFill="1" applyAlignment="1">
      <alignment horizontal="center" vertical="top" wrapText="1" readingOrder="1"/>
    </xf>
    <xf numFmtId="0" fontId="1" fillId="0" borderId="0" xfId="0" applyFont="1"/>
    <xf numFmtId="0" fontId="8" fillId="4" borderId="1" xfId="0" applyFont="1" applyFill="1" applyBorder="1" applyAlignment="1">
      <alignment horizontal="center" vertical="top" wrapText="1" readingOrder="1"/>
    </xf>
    <xf numFmtId="0" fontId="8" fillId="4" borderId="10" xfId="0" applyFont="1" applyFill="1" applyBorder="1" applyAlignment="1">
      <alignment vertical="top" wrapText="1" readingOrder="1"/>
    </xf>
    <xf numFmtId="0" fontId="2" fillId="2" borderId="0" xfId="0" applyFont="1" applyFill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left" vertical="top" wrapText="1" readingOrder="1"/>
    </xf>
    <xf numFmtId="0" fontId="11" fillId="2" borderId="0" xfId="0" applyFont="1" applyFill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0" fillId="4" borderId="1" xfId="0" applyFont="1" applyFill="1" applyBorder="1" applyAlignment="1">
      <alignment horizontal="center" vertical="top" wrapText="1" readingOrder="1"/>
    </xf>
    <xf numFmtId="0" fontId="1" fillId="0" borderId="9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 readingOrder="1"/>
    </xf>
    <xf numFmtId="0" fontId="6" fillId="3" borderId="1" xfId="0" applyFont="1" applyFill="1" applyBorder="1" applyAlignment="1">
      <alignment horizontal="left" vertical="top" wrapText="1" readingOrder="1"/>
    </xf>
    <xf numFmtId="0" fontId="7" fillId="2" borderId="0" xfId="0" applyFont="1" applyFill="1" applyAlignment="1">
      <alignment horizontal="center" vertical="top" wrapText="1" readingOrder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20"/>
  <sheetViews>
    <sheetView showGridLines="0" workbookViewId="0">
      <pane ySplit="5" topLeftCell="A6" activePane="bottomLeft" state="frozen"/>
      <selection pane="bottomLeft" activeCell="B2" sqref="B2:F20"/>
    </sheetView>
  </sheetViews>
  <sheetFormatPr defaultRowHeight="15"/>
  <cols>
    <col min="1" max="1" width="1" customWidth="1"/>
    <col min="2" max="2" width="0.140625" customWidth="1"/>
    <col min="3" max="3" width="9.140625" customWidth="1"/>
    <col min="4" max="4" width="17.5703125" customWidth="1"/>
    <col min="5" max="5" width="46.5703125" customWidth="1"/>
    <col min="6" max="6" width="44" customWidth="1"/>
    <col min="7" max="7" width="1.140625" customWidth="1"/>
  </cols>
  <sheetData>
    <row r="1" spans="2:6" ht="0.95" customHeight="1"/>
    <row r="2" spans="2:6" ht="16.149999999999999" customHeight="1">
      <c r="B2" s="17" t="s">
        <v>0</v>
      </c>
      <c r="C2" s="18"/>
      <c r="D2" s="18"/>
      <c r="E2" s="18"/>
      <c r="F2" s="18"/>
    </row>
    <row r="3" spans="2:6" ht="6.6" customHeight="1"/>
    <row r="4" spans="2:6" ht="23.85" customHeight="1">
      <c r="B4" s="19" t="s">
        <v>633</v>
      </c>
      <c r="C4" s="18"/>
      <c r="D4" s="18"/>
      <c r="E4" s="18"/>
      <c r="F4" s="18"/>
    </row>
    <row r="5" spans="2:6" ht="5.0999999999999996" customHeight="1"/>
    <row r="6" spans="2:6" ht="5.0999999999999996" customHeight="1"/>
    <row r="7" spans="2:6">
      <c r="C7" s="1" t="s">
        <v>2</v>
      </c>
      <c r="D7" s="1" t="s">
        <v>3</v>
      </c>
      <c r="E7" s="1" t="s">
        <v>4</v>
      </c>
    </row>
    <row r="8" spans="2:6">
      <c r="C8" s="2">
        <v>1</v>
      </c>
      <c r="D8" s="2" t="s">
        <v>5</v>
      </c>
      <c r="E8" s="2" t="s">
        <v>6</v>
      </c>
    </row>
    <row r="9" spans="2:6">
      <c r="C9" s="2">
        <v>2</v>
      </c>
      <c r="D9" s="2" t="s">
        <v>7</v>
      </c>
      <c r="E9" s="2" t="s">
        <v>8</v>
      </c>
    </row>
    <row r="10" spans="2:6">
      <c r="C10" s="2">
        <v>3</v>
      </c>
      <c r="D10" s="2" t="s">
        <v>9</v>
      </c>
      <c r="E10" s="2" t="s">
        <v>10</v>
      </c>
    </row>
    <row r="11" spans="2:6">
      <c r="C11" s="2">
        <v>4</v>
      </c>
      <c r="D11" s="2" t="s">
        <v>11</v>
      </c>
      <c r="E11" s="2" t="s">
        <v>12</v>
      </c>
    </row>
    <row r="12" spans="2:6">
      <c r="C12" s="2">
        <v>5</v>
      </c>
      <c r="D12" s="2" t="s">
        <v>13</v>
      </c>
      <c r="E12" s="2" t="s">
        <v>14</v>
      </c>
    </row>
    <row r="13" spans="2:6">
      <c r="C13" s="2">
        <v>6</v>
      </c>
      <c r="D13" s="2" t="s">
        <v>15</v>
      </c>
      <c r="E13" s="2" t="s">
        <v>16</v>
      </c>
    </row>
    <row r="14" spans="2:6">
      <c r="C14" s="2">
        <v>7</v>
      </c>
      <c r="D14" s="2" t="s">
        <v>17</v>
      </c>
      <c r="E14" s="2" t="s">
        <v>18</v>
      </c>
    </row>
    <row r="15" spans="2:6">
      <c r="C15" s="2">
        <v>8</v>
      </c>
      <c r="D15" s="2" t="s">
        <v>19</v>
      </c>
      <c r="E15" s="2" t="s">
        <v>20</v>
      </c>
    </row>
    <row r="16" spans="2:6">
      <c r="C16" s="2">
        <v>9</v>
      </c>
      <c r="D16" s="2" t="s">
        <v>21</v>
      </c>
      <c r="E16" s="2" t="s">
        <v>22</v>
      </c>
    </row>
    <row r="17" spans="3:5">
      <c r="C17" s="2">
        <v>10</v>
      </c>
      <c r="D17" s="2" t="s">
        <v>23</v>
      </c>
      <c r="E17" s="2" t="s">
        <v>24</v>
      </c>
    </row>
    <row r="18" spans="3:5">
      <c r="C18" s="2">
        <v>11</v>
      </c>
      <c r="D18" s="2" t="s">
        <v>25</v>
      </c>
      <c r="E18" s="2" t="s">
        <v>26</v>
      </c>
    </row>
    <row r="19" spans="3:5">
      <c r="C19" s="2">
        <v>12</v>
      </c>
      <c r="D19" s="2" t="s">
        <v>27</v>
      </c>
      <c r="E19" s="2" t="s">
        <v>28</v>
      </c>
    </row>
    <row r="20" spans="3:5">
      <c r="C20" s="2">
        <v>13</v>
      </c>
      <c r="D20" s="2" t="s">
        <v>29</v>
      </c>
      <c r="E20" s="2" t="s">
        <v>30</v>
      </c>
    </row>
  </sheetData>
  <mergeCells count="2">
    <mergeCell ref="B2:F2"/>
    <mergeCell ref="B4:F4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&amp;"-,Regular"16/04/2025 11:15 AM &amp;C&amp;"Segoe UI,Regular"&amp;9 Page 1   of  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D1:U1005"/>
  <sheetViews>
    <sheetView showGridLines="0" tabSelected="1" workbookViewId="0">
      <pane ySplit="5" topLeftCell="A68" activePane="bottomLeft" state="frozen"/>
      <selection pane="bottomLeft" activeCell="I79" activeCellId="1" sqref="Q83 I79:K79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7.5703125" customWidth="1"/>
    <col min="6" max="6" width="19.140625" customWidth="1"/>
    <col min="7" max="7" width="13.42578125" customWidth="1"/>
    <col min="8" max="8" width="9.85546875" customWidth="1"/>
    <col min="9" max="9" width="7.42578125" customWidth="1"/>
    <col min="10" max="10" width="0" hidden="1" customWidth="1"/>
    <col min="11" max="11" width="2.42578125" customWidth="1"/>
    <col min="12" max="12" width="7.42578125" customWidth="1"/>
    <col min="13" max="13" width="2.42578125" customWidth="1"/>
    <col min="14" max="17" width="9.85546875" customWidth="1"/>
    <col min="18" max="18" width="8" customWidth="1"/>
    <col min="19" max="19" width="1.85546875" customWidth="1"/>
    <col min="20" max="20" width="7.42578125" customWidth="1"/>
    <col min="21" max="21" width="0" hidden="1" customWidth="1"/>
    <col min="22" max="22" width="1.140625" customWidth="1"/>
  </cols>
  <sheetData>
    <row r="1" spans="4:21" ht="0.95" customHeight="1"/>
    <row r="2" spans="4:21" ht="16.149999999999999" customHeight="1">
      <c r="D2" s="17" t="s">
        <v>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4:21" ht="6.6" customHeight="1"/>
    <row r="4" spans="4:21" ht="23.85" customHeight="1">
      <c r="D4" s="19" t="s">
        <v>634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4:21" ht="5.0999999999999996" customHeight="1"/>
    <row r="6" spans="4:21" ht="11.25" customHeight="1"/>
    <row r="7" spans="4:21" ht="7.7" customHeight="1"/>
    <row r="8" spans="4:21" ht="0.6" customHeight="1"/>
    <row r="9" spans="4:21">
      <c r="E9" s="31" t="s">
        <v>31</v>
      </c>
      <c r="F9" s="22"/>
      <c r="G9" s="3" t="s">
        <v>32</v>
      </c>
      <c r="H9" s="5" t="s">
        <v>33</v>
      </c>
      <c r="I9" s="5" t="s">
        <v>33</v>
      </c>
    </row>
    <row r="10" spans="4:21" ht="21">
      <c r="E10" s="21" t="s">
        <v>34</v>
      </c>
      <c r="F10" s="22"/>
      <c r="G10" s="7" t="s">
        <v>35</v>
      </c>
      <c r="H10" s="7" t="s">
        <v>5</v>
      </c>
      <c r="I10" s="7" t="s">
        <v>36</v>
      </c>
    </row>
    <row r="11" spans="4:21" ht="22.5">
      <c r="E11" s="6" t="s">
        <v>37</v>
      </c>
      <c r="F11" s="6" t="s">
        <v>38</v>
      </c>
      <c r="G11" s="8" t="s">
        <v>39</v>
      </c>
      <c r="H11" s="9" t="s">
        <v>40</v>
      </c>
      <c r="I11" s="8" t="s">
        <v>33</v>
      </c>
    </row>
    <row r="12" spans="4:21">
      <c r="E12" s="21" t="s">
        <v>41</v>
      </c>
      <c r="F12" s="25"/>
      <c r="G12" s="8" t="s">
        <v>42</v>
      </c>
      <c r="H12" s="9" t="s">
        <v>43</v>
      </c>
      <c r="I12" s="8" t="s">
        <v>33</v>
      </c>
    </row>
    <row r="13" spans="4:21">
      <c r="E13" s="26"/>
      <c r="F13" s="27"/>
      <c r="G13" s="8" t="s">
        <v>44</v>
      </c>
      <c r="H13" s="9" t="s">
        <v>33</v>
      </c>
      <c r="I13" s="8">
        <v>0</v>
      </c>
    </row>
    <row r="14" spans="4:21">
      <c r="E14" s="28"/>
      <c r="F14" s="29"/>
      <c r="G14" s="8" t="s">
        <v>45</v>
      </c>
      <c r="H14" s="9">
        <v>4</v>
      </c>
      <c r="I14" s="8">
        <v>4</v>
      </c>
    </row>
    <row r="15" spans="4:21">
      <c r="E15" s="6" t="s">
        <v>46</v>
      </c>
      <c r="F15" s="6">
        <v>6.18</v>
      </c>
      <c r="G15" s="8" t="s">
        <v>47</v>
      </c>
      <c r="H15" s="9">
        <v>5</v>
      </c>
      <c r="I15" s="8" t="s">
        <v>33</v>
      </c>
    </row>
    <row r="16" spans="4:21">
      <c r="E16" s="6" t="s">
        <v>48</v>
      </c>
      <c r="F16" s="10">
        <v>6.25</v>
      </c>
      <c r="G16" s="8" t="s">
        <v>49</v>
      </c>
      <c r="H16" s="9">
        <v>20</v>
      </c>
      <c r="I16" s="8">
        <v>20</v>
      </c>
    </row>
    <row r="17" spans="5:12">
      <c r="E17" s="21" t="s">
        <v>50</v>
      </c>
      <c r="F17" s="22"/>
      <c r="G17" s="8" t="s">
        <v>36</v>
      </c>
      <c r="H17" s="9">
        <v>48</v>
      </c>
      <c r="I17" s="8">
        <v>48</v>
      </c>
    </row>
    <row r="18" spans="5:12">
      <c r="E18" s="6" t="s">
        <v>51</v>
      </c>
      <c r="F18" s="6"/>
      <c r="G18" s="8" t="s">
        <v>52</v>
      </c>
      <c r="H18" s="9">
        <v>100</v>
      </c>
      <c r="I18" s="8">
        <v>100</v>
      </c>
    </row>
    <row r="19" spans="5:12">
      <c r="E19" s="21" t="s">
        <v>53</v>
      </c>
      <c r="F19" s="22"/>
      <c r="G19" s="8" t="s">
        <v>54</v>
      </c>
      <c r="H19" s="9" t="s">
        <v>55</v>
      </c>
      <c r="I19" s="8" t="s">
        <v>33</v>
      </c>
    </row>
    <row r="20" spans="5:12">
      <c r="E20" s="11" t="s">
        <v>56</v>
      </c>
      <c r="F20" s="11" t="s">
        <v>57</v>
      </c>
      <c r="G20" s="8" t="s">
        <v>58</v>
      </c>
      <c r="H20" s="9" t="s">
        <v>59</v>
      </c>
      <c r="I20" s="8" t="s">
        <v>33</v>
      </c>
    </row>
    <row r="21" spans="5:12">
      <c r="E21" s="12" t="s">
        <v>33</v>
      </c>
      <c r="F21" s="12" t="s">
        <v>33</v>
      </c>
      <c r="G21" s="12" t="s">
        <v>33</v>
      </c>
      <c r="H21" s="13" t="s">
        <v>33</v>
      </c>
      <c r="I21" s="13" t="s">
        <v>33</v>
      </c>
    </row>
    <row r="22" spans="5:12" ht="0" hidden="1" customHeight="1"/>
    <row r="23" spans="5:12" ht="0.6" customHeight="1"/>
    <row r="24" spans="5:12">
      <c r="E24" s="31" t="s">
        <v>31</v>
      </c>
      <c r="F24" s="22"/>
      <c r="G24" s="3" t="s">
        <v>32</v>
      </c>
      <c r="H24" s="5" t="s">
        <v>33</v>
      </c>
      <c r="I24" s="32" t="s">
        <v>33</v>
      </c>
      <c r="J24" s="18"/>
      <c r="K24" s="18"/>
      <c r="L24" s="5" t="s">
        <v>33</v>
      </c>
    </row>
    <row r="25" spans="5:12" ht="21">
      <c r="E25" s="21" t="s">
        <v>60</v>
      </c>
      <c r="F25" s="22"/>
      <c r="G25" s="7" t="s">
        <v>35</v>
      </c>
      <c r="H25" s="7" t="s">
        <v>5</v>
      </c>
      <c r="I25" s="30" t="s">
        <v>17</v>
      </c>
      <c r="J25" s="24"/>
      <c r="K25" s="22"/>
      <c r="L25" s="7" t="s">
        <v>36</v>
      </c>
    </row>
    <row r="26" spans="5:12" ht="22.5">
      <c r="E26" s="6" t="s">
        <v>37</v>
      </c>
      <c r="F26" s="6" t="s">
        <v>61</v>
      </c>
      <c r="G26" s="8" t="s">
        <v>39</v>
      </c>
      <c r="H26" s="9" t="s">
        <v>62</v>
      </c>
      <c r="I26" s="23" t="s">
        <v>63</v>
      </c>
      <c r="J26" s="24"/>
      <c r="K26" s="22"/>
      <c r="L26" s="8" t="s">
        <v>33</v>
      </c>
    </row>
    <row r="27" spans="5:12">
      <c r="E27" s="21" t="s">
        <v>64</v>
      </c>
      <c r="F27" s="25"/>
      <c r="G27" s="8" t="s">
        <v>42</v>
      </c>
      <c r="H27" s="9" t="s">
        <v>43</v>
      </c>
      <c r="I27" s="23" t="s">
        <v>43</v>
      </c>
      <c r="J27" s="24"/>
      <c r="K27" s="22"/>
      <c r="L27" s="8" t="s">
        <v>33</v>
      </c>
    </row>
    <row r="28" spans="5:12">
      <c r="E28" s="26"/>
      <c r="F28" s="27"/>
      <c r="G28" s="8" t="s">
        <v>44</v>
      </c>
      <c r="H28" s="9" t="s">
        <v>33</v>
      </c>
      <c r="I28" s="23" t="s">
        <v>33</v>
      </c>
      <c r="J28" s="24"/>
      <c r="K28" s="22"/>
      <c r="L28" s="8">
        <v>0</v>
      </c>
    </row>
    <row r="29" spans="5:12">
      <c r="E29" s="28"/>
      <c r="F29" s="29"/>
      <c r="G29" s="8" t="s">
        <v>45</v>
      </c>
      <c r="H29" s="9">
        <v>4</v>
      </c>
      <c r="I29" s="23">
        <v>3</v>
      </c>
      <c r="J29" s="24"/>
      <c r="K29" s="22"/>
      <c r="L29" s="8">
        <v>0</v>
      </c>
    </row>
    <row r="30" spans="5:12">
      <c r="E30" s="6" t="s">
        <v>46</v>
      </c>
      <c r="F30" s="6"/>
      <c r="G30" s="8" t="s">
        <v>47</v>
      </c>
      <c r="H30" s="9"/>
      <c r="I30" s="23"/>
      <c r="J30" s="24"/>
      <c r="K30" s="22"/>
      <c r="L30" s="8" t="s">
        <v>33</v>
      </c>
    </row>
    <row r="31" spans="5:12">
      <c r="E31" s="6" t="s">
        <v>48</v>
      </c>
      <c r="F31" s="6"/>
      <c r="G31" s="8" t="s">
        <v>49</v>
      </c>
      <c r="H31" s="9"/>
      <c r="I31" s="23"/>
      <c r="J31" s="24"/>
      <c r="K31" s="22"/>
      <c r="L31" s="8"/>
    </row>
    <row r="32" spans="5:12">
      <c r="E32" s="21" t="s">
        <v>65</v>
      </c>
      <c r="F32" s="22"/>
      <c r="G32" s="8" t="s">
        <v>36</v>
      </c>
      <c r="H32" s="9">
        <v>37</v>
      </c>
      <c r="I32" s="23">
        <v>30</v>
      </c>
      <c r="J32" s="24"/>
      <c r="K32" s="22"/>
      <c r="L32" s="8">
        <v>67</v>
      </c>
    </row>
    <row r="33" spans="5:12">
      <c r="E33" s="6" t="s">
        <v>51</v>
      </c>
      <c r="F33" s="6"/>
      <c r="G33" s="8" t="s">
        <v>52</v>
      </c>
      <c r="H33" s="9">
        <v>100</v>
      </c>
      <c r="I33" s="23">
        <v>100</v>
      </c>
      <c r="J33" s="24"/>
      <c r="K33" s="22"/>
      <c r="L33" s="8">
        <v>200</v>
      </c>
    </row>
    <row r="34" spans="5:12">
      <c r="E34" s="21" t="s">
        <v>66</v>
      </c>
      <c r="F34" s="22"/>
      <c r="G34" s="8" t="s">
        <v>54</v>
      </c>
      <c r="H34" s="9"/>
      <c r="I34" s="23"/>
      <c r="J34" s="24"/>
      <c r="K34" s="22"/>
      <c r="L34" s="8" t="s">
        <v>33</v>
      </c>
    </row>
    <row r="35" spans="5:12">
      <c r="E35" s="11" t="s">
        <v>56</v>
      </c>
      <c r="F35" s="11" t="s">
        <v>67</v>
      </c>
      <c r="G35" s="8" t="s">
        <v>58</v>
      </c>
      <c r="H35" s="9" t="s">
        <v>68</v>
      </c>
      <c r="I35" s="23" t="s">
        <v>68</v>
      </c>
      <c r="J35" s="24"/>
      <c r="K35" s="22"/>
      <c r="L35" s="8" t="s">
        <v>33</v>
      </c>
    </row>
    <row r="36" spans="5:12">
      <c r="E36" s="12" t="s">
        <v>33</v>
      </c>
      <c r="F36" s="12" t="s">
        <v>33</v>
      </c>
      <c r="G36" s="12" t="s">
        <v>33</v>
      </c>
      <c r="H36" s="13" t="s">
        <v>33</v>
      </c>
      <c r="I36" s="20" t="s">
        <v>33</v>
      </c>
      <c r="J36" s="18"/>
      <c r="K36" s="18"/>
      <c r="L36" s="13" t="s">
        <v>33</v>
      </c>
    </row>
    <row r="37" spans="5:12" ht="0" hidden="1" customHeight="1"/>
    <row r="38" spans="5:12" ht="0.6" customHeight="1"/>
    <row r="39" spans="5:12">
      <c r="E39" s="31" t="s">
        <v>31</v>
      </c>
      <c r="F39" s="22"/>
      <c r="G39" s="3" t="s">
        <v>32</v>
      </c>
      <c r="H39" s="5" t="s">
        <v>33</v>
      </c>
      <c r="I39" s="32" t="s">
        <v>33</v>
      </c>
      <c r="J39" s="18"/>
      <c r="K39" s="18"/>
      <c r="L39" s="5" t="s">
        <v>33</v>
      </c>
    </row>
    <row r="40" spans="5:12" ht="21">
      <c r="E40" s="21" t="s">
        <v>69</v>
      </c>
      <c r="F40" s="22"/>
      <c r="G40" s="7" t="s">
        <v>35</v>
      </c>
      <c r="H40" s="7" t="s">
        <v>5</v>
      </c>
      <c r="I40" s="30" t="s">
        <v>9</v>
      </c>
      <c r="J40" s="24"/>
      <c r="K40" s="22"/>
      <c r="L40" s="7" t="s">
        <v>36</v>
      </c>
    </row>
    <row r="41" spans="5:12" ht="22.5">
      <c r="E41" s="6" t="s">
        <v>37</v>
      </c>
      <c r="F41" s="6" t="s">
        <v>70</v>
      </c>
      <c r="G41" s="8" t="s">
        <v>39</v>
      </c>
      <c r="H41" s="9" t="s">
        <v>71</v>
      </c>
      <c r="I41" s="23" t="s">
        <v>72</v>
      </c>
      <c r="J41" s="24"/>
      <c r="K41" s="22"/>
      <c r="L41" s="8" t="s">
        <v>33</v>
      </c>
    </row>
    <row r="42" spans="5:12">
      <c r="E42" s="21" t="s">
        <v>73</v>
      </c>
      <c r="F42" s="25"/>
      <c r="G42" s="8" t="s">
        <v>42</v>
      </c>
      <c r="H42" s="9" t="s">
        <v>43</v>
      </c>
      <c r="I42" s="23" t="s">
        <v>43</v>
      </c>
      <c r="J42" s="24"/>
      <c r="K42" s="22"/>
      <c r="L42" s="8" t="s">
        <v>33</v>
      </c>
    </row>
    <row r="43" spans="5:12">
      <c r="E43" s="26"/>
      <c r="F43" s="27"/>
      <c r="G43" s="8" t="s">
        <v>44</v>
      </c>
      <c r="H43" s="9" t="s">
        <v>33</v>
      </c>
      <c r="I43" s="23" t="s">
        <v>33</v>
      </c>
      <c r="J43" s="24"/>
      <c r="K43" s="22"/>
      <c r="L43" s="8">
        <v>0</v>
      </c>
    </row>
    <row r="44" spans="5:12">
      <c r="E44" s="28"/>
      <c r="F44" s="29"/>
      <c r="G44" s="8" t="s">
        <v>45</v>
      </c>
      <c r="H44" s="9">
        <v>4</v>
      </c>
      <c r="I44" s="23">
        <v>4</v>
      </c>
      <c r="J44" s="24"/>
      <c r="K44" s="22"/>
      <c r="L44" s="8">
        <v>8</v>
      </c>
    </row>
    <row r="45" spans="5:12">
      <c r="E45" s="6" t="s">
        <v>46</v>
      </c>
      <c r="F45" s="6">
        <v>5.84</v>
      </c>
      <c r="G45" s="8" t="s">
        <v>47</v>
      </c>
      <c r="H45" s="9">
        <v>4.5</v>
      </c>
      <c r="I45" s="23">
        <v>6.5</v>
      </c>
      <c r="J45" s="24"/>
      <c r="K45" s="22"/>
      <c r="L45" s="8" t="s">
        <v>33</v>
      </c>
    </row>
    <row r="46" spans="5:12">
      <c r="E46" s="6" t="s">
        <v>48</v>
      </c>
      <c r="F46" s="10">
        <v>5.89</v>
      </c>
      <c r="G46" s="8" t="s">
        <v>49</v>
      </c>
      <c r="H46" s="9">
        <v>18</v>
      </c>
      <c r="I46" s="23">
        <v>26</v>
      </c>
      <c r="J46" s="24"/>
      <c r="K46" s="22"/>
      <c r="L46" s="8">
        <v>44</v>
      </c>
    </row>
    <row r="47" spans="5:12">
      <c r="E47" s="21" t="s">
        <v>50</v>
      </c>
      <c r="F47" s="22"/>
      <c r="G47" s="8" t="s">
        <v>36</v>
      </c>
      <c r="H47" s="9">
        <v>44</v>
      </c>
      <c r="I47" s="23">
        <v>63</v>
      </c>
      <c r="J47" s="24"/>
      <c r="K47" s="22"/>
      <c r="L47" s="8">
        <v>107</v>
      </c>
    </row>
    <row r="48" spans="5:12">
      <c r="E48" s="6" t="s">
        <v>51</v>
      </c>
      <c r="F48" s="6"/>
      <c r="G48" s="8" t="s">
        <v>52</v>
      </c>
      <c r="H48" s="9">
        <v>100</v>
      </c>
      <c r="I48" s="23">
        <v>100</v>
      </c>
      <c r="J48" s="24"/>
      <c r="K48" s="22"/>
      <c r="L48" s="8">
        <v>200</v>
      </c>
    </row>
    <row r="49" spans="5:12">
      <c r="E49" s="21" t="s">
        <v>74</v>
      </c>
      <c r="F49" s="22"/>
      <c r="G49" s="8" t="s">
        <v>54</v>
      </c>
      <c r="H49" s="9" t="s">
        <v>75</v>
      </c>
      <c r="I49" s="23" t="s">
        <v>76</v>
      </c>
      <c r="J49" s="24"/>
      <c r="K49" s="22"/>
      <c r="L49" s="8" t="s">
        <v>33</v>
      </c>
    </row>
    <row r="50" spans="5:12">
      <c r="E50" s="11" t="s">
        <v>56</v>
      </c>
      <c r="F50" s="11" t="s">
        <v>77</v>
      </c>
      <c r="G50" s="8" t="s">
        <v>58</v>
      </c>
      <c r="H50" s="9" t="s">
        <v>59</v>
      </c>
      <c r="I50" s="23" t="s">
        <v>59</v>
      </c>
      <c r="J50" s="24"/>
      <c r="K50" s="22"/>
      <c r="L50" s="8" t="s">
        <v>33</v>
      </c>
    </row>
    <row r="51" spans="5:12">
      <c r="E51" s="12" t="s">
        <v>33</v>
      </c>
      <c r="F51" s="12" t="s">
        <v>33</v>
      </c>
      <c r="G51" s="12" t="s">
        <v>33</v>
      </c>
      <c r="H51" s="13" t="s">
        <v>33</v>
      </c>
      <c r="I51" s="20" t="s">
        <v>33</v>
      </c>
      <c r="J51" s="18"/>
      <c r="K51" s="18"/>
      <c r="L51" s="13" t="s">
        <v>33</v>
      </c>
    </row>
    <row r="52" spans="5:12" ht="0" hidden="1" customHeight="1"/>
    <row r="53" spans="5:12" ht="0.6" customHeight="1"/>
    <row r="54" spans="5:12">
      <c r="E54" s="31" t="s">
        <v>31</v>
      </c>
      <c r="F54" s="22"/>
      <c r="G54" s="3" t="s">
        <v>32</v>
      </c>
      <c r="H54" s="5" t="s">
        <v>33</v>
      </c>
      <c r="I54" s="5" t="s">
        <v>33</v>
      </c>
    </row>
    <row r="55" spans="5:12" ht="21">
      <c r="E55" s="21" t="s">
        <v>78</v>
      </c>
      <c r="F55" s="22"/>
      <c r="G55" s="7" t="s">
        <v>35</v>
      </c>
      <c r="H55" s="7" t="s">
        <v>9</v>
      </c>
      <c r="I55" s="7" t="s">
        <v>36</v>
      </c>
    </row>
    <row r="56" spans="5:12" ht="22.5">
      <c r="E56" s="6" t="s">
        <v>37</v>
      </c>
      <c r="F56" s="6" t="s">
        <v>79</v>
      </c>
      <c r="G56" s="8" t="s">
        <v>39</v>
      </c>
      <c r="H56" s="9" t="s">
        <v>80</v>
      </c>
      <c r="I56" s="8" t="s">
        <v>33</v>
      </c>
    </row>
    <row r="57" spans="5:12">
      <c r="E57" s="21" t="s">
        <v>81</v>
      </c>
      <c r="F57" s="25"/>
      <c r="G57" s="8" t="s">
        <v>42</v>
      </c>
      <c r="H57" s="9" t="s">
        <v>43</v>
      </c>
      <c r="I57" s="8" t="s">
        <v>33</v>
      </c>
    </row>
    <row r="58" spans="5:12">
      <c r="E58" s="26"/>
      <c r="F58" s="27"/>
      <c r="G58" s="8" t="s">
        <v>44</v>
      </c>
      <c r="H58" s="9" t="s">
        <v>33</v>
      </c>
      <c r="I58" s="8">
        <v>0</v>
      </c>
    </row>
    <row r="59" spans="5:12">
      <c r="E59" s="28"/>
      <c r="F59" s="29"/>
      <c r="G59" s="8" t="s">
        <v>45</v>
      </c>
      <c r="H59" s="9">
        <v>4</v>
      </c>
      <c r="I59" s="8">
        <v>4</v>
      </c>
    </row>
    <row r="60" spans="5:12">
      <c r="E60" s="6" t="s">
        <v>46</v>
      </c>
      <c r="F60" s="6">
        <v>6.42</v>
      </c>
      <c r="G60" s="8" t="s">
        <v>47</v>
      </c>
      <c r="H60" s="9">
        <v>6.5</v>
      </c>
      <c r="I60" s="8" t="s">
        <v>33</v>
      </c>
    </row>
    <row r="61" spans="5:12">
      <c r="E61" s="6" t="s">
        <v>48</v>
      </c>
      <c r="F61" s="10">
        <v>6.26</v>
      </c>
      <c r="G61" s="8" t="s">
        <v>49</v>
      </c>
      <c r="H61" s="9">
        <v>26</v>
      </c>
      <c r="I61" s="8">
        <v>26</v>
      </c>
    </row>
    <row r="62" spans="5:12">
      <c r="E62" s="21" t="s">
        <v>50</v>
      </c>
      <c r="F62" s="22"/>
      <c r="G62" s="8" t="s">
        <v>36</v>
      </c>
      <c r="H62" s="9">
        <v>62</v>
      </c>
      <c r="I62" s="8">
        <v>62</v>
      </c>
    </row>
    <row r="63" spans="5:12">
      <c r="E63" s="6" t="s">
        <v>51</v>
      </c>
      <c r="F63" s="6"/>
      <c r="G63" s="8" t="s">
        <v>52</v>
      </c>
      <c r="H63" s="9">
        <v>100</v>
      </c>
      <c r="I63" s="8">
        <v>100</v>
      </c>
    </row>
    <row r="64" spans="5:12">
      <c r="E64" s="21" t="s">
        <v>53</v>
      </c>
      <c r="F64" s="22"/>
      <c r="G64" s="8" t="s">
        <v>54</v>
      </c>
      <c r="H64" s="9" t="s">
        <v>76</v>
      </c>
      <c r="I64" s="8" t="s">
        <v>33</v>
      </c>
    </row>
    <row r="65" spans="5:20">
      <c r="E65" s="11" t="s">
        <v>56</v>
      </c>
      <c r="F65" s="11" t="s">
        <v>82</v>
      </c>
      <c r="G65" s="8" t="s">
        <v>58</v>
      </c>
      <c r="H65" s="9" t="s">
        <v>59</v>
      </c>
      <c r="I65" s="8" t="s">
        <v>33</v>
      </c>
    </row>
    <row r="66" spans="5:20">
      <c r="E66" s="12" t="s">
        <v>33</v>
      </c>
      <c r="F66" s="12" t="s">
        <v>33</v>
      </c>
      <c r="G66" s="12" t="s">
        <v>33</v>
      </c>
      <c r="H66" s="13" t="s">
        <v>33</v>
      </c>
      <c r="I66" s="13" t="s">
        <v>33</v>
      </c>
    </row>
    <row r="67" spans="5:20" ht="0.6" customHeight="1"/>
    <row r="68" spans="5:20">
      <c r="E68" s="31" t="s">
        <v>31</v>
      </c>
      <c r="F68" s="22"/>
      <c r="G68" s="3" t="s">
        <v>32</v>
      </c>
      <c r="H68" s="5" t="s">
        <v>33</v>
      </c>
      <c r="I68" s="32" t="s">
        <v>33</v>
      </c>
      <c r="J68" s="18"/>
      <c r="K68" s="18"/>
      <c r="L68" s="32" t="s">
        <v>33</v>
      </c>
      <c r="M68" s="18"/>
      <c r="N68" s="5" t="s">
        <v>33</v>
      </c>
      <c r="O68" s="5" t="s">
        <v>33</v>
      </c>
      <c r="P68" s="5" t="s">
        <v>33</v>
      </c>
      <c r="Q68" s="5" t="s">
        <v>33</v>
      </c>
      <c r="R68" s="32" t="s">
        <v>33</v>
      </c>
      <c r="S68" s="18"/>
      <c r="T68" s="5" t="s">
        <v>33</v>
      </c>
    </row>
    <row r="69" spans="5:20" ht="21">
      <c r="E69" s="21" t="s">
        <v>83</v>
      </c>
      <c r="F69" s="22"/>
      <c r="G69" s="7" t="s">
        <v>35</v>
      </c>
      <c r="H69" s="7" t="s">
        <v>5</v>
      </c>
      <c r="I69" s="30" t="s">
        <v>7</v>
      </c>
      <c r="J69" s="24"/>
      <c r="K69" s="22"/>
      <c r="L69" s="30" t="s">
        <v>9</v>
      </c>
      <c r="M69" s="22"/>
      <c r="N69" s="7" t="s">
        <v>11</v>
      </c>
      <c r="O69" s="7" t="s">
        <v>15</v>
      </c>
      <c r="P69" s="7" t="s">
        <v>17</v>
      </c>
      <c r="Q69" s="7" t="s">
        <v>21</v>
      </c>
      <c r="R69" s="30" t="s">
        <v>27</v>
      </c>
      <c r="S69" s="22"/>
      <c r="T69" s="7" t="s">
        <v>36</v>
      </c>
    </row>
    <row r="70" spans="5:20" ht="22.5">
      <c r="E70" s="6" t="s">
        <v>37</v>
      </c>
      <c r="F70" s="6" t="s">
        <v>84</v>
      </c>
      <c r="G70" s="8" t="s">
        <v>39</v>
      </c>
      <c r="H70" s="9" t="s">
        <v>85</v>
      </c>
      <c r="I70" s="23" t="s">
        <v>86</v>
      </c>
      <c r="J70" s="24"/>
      <c r="K70" s="22"/>
      <c r="L70" s="23" t="s">
        <v>85</v>
      </c>
      <c r="M70" s="22"/>
      <c r="N70" s="9" t="s">
        <v>87</v>
      </c>
      <c r="O70" s="9" t="s">
        <v>85</v>
      </c>
      <c r="P70" s="9" t="s">
        <v>88</v>
      </c>
      <c r="Q70" s="9" t="s">
        <v>89</v>
      </c>
      <c r="R70" s="23" t="s">
        <v>43</v>
      </c>
      <c r="S70" s="22"/>
      <c r="T70" s="8" t="s">
        <v>33</v>
      </c>
    </row>
    <row r="71" spans="5:20">
      <c r="E71" s="21" t="s">
        <v>90</v>
      </c>
      <c r="F71" s="25"/>
      <c r="G71" s="8" t="s">
        <v>42</v>
      </c>
      <c r="H71" s="9" t="s">
        <v>43</v>
      </c>
      <c r="I71" s="23" t="s">
        <v>43</v>
      </c>
      <c r="J71" s="24"/>
      <c r="K71" s="22"/>
      <c r="L71" s="23" t="s">
        <v>43</v>
      </c>
      <c r="M71" s="22"/>
      <c r="N71" s="9" t="s">
        <v>43</v>
      </c>
      <c r="O71" s="9" t="s">
        <v>43</v>
      </c>
      <c r="P71" s="9" t="s">
        <v>43</v>
      </c>
      <c r="Q71" s="9" t="s">
        <v>43</v>
      </c>
      <c r="R71" s="23" t="s">
        <v>91</v>
      </c>
      <c r="S71" s="22"/>
      <c r="T71" s="8" t="s">
        <v>33</v>
      </c>
    </row>
    <row r="72" spans="5:20">
      <c r="E72" s="26"/>
      <c r="F72" s="27"/>
      <c r="G72" s="8" t="s">
        <v>44</v>
      </c>
      <c r="H72" s="9" t="s">
        <v>33</v>
      </c>
      <c r="I72" s="23" t="s">
        <v>33</v>
      </c>
      <c r="J72" s="24"/>
      <c r="K72" s="22"/>
      <c r="L72" s="23" t="s">
        <v>33</v>
      </c>
      <c r="M72" s="22"/>
      <c r="N72" s="9" t="s">
        <v>33</v>
      </c>
      <c r="O72" s="9" t="s">
        <v>33</v>
      </c>
      <c r="P72" s="9" t="s">
        <v>33</v>
      </c>
      <c r="Q72" s="9" t="s">
        <v>33</v>
      </c>
      <c r="R72" s="23" t="s">
        <v>33</v>
      </c>
      <c r="S72" s="22"/>
      <c r="T72" s="8">
        <v>0</v>
      </c>
    </row>
    <row r="73" spans="5:20">
      <c r="E73" s="28"/>
      <c r="F73" s="29"/>
      <c r="G73" s="8" t="s">
        <v>45</v>
      </c>
      <c r="H73" s="9">
        <v>4</v>
      </c>
      <c r="I73" s="23">
        <v>4</v>
      </c>
      <c r="J73" s="24"/>
      <c r="K73" s="22"/>
      <c r="L73" s="23">
        <v>4</v>
      </c>
      <c r="M73" s="22"/>
      <c r="N73" s="9">
        <v>3</v>
      </c>
      <c r="O73" s="9">
        <v>3</v>
      </c>
      <c r="P73" s="9">
        <v>3</v>
      </c>
      <c r="Q73" s="9">
        <v>2</v>
      </c>
      <c r="R73" s="23">
        <v>2</v>
      </c>
      <c r="S73" s="22"/>
      <c r="T73" s="8">
        <v>25</v>
      </c>
    </row>
    <row r="74" spans="5:20">
      <c r="E74" s="6" t="s">
        <v>46</v>
      </c>
      <c r="F74" s="6">
        <v>9.74</v>
      </c>
      <c r="G74" s="8" t="s">
        <v>47</v>
      </c>
      <c r="H74" s="9">
        <v>10</v>
      </c>
      <c r="I74" s="23">
        <v>9.5</v>
      </c>
      <c r="J74" s="24"/>
      <c r="K74" s="22"/>
      <c r="L74" s="23">
        <v>10</v>
      </c>
      <c r="M74" s="22"/>
      <c r="N74" s="9">
        <v>8.5</v>
      </c>
      <c r="O74" s="9">
        <v>10</v>
      </c>
      <c r="P74" s="9">
        <v>10</v>
      </c>
      <c r="Q74" s="9">
        <v>10</v>
      </c>
      <c r="R74" s="23">
        <v>10</v>
      </c>
      <c r="S74" s="22"/>
      <c r="T74" s="8" t="s">
        <v>33</v>
      </c>
    </row>
    <row r="75" spans="5:20">
      <c r="E75" s="6" t="s">
        <v>48</v>
      </c>
      <c r="F75" s="10">
        <v>9.4700000000000006</v>
      </c>
      <c r="G75" s="8" t="s">
        <v>49</v>
      </c>
      <c r="H75" s="9">
        <v>40</v>
      </c>
      <c r="I75" s="23">
        <v>38</v>
      </c>
      <c r="J75" s="24"/>
      <c r="K75" s="22"/>
      <c r="L75" s="23">
        <v>40</v>
      </c>
      <c r="M75" s="22"/>
      <c r="N75" s="9">
        <v>25.5</v>
      </c>
      <c r="O75" s="9">
        <v>30</v>
      </c>
      <c r="P75" s="9">
        <v>30</v>
      </c>
      <c r="Q75" s="9">
        <v>20</v>
      </c>
      <c r="R75" s="23">
        <v>20</v>
      </c>
      <c r="S75" s="22"/>
      <c r="T75" s="8">
        <v>243.5</v>
      </c>
    </row>
    <row r="76" spans="5:20">
      <c r="E76" s="21" t="s">
        <v>50</v>
      </c>
      <c r="F76" s="22"/>
      <c r="G76" s="8" t="s">
        <v>36</v>
      </c>
      <c r="H76" s="9">
        <v>99</v>
      </c>
      <c r="I76" s="23">
        <v>94</v>
      </c>
      <c r="J76" s="24"/>
      <c r="K76" s="22"/>
      <c r="L76" s="23">
        <v>99</v>
      </c>
      <c r="M76" s="22"/>
      <c r="N76" s="9">
        <v>83</v>
      </c>
      <c r="O76" s="9">
        <v>99</v>
      </c>
      <c r="P76" s="9">
        <v>100</v>
      </c>
      <c r="Q76" s="9">
        <v>50</v>
      </c>
      <c r="R76" s="23">
        <v>50</v>
      </c>
      <c r="S76" s="22"/>
      <c r="T76" s="8">
        <v>674</v>
      </c>
    </row>
    <row r="77" spans="5:20">
      <c r="E77" s="6" t="s">
        <v>51</v>
      </c>
      <c r="F77" s="6"/>
      <c r="G77" s="8" t="s">
        <v>52</v>
      </c>
      <c r="H77" s="9">
        <v>100</v>
      </c>
      <c r="I77" s="23">
        <v>100</v>
      </c>
      <c r="J77" s="24"/>
      <c r="K77" s="22"/>
      <c r="L77" s="23">
        <v>100</v>
      </c>
      <c r="M77" s="22"/>
      <c r="N77" s="9">
        <v>100</v>
      </c>
      <c r="O77" s="9">
        <v>100</v>
      </c>
      <c r="P77" s="9">
        <v>100</v>
      </c>
      <c r="Q77" s="9">
        <v>50</v>
      </c>
      <c r="R77" s="23">
        <v>50</v>
      </c>
      <c r="S77" s="22"/>
      <c r="T77" s="8">
        <v>700</v>
      </c>
    </row>
    <row r="78" spans="5:20">
      <c r="E78" s="21" t="s">
        <v>92</v>
      </c>
      <c r="F78" s="22"/>
      <c r="G78" s="8" t="s">
        <v>54</v>
      </c>
      <c r="H78" s="9" t="s">
        <v>93</v>
      </c>
      <c r="I78" s="23" t="s">
        <v>94</v>
      </c>
      <c r="J78" s="24"/>
      <c r="K78" s="22"/>
      <c r="L78" s="23" t="s">
        <v>93</v>
      </c>
      <c r="M78" s="22"/>
      <c r="N78" s="9" t="s">
        <v>95</v>
      </c>
      <c r="O78" s="9" t="s">
        <v>93</v>
      </c>
      <c r="P78" s="9" t="s">
        <v>93</v>
      </c>
      <c r="Q78" s="9" t="s">
        <v>93</v>
      </c>
      <c r="R78" s="23" t="s">
        <v>93</v>
      </c>
      <c r="S78" s="22"/>
      <c r="T78" s="8" t="s">
        <v>33</v>
      </c>
    </row>
    <row r="79" spans="5:20">
      <c r="E79" s="11" t="s">
        <v>56</v>
      </c>
      <c r="F79" s="11" t="s">
        <v>96</v>
      </c>
      <c r="G79" s="8" t="s">
        <v>58</v>
      </c>
      <c r="H79" s="9" t="s">
        <v>59</v>
      </c>
      <c r="I79" s="23" t="s">
        <v>59</v>
      </c>
      <c r="J79" s="24"/>
      <c r="K79" s="22"/>
      <c r="L79" s="23" t="s">
        <v>59</v>
      </c>
      <c r="M79" s="22"/>
      <c r="N79" s="9" t="s">
        <v>59</v>
      </c>
      <c r="O79" s="9" t="s">
        <v>59</v>
      </c>
      <c r="P79" s="9" t="s">
        <v>59</v>
      </c>
      <c r="Q79" s="9" t="s">
        <v>59</v>
      </c>
      <c r="R79" s="23" t="s">
        <v>59</v>
      </c>
      <c r="S79" s="22"/>
      <c r="T79" s="8" t="s">
        <v>33</v>
      </c>
    </row>
    <row r="80" spans="5:20">
      <c r="E80" s="12" t="s">
        <v>33</v>
      </c>
      <c r="F80" s="12" t="s">
        <v>33</v>
      </c>
      <c r="G80" s="12" t="s">
        <v>33</v>
      </c>
      <c r="H80" s="13" t="s">
        <v>33</v>
      </c>
      <c r="I80" s="20" t="s">
        <v>33</v>
      </c>
      <c r="J80" s="18"/>
      <c r="K80" s="18"/>
      <c r="L80" s="20" t="s">
        <v>33</v>
      </c>
      <c r="M80" s="18"/>
      <c r="N80" s="13" t="s">
        <v>33</v>
      </c>
      <c r="O80" s="13" t="s">
        <v>33</v>
      </c>
      <c r="P80" s="13" t="s">
        <v>33</v>
      </c>
      <c r="Q80" s="13" t="s">
        <v>33</v>
      </c>
      <c r="R80" s="20" t="s">
        <v>33</v>
      </c>
      <c r="S80" s="18"/>
      <c r="T80" s="13" t="s">
        <v>33</v>
      </c>
    </row>
    <row r="81" spans="5:20" ht="0" hidden="1" customHeight="1"/>
    <row r="82" spans="5:20" ht="0.6" customHeight="1"/>
    <row r="83" spans="5:20">
      <c r="E83" s="31" t="s">
        <v>31</v>
      </c>
      <c r="F83" s="22"/>
      <c r="G83" s="3" t="s">
        <v>32</v>
      </c>
      <c r="H83" s="5" t="s">
        <v>33</v>
      </c>
      <c r="I83" s="32" t="s">
        <v>33</v>
      </c>
      <c r="J83" s="18"/>
      <c r="K83" s="18"/>
      <c r="L83" s="32" t="s">
        <v>33</v>
      </c>
      <c r="M83" s="18"/>
      <c r="N83" s="5" t="s">
        <v>33</v>
      </c>
      <c r="O83" s="5" t="s">
        <v>33</v>
      </c>
      <c r="P83" s="5" t="s">
        <v>33</v>
      </c>
      <c r="Q83" s="5" t="s">
        <v>33</v>
      </c>
      <c r="R83" s="32" t="s">
        <v>33</v>
      </c>
      <c r="S83" s="18"/>
      <c r="T83" s="5" t="s">
        <v>33</v>
      </c>
    </row>
    <row r="84" spans="5:20" ht="21">
      <c r="E84" s="21" t="s">
        <v>97</v>
      </c>
      <c r="F84" s="22"/>
      <c r="G84" s="7" t="s">
        <v>35</v>
      </c>
      <c r="H84" s="7" t="s">
        <v>5</v>
      </c>
      <c r="I84" s="30" t="s">
        <v>7</v>
      </c>
      <c r="J84" s="24"/>
      <c r="K84" s="22"/>
      <c r="L84" s="30" t="s">
        <v>9</v>
      </c>
      <c r="M84" s="22"/>
      <c r="N84" s="7" t="s">
        <v>11</v>
      </c>
      <c r="O84" s="7" t="s">
        <v>13</v>
      </c>
      <c r="P84" s="7" t="s">
        <v>17</v>
      </c>
      <c r="Q84" s="7" t="s">
        <v>19</v>
      </c>
      <c r="R84" s="30" t="s">
        <v>21</v>
      </c>
      <c r="S84" s="22"/>
      <c r="T84" s="7" t="s">
        <v>36</v>
      </c>
    </row>
    <row r="85" spans="5:20" ht="22.5">
      <c r="E85" s="6" t="s">
        <v>37</v>
      </c>
      <c r="F85" s="6" t="s">
        <v>98</v>
      </c>
      <c r="G85" s="8" t="s">
        <v>39</v>
      </c>
      <c r="H85" s="9" t="s">
        <v>99</v>
      </c>
      <c r="I85" s="23" t="s">
        <v>100</v>
      </c>
      <c r="J85" s="24"/>
      <c r="K85" s="22"/>
      <c r="L85" s="23" t="s">
        <v>101</v>
      </c>
      <c r="M85" s="22"/>
      <c r="N85" s="9" t="s">
        <v>102</v>
      </c>
      <c r="O85" s="9" t="s">
        <v>103</v>
      </c>
      <c r="P85" s="9" t="s">
        <v>104</v>
      </c>
      <c r="Q85" s="9" t="s">
        <v>43</v>
      </c>
      <c r="R85" s="23" t="s">
        <v>105</v>
      </c>
      <c r="S85" s="22"/>
      <c r="T85" s="8" t="s">
        <v>33</v>
      </c>
    </row>
    <row r="86" spans="5:20">
      <c r="E86" s="21" t="s">
        <v>106</v>
      </c>
      <c r="F86" s="25"/>
      <c r="G86" s="8" t="s">
        <v>42</v>
      </c>
      <c r="H86" s="9" t="s">
        <v>43</v>
      </c>
      <c r="I86" s="23" t="s">
        <v>43</v>
      </c>
      <c r="J86" s="24"/>
      <c r="K86" s="22"/>
      <c r="L86" s="23" t="s">
        <v>43</v>
      </c>
      <c r="M86" s="22"/>
      <c r="N86" s="9" t="s">
        <v>43</v>
      </c>
      <c r="O86" s="9" t="s">
        <v>43</v>
      </c>
      <c r="P86" s="9" t="s">
        <v>43</v>
      </c>
      <c r="Q86" s="9" t="s">
        <v>107</v>
      </c>
      <c r="R86" s="23" t="s">
        <v>43</v>
      </c>
      <c r="S86" s="22"/>
      <c r="T86" s="8" t="s">
        <v>33</v>
      </c>
    </row>
    <row r="87" spans="5:20">
      <c r="E87" s="26"/>
      <c r="F87" s="27"/>
      <c r="G87" s="8" t="s">
        <v>44</v>
      </c>
      <c r="H87" s="9" t="s">
        <v>33</v>
      </c>
      <c r="I87" s="23" t="s">
        <v>33</v>
      </c>
      <c r="J87" s="24"/>
      <c r="K87" s="22"/>
      <c r="L87" s="23" t="s">
        <v>33</v>
      </c>
      <c r="M87" s="22"/>
      <c r="N87" s="9" t="s">
        <v>33</v>
      </c>
      <c r="O87" s="9" t="s">
        <v>33</v>
      </c>
      <c r="P87" s="9" t="s">
        <v>33</v>
      </c>
      <c r="Q87" s="9" t="s">
        <v>33</v>
      </c>
      <c r="R87" s="23" t="s">
        <v>33</v>
      </c>
      <c r="S87" s="22"/>
      <c r="T87" s="8">
        <v>0</v>
      </c>
    </row>
    <row r="88" spans="5:20">
      <c r="E88" s="28"/>
      <c r="F88" s="29"/>
      <c r="G88" s="8" t="s">
        <v>45</v>
      </c>
      <c r="H88" s="9">
        <v>4</v>
      </c>
      <c r="I88" s="23">
        <v>4</v>
      </c>
      <c r="J88" s="24"/>
      <c r="K88" s="22"/>
      <c r="L88" s="23">
        <v>4</v>
      </c>
      <c r="M88" s="22"/>
      <c r="N88" s="9">
        <v>3</v>
      </c>
      <c r="O88" s="9">
        <v>3</v>
      </c>
      <c r="P88" s="9">
        <v>3</v>
      </c>
      <c r="Q88" s="9">
        <v>2</v>
      </c>
      <c r="R88" s="23">
        <v>2</v>
      </c>
      <c r="S88" s="22"/>
      <c r="T88" s="8">
        <v>22</v>
      </c>
    </row>
    <row r="89" spans="5:20">
      <c r="E89" s="6" t="s">
        <v>46</v>
      </c>
      <c r="F89" s="6"/>
      <c r="G89" s="8" t="s">
        <v>47</v>
      </c>
      <c r="H89" s="9">
        <v>5</v>
      </c>
      <c r="I89" s="23">
        <v>7.5</v>
      </c>
      <c r="J89" s="24"/>
      <c r="K89" s="22"/>
      <c r="L89" s="23">
        <v>7</v>
      </c>
      <c r="M89" s="22"/>
      <c r="N89" s="9">
        <v>7</v>
      </c>
      <c r="O89" s="9">
        <v>6.5</v>
      </c>
      <c r="P89" s="9"/>
      <c r="Q89" s="9">
        <v>10</v>
      </c>
      <c r="R89" s="23">
        <v>7.5</v>
      </c>
      <c r="S89" s="22"/>
      <c r="T89" s="8" t="s">
        <v>33</v>
      </c>
    </row>
    <row r="90" spans="5:20">
      <c r="E90" s="6" t="s">
        <v>48</v>
      </c>
      <c r="F90" s="6"/>
      <c r="G90" s="8" t="s">
        <v>49</v>
      </c>
      <c r="H90" s="9">
        <v>20</v>
      </c>
      <c r="I90" s="23">
        <v>30</v>
      </c>
      <c r="J90" s="24"/>
      <c r="K90" s="22"/>
      <c r="L90" s="23">
        <v>28</v>
      </c>
      <c r="M90" s="22"/>
      <c r="N90" s="9">
        <v>21</v>
      </c>
      <c r="O90" s="9">
        <v>19.5</v>
      </c>
      <c r="P90" s="9"/>
      <c r="Q90" s="9">
        <v>20</v>
      </c>
      <c r="R90" s="23">
        <v>15</v>
      </c>
      <c r="S90" s="22"/>
      <c r="T90" s="8">
        <v>153.5</v>
      </c>
    </row>
    <row r="91" spans="5:20">
      <c r="E91" s="21" t="s">
        <v>65</v>
      </c>
      <c r="F91" s="22"/>
      <c r="G91" s="8" t="s">
        <v>36</v>
      </c>
      <c r="H91" s="9">
        <v>47</v>
      </c>
      <c r="I91" s="23">
        <v>70</v>
      </c>
      <c r="J91" s="24"/>
      <c r="K91" s="22"/>
      <c r="L91" s="23">
        <v>68</v>
      </c>
      <c r="M91" s="22"/>
      <c r="N91" s="9">
        <v>66</v>
      </c>
      <c r="O91" s="9">
        <v>61</v>
      </c>
      <c r="P91" s="9">
        <v>34</v>
      </c>
      <c r="Q91" s="9">
        <v>48</v>
      </c>
      <c r="R91" s="23">
        <v>37</v>
      </c>
      <c r="S91" s="22"/>
      <c r="T91" s="8">
        <v>431</v>
      </c>
    </row>
    <row r="92" spans="5:20">
      <c r="E92" s="6" t="s">
        <v>51</v>
      </c>
      <c r="F92" s="6"/>
      <c r="G92" s="8" t="s">
        <v>52</v>
      </c>
      <c r="H92" s="9">
        <v>100</v>
      </c>
      <c r="I92" s="23">
        <v>100</v>
      </c>
      <c r="J92" s="24"/>
      <c r="K92" s="22"/>
      <c r="L92" s="23">
        <v>100</v>
      </c>
      <c r="M92" s="22"/>
      <c r="N92" s="9">
        <v>100</v>
      </c>
      <c r="O92" s="9">
        <v>100</v>
      </c>
      <c r="P92" s="9">
        <v>100</v>
      </c>
      <c r="Q92" s="9">
        <v>50</v>
      </c>
      <c r="R92" s="23">
        <v>50</v>
      </c>
      <c r="S92" s="22"/>
      <c r="T92" s="8">
        <v>700</v>
      </c>
    </row>
    <row r="93" spans="5:20">
      <c r="E93" s="21" t="s">
        <v>66</v>
      </c>
      <c r="F93" s="22"/>
      <c r="G93" s="8" t="s">
        <v>54</v>
      </c>
      <c r="H93" s="9" t="s">
        <v>55</v>
      </c>
      <c r="I93" s="23" t="s">
        <v>108</v>
      </c>
      <c r="J93" s="24"/>
      <c r="K93" s="22"/>
      <c r="L93" s="23" t="s">
        <v>109</v>
      </c>
      <c r="M93" s="22"/>
      <c r="N93" s="9" t="s">
        <v>109</v>
      </c>
      <c r="O93" s="9" t="s">
        <v>76</v>
      </c>
      <c r="P93" s="9"/>
      <c r="Q93" s="9" t="s">
        <v>93</v>
      </c>
      <c r="R93" s="23" t="s">
        <v>108</v>
      </c>
      <c r="S93" s="22"/>
      <c r="T93" s="8" t="s">
        <v>33</v>
      </c>
    </row>
    <row r="94" spans="5:20">
      <c r="E94" s="11" t="s">
        <v>56</v>
      </c>
      <c r="F94" s="11" t="s">
        <v>110</v>
      </c>
      <c r="G94" s="8" t="s">
        <v>58</v>
      </c>
      <c r="H94" s="9" t="s">
        <v>59</v>
      </c>
      <c r="I94" s="23" t="s">
        <v>59</v>
      </c>
      <c r="J94" s="24"/>
      <c r="K94" s="22"/>
      <c r="L94" s="23" t="s">
        <v>59</v>
      </c>
      <c r="M94" s="22"/>
      <c r="N94" s="9" t="s">
        <v>59</v>
      </c>
      <c r="O94" s="9" t="s">
        <v>59</v>
      </c>
      <c r="P94" s="9" t="s">
        <v>68</v>
      </c>
      <c r="Q94" s="9" t="s">
        <v>59</v>
      </c>
      <c r="R94" s="23" t="s">
        <v>59</v>
      </c>
      <c r="S94" s="22"/>
      <c r="T94" s="8" t="s">
        <v>33</v>
      </c>
    </row>
    <row r="95" spans="5:20">
      <c r="E95" s="12" t="s">
        <v>33</v>
      </c>
      <c r="F95" s="12" t="s">
        <v>33</v>
      </c>
      <c r="G95" s="12" t="s">
        <v>33</v>
      </c>
      <c r="H95" s="13" t="s">
        <v>33</v>
      </c>
      <c r="I95" s="20" t="s">
        <v>33</v>
      </c>
      <c r="J95" s="18"/>
      <c r="K95" s="18"/>
      <c r="L95" s="20" t="s">
        <v>33</v>
      </c>
      <c r="M95" s="18"/>
      <c r="N95" s="13" t="s">
        <v>33</v>
      </c>
      <c r="O95" s="13" t="s">
        <v>33</v>
      </c>
      <c r="P95" s="13" t="s">
        <v>33</v>
      </c>
      <c r="Q95" s="13" t="s">
        <v>33</v>
      </c>
      <c r="R95" s="20" t="s">
        <v>33</v>
      </c>
      <c r="S95" s="18"/>
      <c r="T95" s="13" t="s">
        <v>33</v>
      </c>
    </row>
    <row r="96" spans="5:20" ht="0" hidden="1" customHeight="1"/>
    <row r="97" spans="5:20" ht="0.6" customHeight="1"/>
    <row r="98" spans="5:20">
      <c r="E98" s="31" t="s">
        <v>31</v>
      </c>
      <c r="F98" s="22"/>
      <c r="G98" s="3" t="s">
        <v>32</v>
      </c>
      <c r="H98" s="5" t="s">
        <v>33</v>
      </c>
      <c r="I98" s="32" t="s">
        <v>33</v>
      </c>
      <c r="J98" s="18"/>
      <c r="K98" s="18"/>
      <c r="L98" s="32" t="s">
        <v>33</v>
      </c>
      <c r="M98" s="18"/>
      <c r="N98" s="5" t="s">
        <v>33</v>
      </c>
      <c r="O98" s="5" t="s">
        <v>33</v>
      </c>
      <c r="P98" s="5" t="s">
        <v>33</v>
      </c>
      <c r="Q98" s="5" t="s">
        <v>33</v>
      </c>
      <c r="R98" s="32" t="s">
        <v>33</v>
      </c>
      <c r="S98" s="18"/>
      <c r="T98" s="5" t="s">
        <v>33</v>
      </c>
    </row>
    <row r="99" spans="5:20" ht="21">
      <c r="E99" s="21" t="s">
        <v>111</v>
      </c>
      <c r="F99" s="22"/>
      <c r="G99" s="7" t="s">
        <v>35</v>
      </c>
      <c r="H99" s="7" t="s">
        <v>5</v>
      </c>
      <c r="I99" s="30" t="s">
        <v>7</v>
      </c>
      <c r="J99" s="24"/>
      <c r="K99" s="22"/>
      <c r="L99" s="30" t="s">
        <v>9</v>
      </c>
      <c r="M99" s="22"/>
      <c r="N99" s="7" t="s">
        <v>11</v>
      </c>
      <c r="O99" s="7" t="s">
        <v>15</v>
      </c>
      <c r="P99" s="7" t="s">
        <v>17</v>
      </c>
      <c r="Q99" s="7" t="s">
        <v>19</v>
      </c>
      <c r="R99" s="30" t="s">
        <v>21</v>
      </c>
      <c r="S99" s="22"/>
      <c r="T99" s="7" t="s">
        <v>36</v>
      </c>
    </row>
    <row r="100" spans="5:20" ht="22.5">
      <c r="E100" s="6" t="s">
        <v>37</v>
      </c>
      <c r="F100" s="6" t="s">
        <v>112</v>
      </c>
      <c r="G100" s="8" t="s">
        <v>39</v>
      </c>
      <c r="H100" s="9" t="s">
        <v>113</v>
      </c>
      <c r="I100" s="23" t="s">
        <v>114</v>
      </c>
      <c r="J100" s="24"/>
      <c r="K100" s="22"/>
      <c r="L100" s="23" t="s">
        <v>115</v>
      </c>
      <c r="M100" s="22"/>
      <c r="N100" s="9" t="s">
        <v>116</v>
      </c>
      <c r="O100" s="9" t="s">
        <v>117</v>
      </c>
      <c r="P100" s="9" t="s">
        <v>118</v>
      </c>
      <c r="Q100" s="9" t="s">
        <v>43</v>
      </c>
      <c r="R100" s="23" t="s">
        <v>105</v>
      </c>
      <c r="S100" s="22"/>
      <c r="T100" s="8" t="s">
        <v>33</v>
      </c>
    </row>
    <row r="101" spans="5:20">
      <c r="E101" s="21" t="s">
        <v>119</v>
      </c>
      <c r="F101" s="25"/>
      <c r="G101" s="8" t="s">
        <v>42</v>
      </c>
      <c r="H101" s="9" t="s">
        <v>43</v>
      </c>
      <c r="I101" s="23" t="s">
        <v>43</v>
      </c>
      <c r="J101" s="24"/>
      <c r="K101" s="22"/>
      <c r="L101" s="23" t="s">
        <v>43</v>
      </c>
      <c r="M101" s="22"/>
      <c r="N101" s="9" t="s">
        <v>43</v>
      </c>
      <c r="O101" s="9" t="s">
        <v>43</v>
      </c>
      <c r="P101" s="9" t="s">
        <v>43</v>
      </c>
      <c r="Q101" s="9" t="s">
        <v>120</v>
      </c>
      <c r="R101" s="23" t="s">
        <v>43</v>
      </c>
      <c r="S101" s="22"/>
      <c r="T101" s="8" t="s">
        <v>33</v>
      </c>
    </row>
    <row r="102" spans="5:20">
      <c r="E102" s="26"/>
      <c r="F102" s="27"/>
      <c r="G102" s="8" t="s">
        <v>44</v>
      </c>
      <c r="H102" s="9" t="s">
        <v>33</v>
      </c>
      <c r="I102" s="23" t="s">
        <v>33</v>
      </c>
      <c r="J102" s="24"/>
      <c r="K102" s="22"/>
      <c r="L102" s="23" t="s">
        <v>33</v>
      </c>
      <c r="M102" s="22"/>
      <c r="N102" s="9" t="s">
        <v>33</v>
      </c>
      <c r="O102" s="9" t="s">
        <v>33</v>
      </c>
      <c r="P102" s="9" t="s">
        <v>33</v>
      </c>
      <c r="Q102" s="9" t="s">
        <v>33</v>
      </c>
      <c r="R102" s="23" t="s">
        <v>33</v>
      </c>
      <c r="S102" s="22"/>
      <c r="T102" s="8">
        <v>0</v>
      </c>
    </row>
    <row r="103" spans="5:20">
      <c r="E103" s="28"/>
      <c r="F103" s="29"/>
      <c r="G103" s="8" t="s">
        <v>45</v>
      </c>
      <c r="H103" s="9">
        <v>4</v>
      </c>
      <c r="I103" s="23">
        <v>4</v>
      </c>
      <c r="J103" s="24"/>
      <c r="K103" s="22"/>
      <c r="L103" s="23">
        <v>4</v>
      </c>
      <c r="M103" s="22"/>
      <c r="N103" s="9">
        <v>3</v>
      </c>
      <c r="O103" s="9">
        <v>3</v>
      </c>
      <c r="P103" s="9">
        <v>3</v>
      </c>
      <c r="Q103" s="9">
        <v>2</v>
      </c>
      <c r="R103" s="23">
        <v>2</v>
      </c>
      <c r="S103" s="22"/>
      <c r="T103" s="8">
        <v>25</v>
      </c>
    </row>
    <row r="104" spans="5:20">
      <c r="E104" s="6" t="s">
        <v>46</v>
      </c>
      <c r="F104" s="6">
        <v>7.6</v>
      </c>
      <c r="G104" s="8" t="s">
        <v>47</v>
      </c>
      <c r="H104" s="9">
        <v>6.5</v>
      </c>
      <c r="I104" s="23">
        <v>7.5</v>
      </c>
      <c r="J104" s="24"/>
      <c r="K104" s="22"/>
      <c r="L104" s="23">
        <v>9</v>
      </c>
      <c r="M104" s="22"/>
      <c r="N104" s="9">
        <v>7</v>
      </c>
      <c r="O104" s="9">
        <v>8.5</v>
      </c>
      <c r="P104" s="9">
        <v>5.5</v>
      </c>
      <c r="Q104" s="9">
        <v>10</v>
      </c>
      <c r="R104" s="23">
        <v>7.5</v>
      </c>
      <c r="S104" s="22"/>
      <c r="T104" s="8" t="s">
        <v>33</v>
      </c>
    </row>
    <row r="105" spans="5:20">
      <c r="E105" s="6" t="s">
        <v>48</v>
      </c>
      <c r="F105" s="10">
        <v>7.53</v>
      </c>
      <c r="G105" s="8" t="s">
        <v>49</v>
      </c>
      <c r="H105" s="9">
        <v>26</v>
      </c>
      <c r="I105" s="23">
        <v>30</v>
      </c>
      <c r="J105" s="24"/>
      <c r="K105" s="22"/>
      <c r="L105" s="23">
        <v>36</v>
      </c>
      <c r="M105" s="22"/>
      <c r="N105" s="9">
        <v>21</v>
      </c>
      <c r="O105" s="9">
        <v>25.5</v>
      </c>
      <c r="P105" s="9">
        <v>16.5</v>
      </c>
      <c r="Q105" s="9">
        <v>20</v>
      </c>
      <c r="R105" s="23">
        <v>15</v>
      </c>
      <c r="S105" s="22"/>
      <c r="T105" s="8">
        <v>190</v>
      </c>
    </row>
    <row r="106" spans="5:20">
      <c r="E106" s="21" t="s">
        <v>50</v>
      </c>
      <c r="F106" s="22"/>
      <c r="G106" s="8" t="s">
        <v>36</v>
      </c>
      <c r="H106" s="9">
        <v>64</v>
      </c>
      <c r="I106" s="23">
        <v>73</v>
      </c>
      <c r="J106" s="24"/>
      <c r="K106" s="22"/>
      <c r="L106" s="23">
        <v>89</v>
      </c>
      <c r="M106" s="22"/>
      <c r="N106" s="9">
        <v>68</v>
      </c>
      <c r="O106" s="9">
        <v>82</v>
      </c>
      <c r="P106" s="9">
        <v>54</v>
      </c>
      <c r="Q106" s="9">
        <v>49</v>
      </c>
      <c r="R106" s="23">
        <v>37</v>
      </c>
      <c r="S106" s="22"/>
      <c r="T106" s="8">
        <v>516</v>
      </c>
    </row>
    <row r="107" spans="5:20">
      <c r="E107" s="6" t="s">
        <v>51</v>
      </c>
      <c r="F107" s="6"/>
      <c r="G107" s="8" t="s">
        <v>52</v>
      </c>
      <c r="H107" s="9">
        <v>100</v>
      </c>
      <c r="I107" s="23">
        <v>100</v>
      </c>
      <c r="J107" s="24"/>
      <c r="K107" s="22"/>
      <c r="L107" s="23">
        <v>100</v>
      </c>
      <c r="M107" s="22"/>
      <c r="N107" s="9">
        <v>100</v>
      </c>
      <c r="O107" s="9">
        <v>100</v>
      </c>
      <c r="P107" s="9">
        <v>100</v>
      </c>
      <c r="Q107" s="9">
        <v>50</v>
      </c>
      <c r="R107" s="23">
        <v>50</v>
      </c>
      <c r="S107" s="22"/>
      <c r="T107" s="8">
        <v>700</v>
      </c>
    </row>
    <row r="108" spans="5:20">
      <c r="E108" s="21" t="s">
        <v>121</v>
      </c>
      <c r="F108" s="22"/>
      <c r="G108" s="8" t="s">
        <v>54</v>
      </c>
      <c r="H108" s="9" t="s">
        <v>76</v>
      </c>
      <c r="I108" s="23" t="s">
        <v>108</v>
      </c>
      <c r="J108" s="24"/>
      <c r="K108" s="22"/>
      <c r="L108" s="23" t="s">
        <v>122</v>
      </c>
      <c r="M108" s="22"/>
      <c r="N108" s="9" t="s">
        <v>109</v>
      </c>
      <c r="O108" s="9" t="s">
        <v>95</v>
      </c>
      <c r="P108" s="9" t="s">
        <v>123</v>
      </c>
      <c r="Q108" s="9" t="s">
        <v>93</v>
      </c>
      <c r="R108" s="23" t="s">
        <v>108</v>
      </c>
      <c r="S108" s="22"/>
      <c r="T108" s="8" t="s">
        <v>33</v>
      </c>
    </row>
    <row r="109" spans="5:20">
      <c r="E109" s="11" t="s">
        <v>56</v>
      </c>
      <c r="F109" s="11" t="s">
        <v>124</v>
      </c>
      <c r="G109" s="8" t="s">
        <v>58</v>
      </c>
      <c r="H109" s="9" t="s">
        <v>59</v>
      </c>
      <c r="I109" s="23" t="s">
        <v>59</v>
      </c>
      <c r="J109" s="24"/>
      <c r="K109" s="22"/>
      <c r="L109" s="23" t="s">
        <v>59</v>
      </c>
      <c r="M109" s="22"/>
      <c r="N109" s="9" t="s">
        <v>59</v>
      </c>
      <c r="O109" s="9" t="s">
        <v>59</v>
      </c>
      <c r="P109" s="9" t="s">
        <v>59</v>
      </c>
      <c r="Q109" s="9" t="s">
        <v>59</v>
      </c>
      <c r="R109" s="23" t="s">
        <v>59</v>
      </c>
      <c r="S109" s="22"/>
      <c r="T109" s="8" t="s">
        <v>33</v>
      </c>
    </row>
    <row r="110" spans="5:20">
      <c r="E110" s="12" t="s">
        <v>33</v>
      </c>
      <c r="F110" s="12" t="s">
        <v>33</v>
      </c>
      <c r="G110" s="12" t="s">
        <v>33</v>
      </c>
      <c r="H110" s="13" t="s">
        <v>33</v>
      </c>
      <c r="I110" s="20" t="s">
        <v>33</v>
      </c>
      <c r="J110" s="18"/>
      <c r="K110" s="18"/>
      <c r="L110" s="20" t="s">
        <v>33</v>
      </c>
      <c r="M110" s="18"/>
      <c r="N110" s="13" t="s">
        <v>33</v>
      </c>
      <c r="O110" s="13" t="s">
        <v>33</v>
      </c>
      <c r="P110" s="13" t="s">
        <v>33</v>
      </c>
      <c r="Q110" s="13" t="s">
        <v>33</v>
      </c>
      <c r="R110" s="20" t="s">
        <v>33</v>
      </c>
      <c r="S110" s="18"/>
      <c r="T110" s="13" t="s">
        <v>33</v>
      </c>
    </row>
    <row r="111" spans="5:20" ht="0" hidden="1" customHeight="1"/>
    <row r="112" spans="5:20" ht="0.6" customHeight="1"/>
    <row r="113" spans="5:20">
      <c r="E113" s="31" t="s">
        <v>31</v>
      </c>
      <c r="F113" s="22"/>
      <c r="G113" s="3" t="s">
        <v>32</v>
      </c>
      <c r="H113" s="5" t="s">
        <v>33</v>
      </c>
      <c r="I113" s="32" t="s">
        <v>33</v>
      </c>
      <c r="J113" s="18"/>
      <c r="K113" s="18"/>
      <c r="L113" s="32" t="s">
        <v>33</v>
      </c>
      <c r="M113" s="18"/>
      <c r="N113" s="5" t="s">
        <v>33</v>
      </c>
      <c r="O113" s="5" t="s">
        <v>33</v>
      </c>
      <c r="P113" s="5" t="s">
        <v>33</v>
      </c>
      <c r="Q113" s="5" t="s">
        <v>33</v>
      </c>
      <c r="R113" s="32" t="s">
        <v>33</v>
      </c>
      <c r="S113" s="18"/>
      <c r="T113" s="5" t="s">
        <v>33</v>
      </c>
    </row>
    <row r="114" spans="5:20" ht="21">
      <c r="E114" s="21" t="s">
        <v>125</v>
      </c>
      <c r="F114" s="22"/>
      <c r="G114" s="7" t="s">
        <v>35</v>
      </c>
      <c r="H114" s="7" t="s">
        <v>5</v>
      </c>
      <c r="I114" s="30" t="s">
        <v>7</v>
      </c>
      <c r="J114" s="24"/>
      <c r="K114" s="22"/>
      <c r="L114" s="30" t="s">
        <v>9</v>
      </c>
      <c r="M114" s="22"/>
      <c r="N114" s="7" t="s">
        <v>11</v>
      </c>
      <c r="O114" s="7" t="s">
        <v>15</v>
      </c>
      <c r="P114" s="7" t="s">
        <v>17</v>
      </c>
      <c r="Q114" s="7" t="s">
        <v>21</v>
      </c>
      <c r="R114" s="30" t="s">
        <v>27</v>
      </c>
      <c r="S114" s="22"/>
      <c r="T114" s="7" t="s">
        <v>36</v>
      </c>
    </row>
    <row r="115" spans="5:20" ht="22.5">
      <c r="E115" s="6" t="s">
        <v>37</v>
      </c>
      <c r="F115" s="6" t="s">
        <v>126</v>
      </c>
      <c r="G115" s="8" t="s">
        <v>39</v>
      </c>
      <c r="H115" s="9" t="s">
        <v>127</v>
      </c>
      <c r="I115" s="23" t="s">
        <v>128</v>
      </c>
      <c r="J115" s="24"/>
      <c r="K115" s="22"/>
      <c r="L115" s="23" t="s">
        <v>129</v>
      </c>
      <c r="M115" s="22"/>
      <c r="N115" s="9" t="s">
        <v>130</v>
      </c>
      <c r="O115" s="9" t="s">
        <v>131</v>
      </c>
      <c r="P115" s="9" t="s">
        <v>132</v>
      </c>
      <c r="Q115" s="9" t="s">
        <v>133</v>
      </c>
      <c r="R115" s="23" t="s">
        <v>43</v>
      </c>
      <c r="S115" s="22"/>
      <c r="T115" s="8" t="s">
        <v>33</v>
      </c>
    </row>
    <row r="116" spans="5:20">
      <c r="E116" s="21" t="s">
        <v>134</v>
      </c>
      <c r="F116" s="25"/>
      <c r="G116" s="8" t="s">
        <v>42</v>
      </c>
      <c r="H116" s="9" t="s">
        <v>43</v>
      </c>
      <c r="I116" s="23" t="s">
        <v>43</v>
      </c>
      <c r="J116" s="24"/>
      <c r="K116" s="22"/>
      <c r="L116" s="23" t="s">
        <v>43</v>
      </c>
      <c r="M116" s="22"/>
      <c r="N116" s="9" t="s">
        <v>43</v>
      </c>
      <c r="O116" s="9" t="s">
        <v>43</v>
      </c>
      <c r="P116" s="9" t="s">
        <v>43</v>
      </c>
      <c r="Q116" s="9" t="s">
        <v>43</v>
      </c>
      <c r="R116" s="23" t="s">
        <v>107</v>
      </c>
      <c r="S116" s="22"/>
      <c r="T116" s="8" t="s">
        <v>33</v>
      </c>
    </row>
    <row r="117" spans="5:20">
      <c r="E117" s="26"/>
      <c r="F117" s="27"/>
      <c r="G117" s="8" t="s">
        <v>44</v>
      </c>
      <c r="H117" s="9" t="s">
        <v>33</v>
      </c>
      <c r="I117" s="23" t="s">
        <v>33</v>
      </c>
      <c r="J117" s="24"/>
      <c r="K117" s="22"/>
      <c r="L117" s="23" t="s">
        <v>33</v>
      </c>
      <c r="M117" s="22"/>
      <c r="N117" s="9" t="s">
        <v>33</v>
      </c>
      <c r="O117" s="9" t="s">
        <v>33</v>
      </c>
      <c r="P117" s="9" t="s">
        <v>33</v>
      </c>
      <c r="Q117" s="9" t="s">
        <v>33</v>
      </c>
      <c r="R117" s="23" t="s">
        <v>33</v>
      </c>
      <c r="S117" s="22"/>
      <c r="T117" s="8">
        <v>0</v>
      </c>
    </row>
    <row r="118" spans="5:20">
      <c r="E118" s="28"/>
      <c r="F118" s="29"/>
      <c r="G118" s="8" t="s">
        <v>45</v>
      </c>
      <c r="H118" s="9">
        <v>4</v>
      </c>
      <c r="I118" s="23">
        <v>4</v>
      </c>
      <c r="J118" s="24"/>
      <c r="K118" s="22"/>
      <c r="L118" s="23">
        <v>4</v>
      </c>
      <c r="M118" s="22"/>
      <c r="N118" s="9">
        <v>3</v>
      </c>
      <c r="O118" s="9">
        <v>3</v>
      </c>
      <c r="P118" s="9">
        <v>3</v>
      </c>
      <c r="Q118" s="9">
        <v>2</v>
      </c>
      <c r="R118" s="23">
        <v>2</v>
      </c>
      <c r="S118" s="22"/>
      <c r="T118" s="8">
        <v>22</v>
      </c>
    </row>
    <row r="119" spans="5:20">
      <c r="E119" s="6" t="s">
        <v>46</v>
      </c>
      <c r="F119" s="6"/>
      <c r="G119" s="8" t="s">
        <v>47</v>
      </c>
      <c r="H119" s="9">
        <v>5.5</v>
      </c>
      <c r="I119" s="23">
        <v>6.5</v>
      </c>
      <c r="J119" s="24"/>
      <c r="K119" s="22"/>
      <c r="L119" s="23">
        <v>8</v>
      </c>
      <c r="M119" s="22"/>
      <c r="N119" s="9">
        <v>6.5</v>
      </c>
      <c r="O119" s="9">
        <v>7.5</v>
      </c>
      <c r="P119" s="9"/>
      <c r="Q119" s="9">
        <v>7.5</v>
      </c>
      <c r="R119" s="23">
        <v>10</v>
      </c>
      <c r="S119" s="22"/>
      <c r="T119" s="8" t="s">
        <v>33</v>
      </c>
    </row>
    <row r="120" spans="5:20">
      <c r="E120" s="6" t="s">
        <v>48</v>
      </c>
      <c r="F120" s="6"/>
      <c r="G120" s="8" t="s">
        <v>49</v>
      </c>
      <c r="H120" s="9">
        <v>22</v>
      </c>
      <c r="I120" s="23">
        <v>26</v>
      </c>
      <c r="J120" s="24"/>
      <c r="K120" s="22"/>
      <c r="L120" s="23">
        <v>32</v>
      </c>
      <c r="M120" s="22"/>
      <c r="N120" s="9">
        <v>19.5</v>
      </c>
      <c r="O120" s="9">
        <v>22.5</v>
      </c>
      <c r="P120" s="9"/>
      <c r="Q120" s="9">
        <v>15</v>
      </c>
      <c r="R120" s="23">
        <v>20</v>
      </c>
      <c r="S120" s="22"/>
      <c r="T120" s="8">
        <v>157</v>
      </c>
    </row>
    <row r="121" spans="5:20">
      <c r="E121" s="21" t="s">
        <v>65</v>
      </c>
      <c r="F121" s="22"/>
      <c r="G121" s="8" t="s">
        <v>36</v>
      </c>
      <c r="H121" s="9">
        <v>52</v>
      </c>
      <c r="I121" s="23">
        <v>61</v>
      </c>
      <c r="J121" s="24"/>
      <c r="K121" s="22"/>
      <c r="L121" s="23">
        <v>77</v>
      </c>
      <c r="M121" s="22"/>
      <c r="N121" s="9">
        <v>64</v>
      </c>
      <c r="O121" s="9">
        <v>74</v>
      </c>
      <c r="P121" s="9">
        <v>28</v>
      </c>
      <c r="Q121" s="9">
        <v>37</v>
      </c>
      <c r="R121" s="23">
        <v>48</v>
      </c>
      <c r="S121" s="22"/>
      <c r="T121" s="8">
        <v>441</v>
      </c>
    </row>
    <row r="122" spans="5:20">
      <c r="E122" s="6" t="s">
        <v>51</v>
      </c>
      <c r="F122" s="6"/>
      <c r="G122" s="8" t="s">
        <v>52</v>
      </c>
      <c r="H122" s="9">
        <v>100</v>
      </c>
      <c r="I122" s="23">
        <v>100</v>
      </c>
      <c r="J122" s="24"/>
      <c r="K122" s="22"/>
      <c r="L122" s="23">
        <v>100</v>
      </c>
      <c r="M122" s="22"/>
      <c r="N122" s="9">
        <v>100</v>
      </c>
      <c r="O122" s="9">
        <v>100</v>
      </c>
      <c r="P122" s="9">
        <v>100</v>
      </c>
      <c r="Q122" s="9">
        <v>50</v>
      </c>
      <c r="R122" s="23">
        <v>50</v>
      </c>
      <c r="S122" s="22"/>
      <c r="T122" s="8">
        <v>700</v>
      </c>
    </row>
    <row r="123" spans="5:20">
      <c r="E123" s="21" t="s">
        <v>66</v>
      </c>
      <c r="F123" s="22"/>
      <c r="G123" s="8" t="s">
        <v>54</v>
      </c>
      <c r="H123" s="9" t="s">
        <v>123</v>
      </c>
      <c r="I123" s="23" t="s">
        <v>76</v>
      </c>
      <c r="J123" s="24"/>
      <c r="K123" s="22"/>
      <c r="L123" s="23" t="s">
        <v>135</v>
      </c>
      <c r="M123" s="22"/>
      <c r="N123" s="9" t="s">
        <v>76</v>
      </c>
      <c r="O123" s="9" t="s">
        <v>108</v>
      </c>
      <c r="P123" s="9"/>
      <c r="Q123" s="9" t="s">
        <v>108</v>
      </c>
      <c r="R123" s="23" t="s">
        <v>93</v>
      </c>
      <c r="S123" s="22"/>
      <c r="T123" s="8" t="s">
        <v>33</v>
      </c>
    </row>
    <row r="124" spans="5:20">
      <c r="E124" s="11" t="s">
        <v>56</v>
      </c>
      <c r="F124" s="11" t="s">
        <v>136</v>
      </c>
      <c r="G124" s="8" t="s">
        <v>58</v>
      </c>
      <c r="H124" s="9" t="s">
        <v>59</v>
      </c>
      <c r="I124" s="23" t="s">
        <v>59</v>
      </c>
      <c r="J124" s="24"/>
      <c r="K124" s="22"/>
      <c r="L124" s="23" t="s">
        <v>59</v>
      </c>
      <c r="M124" s="22"/>
      <c r="N124" s="9" t="s">
        <v>59</v>
      </c>
      <c r="O124" s="9" t="s">
        <v>59</v>
      </c>
      <c r="P124" s="9" t="s">
        <v>68</v>
      </c>
      <c r="Q124" s="9" t="s">
        <v>59</v>
      </c>
      <c r="R124" s="23" t="s">
        <v>59</v>
      </c>
      <c r="S124" s="22"/>
      <c r="T124" s="8" t="s">
        <v>33</v>
      </c>
    </row>
    <row r="125" spans="5:20">
      <c r="E125" s="12" t="s">
        <v>33</v>
      </c>
      <c r="F125" s="12" t="s">
        <v>33</v>
      </c>
      <c r="G125" s="12" t="s">
        <v>33</v>
      </c>
      <c r="H125" s="13" t="s">
        <v>33</v>
      </c>
      <c r="I125" s="20" t="s">
        <v>33</v>
      </c>
      <c r="J125" s="18"/>
      <c r="K125" s="18"/>
      <c r="L125" s="20" t="s">
        <v>33</v>
      </c>
      <c r="M125" s="18"/>
      <c r="N125" s="13" t="s">
        <v>33</v>
      </c>
      <c r="O125" s="13" t="s">
        <v>33</v>
      </c>
      <c r="P125" s="13" t="s">
        <v>33</v>
      </c>
      <c r="Q125" s="13" t="s">
        <v>33</v>
      </c>
      <c r="R125" s="20" t="s">
        <v>33</v>
      </c>
      <c r="S125" s="18"/>
      <c r="T125" s="13" t="s">
        <v>33</v>
      </c>
    </row>
    <row r="126" spans="5:20" ht="0" hidden="1" customHeight="1"/>
    <row r="127" spans="5:20" ht="0.6" customHeight="1"/>
    <row r="128" spans="5:20">
      <c r="E128" s="31" t="s">
        <v>31</v>
      </c>
      <c r="F128" s="22"/>
      <c r="G128" s="3" t="s">
        <v>32</v>
      </c>
      <c r="H128" s="5" t="s">
        <v>33</v>
      </c>
      <c r="I128" s="32" t="s">
        <v>33</v>
      </c>
      <c r="J128" s="18"/>
      <c r="K128" s="18"/>
      <c r="L128" s="32" t="s">
        <v>33</v>
      </c>
      <c r="M128" s="18"/>
      <c r="N128" s="5" t="s">
        <v>33</v>
      </c>
      <c r="O128" s="5" t="s">
        <v>33</v>
      </c>
      <c r="P128" s="5" t="s">
        <v>33</v>
      </c>
      <c r="Q128" s="5" t="s">
        <v>33</v>
      </c>
      <c r="R128" s="32" t="s">
        <v>33</v>
      </c>
      <c r="S128" s="18"/>
      <c r="T128" s="5" t="s">
        <v>33</v>
      </c>
    </row>
    <row r="129" spans="5:20" ht="21">
      <c r="E129" s="21" t="s">
        <v>137</v>
      </c>
      <c r="F129" s="22"/>
      <c r="G129" s="7" t="s">
        <v>35</v>
      </c>
      <c r="H129" s="7" t="s">
        <v>5</v>
      </c>
      <c r="I129" s="30" t="s">
        <v>7</v>
      </c>
      <c r="J129" s="24"/>
      <c r="K129" s="22"/>
      <c r="L129" s="30" t="s">
        <v>9</v>
      </c>
      <c r="M129" s="22"/>
      <c r="N129" s="7" t="s">
        <v>11</v>
      </c>
      <c r="O129" s="7" t="s">
        <v>15</v>
      </c>
      <c r="P129" s="7" t="s">
        <v>17</v>
      </c>
      <c r="Q129" s="7" t="s">
        <v>21</v>
      </c>
      <c r="R129" s="30" t="s">
        <v>23</v>
      </c>
      <c r="S129" s="22"/>
      <c r="T129" s="7" t="s">
        <v>36</v>
      </c>
    </row>
    <row r="130" spans="5:20" ht="22.5">
      <c r="E130" s="6" t="s">
        <v>37</v>
      </c>
      <c r="F130" s="6" t="s">
        <v>138</v>
      </c>
      <c r="G130" s="8" t="s">
        <v>39</v>
      </c>
      <c r="H130" s="9" t="s">
        <v>139</v>
      </c>
      <c r="I130" s="23" t="s">
        <v>140</v>
      </c>
      <c r="J130" s="24"/>
      <c r="K130" s="22"/>
      <c r="L130" s="23" t="s">
        <v>141</v>
      </c>
      <c r="M130" s="22"/>
      <c r="N130" s="9" t="s">
        <v>142</v>
      </c>
      <c r="O130" s="9" t="s">
        <v>143</v>
      </c>
      <c r="P130" s="9" t="s">
        <v>144</v>
      </c>
      <c r="Q130" s="9" t="s">
        <v>105</v>
      </c>
      <c r="R130" s="23" t="s">
        <v>43</v>
      </c>
      <c r="S130" s="22"/>
      <c r="T130" s="8" t="s">
        <v>33</v>
      </c>
    </row>
    <row r="131" spans="5:20">
      <c r="E131" s="21" t="s">
        <v>145</v>
      </c>
      <c r="F131" s="25"/>
      <c r="G131" s="8" t="s">
        <v>42</v>
      </c>
      <c r="H131" s="9" t="s">
        <v>43</v>
      </c>
      <c r="I131" s="23" t="s">
        <v>43</v>
      </c>
      <c r="J131" s="24"/>
      <c r="K131" s="22"/>
      <c r="L131" s="23" t="s">
        <v>43</v>
      </c>
      <c r="M131" s="22"/>
      <c r="N131" s="9" t="s">
        <v>43</v>
      </c>
      <c r="O131" s="9" t="s">
        <v>43</v>
      </c>
      <c r="P131" s="9" t="s">
        <v>43</v>
      </c>
      <c r="Q131" s="9" t="s">
        <v>43</v>
      </c>
      <c r="R131" s="23" t="s">
        <v>146</v>
      </c>
      <c r="S131" s="22"/>
      <c r="T131" s="8" t="s">
        <v>33</v>
      </c>
    </row>
    <row r="132" spans="5:20">
      <c r="E132" s="26"/>
      <c r="F132" s="27"/>
      <c r="G132" s="8" t="s">
        <v>44</v>
      </c>
      <c r="H132" s="9" t="s">
        <v>33</v>
      </c>
      <c r="I132" s="23" t="s">
        <v>33</v>
      </c>
      <c r="J132" s="24"/>
      <c r="K132" s="22"/>
      <c r="L132" s="23" t="s">
        <v>33</v>
      </c>
      <c r="M132" s="22"/>
      <c r="N132" s="9" t="s">
        <v>33</v>
      </c>
      <c r="O132" s="9" t="s">
        <v>33</v>
      </c>
      <c r="P132" s="9" t="s">
        <v>33</v>
      </c>
      <c r="Q132" s="9" t="s">
        <v>33</v>
      </c>
      <c r="R132" s="23" t="s">
        <v>33</v>
      </c>
      <c r="S132" s="22"/>
      <c r="T132" s="8">
        <v>0</v>
      </c>
    </row>
    <row r="133" spans="5:20">
      <c r="E133" s="28"/>
      <c r="F133" s="29"/>
      <c r="G133" s="8" t="s">
        <v>45</v>
      </c>
      <c r="H133" s="9">
        <v>4</v>
      </c>
      <c r="I133" s="23">
        <v>4</v>
      </c>
      <c r="J133" s="24"/>
      <c r="K133" s="22"/>
      <c r="L133" s="23">
        <v>4</v>
      </c>
      <c r="M133" s="22"/>
      <c r="N133" s="9">
        <v>3</v>
      </c>
      <c r="O133" s="9">
        <v>3</v>
      </c>
      <c r="P133" s="9">
        <v>3</v>
      </c>
      <c r="Q133" s="9">
        <v>2</v>
      </c>
      <c r="R133" s="23">
        <v>2</v>
      </c>
      <c r="S133" s="22"/>
      <c r="T133" s="8">
        <v>22</v>
      </c>
    </row>
    <row r="134" spans="5:20">
      <c r="E134" s="6" t="s">
        <v>46</v>
      </c>
      <c r="F134" s="6"/>
      <c r="G134" s="8" t="s">
        <v>47</v>
      </c>
      <c r="H134" s="9">
        <v>5.5</v>
      </c>
      <c r="I134" s="23">
        <v>6</v>
      </c>
      <c r="J134" s="24"/>
      <c r="K134" s="22"/>
      <c r="L134" s="23">
        <v>6.5</v>
      </c>
      <c r="M134" s="22"/>
      <c r="N134" s="9">
        <v>7.5</v>
      </c>
      <c r="O134" s="9">
        <v>7</v>
      </c>
      <c r="P134" s="9"/>
      <c r="Q134" s="9">
        <v>7.5</v>
      </c>
      <c r="R134" s="23">
        <v>9.5</v>
      </c>
      <c r="S134" s="22"/>
      <c r="T134" s="8" t="s">
        <v>33</v>
      </c>
    </row>
    <row r="135" spans="5:20">
      <c r="E135" s="6" t="s">
        <v>48</v>
      </c>
      <c r="F135" s="6"/>
      <c r="G135" s="8" t="s">
        <v>49</v>
      </c>
      <c r="H135" s="9">
        <v>22</v>
      </c>
      <c r="I135" s="23">
        <v>24</v>
      </c>
      <c r="J135" s="24"/>
      <c r="K135" s="22"/>
      <c r="L135" s="23">
        <v>26</v>
      </c>
      <c r="M135" s="22"/>
      <c r="N135" s="9">
        <v>22.5</v>
      </c>
      <c r="O135" s="9">
        <v>21</v>
      </c>
      <c r="P135" s="9"/>
      <c r="Q135" s="9">
        <v>15</v>
      </c>
      <c r="R135" s="23">
        <v>19</v>
      </c>
      <c r="S135" s="22"/>
      <c r="T135" s="8">
        <v>149.5</v>
      </c>
    </row>
    <row r="136" spans="5:20">
      <c r="E136" s="21" t="s">
        <v>65</v>
      </c>
      <c r="F136" s="22"/>
      <c r="G136" s="8" t="s">
        <v>36</v>
      </c>
      <c r="H136" s="9">
        <v>52</v>
      </c>
      <c r="I136" s="23">
        <v>59</v>
      </c>
      <c r="J136" s="24"/>
      <c r="K136" s="22"/>
      <c r="L136" s="23">
        <v>60</v>
      </c>
      <c r="M136" s="22"/>
      <c r="N136" s="9">
        <v>74</v>
      </c>
      <c r="O136" s="9">
        <v>69</v>
      </c>
      <c r="P136" s="9">
        <v>35</v>
      </c>
      <c r="Q136" s="9">
        <v>37</v>
      </c>
      <c r="R136" s="23">
        <v>46</v>
      </c>
      <c r="S136" s="22"/>
      <c r="T136" s="8">
        <v>432</v>
      </c>
    </row>
    <row r="137" spans="5:20">
      <c r="E137" s="6" t="s">
        <v>51</v>
      </c>
      <c r="F137" s="6"/>
      <c r="G137" s="8" t="s">
        <v>52</v>
      </c>
      <c r="H137" s="9">
        <v>100</v>
      </c>
      <c r="I137" s="23">
        <v>100</v>
      </c>
      <c r="J137" s="24"/>
      <c r="K137" s="22"/>
      <c r="L137" s="23">
        <v>100</v>
      </c>
      <c r="M137" s="22"/>
      <c r="N137" s="9">
        <v>100</v>
      </c>
      <c r="O137" s="9">
        <v>100</v>
      </c>
      <c r="P137" s="9">
        <v>100</v>
      </c>
      <c r="Q137" s="9">
        <v>50</v>
      </c>
      <c r="R137" s="23">
        <v>50</v>
      </c>
      <c r="S137" s="22"/>
      <c r="T137" s="8">
        <v>700</v>
      </c>
    </row>
    <row r="138" spans="5:20">
      <c r="E138" s="21" t="s">
        <v>66</v>
      </c>
      <c r="F138" s="22"/>
      <c r="G138" s="8" t="s">
        <v>54</v>
      </c>
      <c r="H138" s="9" t="s">
        <v>123</v>
      </c>
      <c r="I138" s="23" t="s">
        <v>147</v>
      </c>
      <c r="J138" s="24"/>
      <c r="K138" s="22"/>
      <c r="L138" s="23" t="s">
        <v>76</v>
      </c>
      <c r="M138" s="22"/>
      <c r="N138" s="9" t="s">
        <v>108</v>
      </c>
      <c r="O138" s="9" t="s">
        <v>109</v>
      </c>
      <c r="P138" s="9"/>
      <c r="Q138" s="9" t="s">
        <v>108</v>
      </c>
      <c r="R138" s="23" t="s">
        <v>94</v>
      </c>
      <c r="S138" s="22"/>
      <c r="T138" s="8" t="s">
        <v>33</v>
      </c>
    </row>
    <row r="139" spans="5:20">
      <c r="E139" s="11" t="s">
        <v>56</v>
      </c>
      <c r="F139" s="11" t="s">
        <v>148</v>
      </c>
      <c r="G139" s="8" t="s">
        <v>58</v>
      </c>
      <c r="H139" s="9" t="s">
        <v>59</v>
      </c>
      <c r="I139" s="23" t="s">
        <v>59</v>
      </c>
      <c r="J139" s="24"/>
      <c r="K139" s="22"/>
      <c r="L139" s="23" t="s">
        <v>59</v>
      </c>
      <c r="M139" s="22"/>
      <c r="N139" s="9" t="s">
        <v>59</v>
      </c>
      <c r="O139" s="9" t="s">
        <v>59</v>
      </c>
      <c r="P139" s="9" t="s">
        <v>68</v>
      </c>
      <c r="Q139" s="9" t="s">
        <v>59</v>
      </c>
      <c r="R139" s="23" t="s">
        <v>59</v>
      </c>
      <c r="S139" s="22"/>
      <c r="T139" s="8" t="s">
        <v>33</v>
      </c>
    </row>
    <row r="140" spans="5:20">
      <c r="E140" s="12" t="s">
        <v>33</v>
      </c>
      <c r="F140" s="12" t="s">
        <v>33</v>
      </c>
      <c r="G140" s="12" t="s">
        <v>33</v>
      </c>
      <c r="H140" s="13" t="s">
        <v>33</v>
      </c>
      <c r="I140" s="20" t="s">
        <v>33</v>
      </c>
      <c r="J140" s="18"/>
      <c r="K140" s="18"/>
      <c r="L140" s="20" t="s">
        <v>33</v>
      </c>
      <c r="M140" s="18"/>
      <c r="N140" s="13" t="s">
        <v>33</v>
      </c>
      <c r="O140" s="13" t="s">
        <v>33</v>
      </c>
      <c r="P140" s="13" t="s">
        <v>33</v>
      </c>
      <c r="Q140" s="13" t="s">
        <v>33</v>
      </c>
      <c r="R140" s="20" t="s">
        <v>33</v>
      </c>
      <c r="S140" s="18"/>
      <c r="T140" s="13" t="s">
        <v>33</v>
      </c>
    </row>
    <row r="141" spans="5:20" ht="0" hidden="1" customHeight="1"/>
    <row r="142" spans="5:20" ht="0.6" customHeight="1"/>
    <row r="143" spans="5:20">
      <c r="E143" s="31" t="s">
        <v>31</v>
      </c>
      <c r="F143" s="22"/>
      <c r="G143" s="3" t="s">
        <v>32</v>
      </c>
      <c r="H143" s="5" t="s">
        <v>33</v>
      </c>
      <c r="I143" s="32" t="s">
        <v>33</v>
      </c>
      <c r="J143" s="18"/>
      <c r="K143" s="18"/>
      <c r="L143" s="32" t="s">
        <v>33</v>
      </c>
      <c r="M143" s="18"/>
      <c r="N143" s="5" t="s">
        <v>33</v>
      </c>
      <c r="O143" s="5" t="s">
        <v>33</v>
      </c>
      <c r="P143" s="5" t="s">
        <v>33</v>
      </c>
      <c r="Q143" s="5" t="s">
        <v>33</v>
      </c>
      <c r="R143" s="32" t="s">
        <v>33</v>
      </c>
      <c r="S143" s="18"/>
      <c r="T143" s="5" t="s">
        <v>33</v>
      </c>
    </row>
    <row r="144" spans="5:20" ht="21">
      <c r="E144" s="21" t="s">
        <v>149</v>
      </c>
      <c r="F144" s="22"/>
      <c r="G144" s="7" t="s">
        <v>35</v>
      </c>
      <c r="H144" s="7" t="s">
        <v>5</v>
      </c>
      <c r="I144" s="30" t="s">
        <v>7</v>
      </c>
      <c r="J144" s="24"/>
      <c r="K144" s="22"/>
      <c r="L144" s="30" t="s">
        <v>9</v>
      </c>
      <c r="M144" s="22"/>
      <c r="N144" s="7" t="s">
        <v>11</v>
      </c>
      <c r="O144" s="7" t="s">
        <v>15</v>
      </c>
      <c r="P144" s="7" t="s">
        <v>17</v>
      </c>
      <c r="Q144" s="7" t="s">
        <v>21</v>
      </c>
      <c r="R144" s="30" t="s">
        <v>23</v>
      </c>
      <c r="S144" s="22"/>
      <c r="T144" s="7" t="s">
        <v>36</v>
      </c>
    </row>
    <row r="145" spans="5:20" ht="22.5">
      <c r="E145" s="6" t="s">
        <v>37</v>
      </c>
      <c r="F145" s="6" t="s">
        <v>150</v>
      </c>
      <c r="G145" s="8" t="s">
        <v>39</v>
      </c>
      <c r="H145" s="9" t="s">
        <v>151</v>
      </c>
      <c r="I145" s="23" t="s">
        <v>152</v>
      </c>
      <c r="J145" s="24"/>
      <c r="K145" s="22"/>
      <c r="L145" s="23" t="s">
        <v>153</v>
      </c>
      <c r="M145" s="22"/>
      <c r="N145" s="9" t="s">
        <v>154</v>
      </c>
      <c r="O145" s="9" t="s">
        <v>155</v>
      </c>
      <c r="P145" s="9" t="s">
        <v>156</v>
      </c>
      <c r="Q145" s="9" t="s">
        <v>157</v>
      </c>
      <c r="R145" s="23" t="s">
        <v>43</v>
      </c>
      <c r="S145" s="22"/>
      <c r="T145" s="8" t="s">
        <v>33</v>
      </c>
    </row>
    <row r="146" spans="5:20">
      <c r="E146" s="21" t="s">
        <v>158</v>
      </c>
      <c r="F146" s="25"/>
      <c r="G146" s="8" t="s">
        <v>42</v>
      </c>
      <c r="H146" s="9" t="s">
        <v>43</v>
      </c>
      <c r="I146" s="23" t="s">
        <v>43</v>
      </c>
      <c r="J146" s="24"/>
      <c r="K146" s="22"/>
      <c r="L146" s="23" t="s">
        <v>43</v>
      </c>
      <c r="M146" s="22"/>
      <c r="N146" s="9" t="s">
        <v>43</v>
      </c>
      <c r="O146" s="9" t="s">
        <v>43</v>
      </c>
      <c r="P146" s="9" t="s">
        <v>43</v>
      </c>
      <c r="Q146" s="9" t="s">
        <v>43</v>
      </c>
      <c r="R146" s="23" t="s">
        <v>91</v>
      </c>
      <c r="S146" s="22"/>
      <c r="T146" s="8" t="s">
        <v>33</v>
      </c>
    </row>
    <row r="147" spans="5:20">
      <c r="E147" s="26"/>
      <c r="F147" s="27"/>
      <c r="G147" s="8" t="s">
        <v>44</v>
      </c>
      <c r="H147" s="9" t="s">
        <v>33</v>
      </c>
      <c r="I147" s="23" t="s">
        <v>33</v>
      </c>
      <c r="J147" s="24"/>
      <c r="K147" s="22"/>
      <c r="L147" s="23" t="s">
        <v>33</v>
      </c>
      <c r="M147" s="22"/>
      <c r="N147" s="9" t="s">
        <v>33</v>
      </c>
      <c r="O147" s="9" t="s">
        <v>33</v>
      </c>
      <c r="P147" s="9" t="s">
        <v>33</v>
      </c>
      <c r="Q147" s="9" t="s">
        <v>33</v>
      </c>
      <c r="R147" s="23" t="s">
        <v>33</v>
      </c>
      <c r="S147" s="22"/>
      <c r="T147" s="8">
        <v>0</v>
      </c>
    </row>
    <row r="148" spans="5:20">
      <c r="E148" s="28"/>
      <c r="F148" s="29"/>
      <c r="G148" s="8" t="s">
        <v>45</v>
      </c>
      <c r="H148" s="9">
        <v>4</v>
      </c>
      <c r="I148" s="23">
        <v>4</v>
      </c>
      <c r="J148" s="24"/>
      <c r="K148" s="22"/>
      <c r="L148" s="23">
        <v>4</v>
      </c>
      <c r="M148" s="22"/>
      <c r="N148" s="9">
        <v>3</v>
      </c>
      <c r="O148" s="9">
        <v>3</v>
      </c>
      <c r="P148" s="9">
        <v>3</v>
      </c>
      <c r="Q148" s="9">
        <v>2</v>
      </c>
      <c r="R148" s="23">
        <v>2</v>
      </c>
      <c r="S148" s="22"/>
      <c r="T148" s="8">
        <v>25</v>
      </c>
    </row>
    <row r="149" spans="5:20">
      <c r="E149" s="6" t="s">
        <v>46</v>
      </c>
      <c r="F149" s="6">
        <v>8.3000000000000007</v>
      </c>
      <c r="G149" s="8" t="s">
        <v>47</v>
      </c>
      <c r="H149" s="9">
        <v>7.5</v>
      </c>
      <c r="I149" s="23">
        <v>8</v>
      </c>
      <c r="J149" s="24"/>
      <c r="K149" s="22"/>
      <c r="L149" s="23">
        <v>9</v>
      </c>
      <c r="M149" s="22"/>
      <c r="N149" s="9">
        <v>7.5</v>
      </c>
      <c r="O149" s="9">
        <v>9</v>
      </c>
      <c r="P149" s="9">
        <v>7</v>
      </c>
      <c r="Q149" s="9">
        <v>9.5</v>
      </c>
      <c r="R149" s="23">
        <v>10</v>
      </c>
      <c r="S149" s="22"/>
      <c r="T149" s="8" t="s">
        <v>33</v>
      </c>
    </row>
    <row r="150" spans="5:20">
      <c r="E150" s="6" t="s">
        <v>48</v>
      </c>
      <c r="F150" s="10">
        <v>7.84</v>
      </c>
      <c r="G150" s="8" t="s">
        <v>49</v>
      </c>
      <c r="H150" s="9">
        <v>30</v>
      </c>
      <c r="I150" s="23">
        <v>32</v>
      </c>
      <c r="J150" s="24"/>
      <c r="K150" s="22"/>
      <c r="L150" s="23">
        <v>36</v>
      </c>
      <c r="M150" s="22"/>
      <c r="N150" s="9">
        <v>22.5</v>
      </c>
      <c r="O150" s="9">
        <v>27</v>
      </c>
      <c r="P150" s="9">
        <v>21</v>
      </c>
      <c r="Q150" s="9">
        <v>19</v>
      </c>
      <c r="R150" s="23">
        <v>20</v>
      </c>
      <c r="S150" s="22"/>
      <c r="T150" s="8">
        <v>207.5</v>
      </c>
    </row>
    <row r="151" spans="5:20">
      <c r="E151" s="21" t="s">
        <v>50</v>
      </c>
      <c r="F151" s="22"/>
      <c r="G151" s="8" t="s">
        <v>36</v>
      </c>
      <c r="H151" s="9">
        <v>73</v>
      </c>
      <c r="I151" s="23">
        <v>75</v>
      </c>
      <c r="J151" s="24"/>
      <c r="K151" s="22"/>
      <c r="L151" s="23">
        <v>88</v>
      </c>
      <c r="M151" s="22"/>
      <c r="N151" s="9">
        <v>74</v>
      </c>
      <c r="O151" s="9">
        <v>86</v>
      </c>
      <c r="P151" s="9">
        <v>66</v>
      </c>
      <c r="Q151" s="9">
        <v>45</v>
      </c>
      <c r="R151" s="23">
        <v>50</v>
      </c>
      <c r="S151" s="22"/>
      <c r="T151" s="8">
        <v>557</v>
      </c>
    </row>
    <row r="152" spans="5:20">
      <c r="E152" s="6" t="s">
        <v>51</v>
      </c>
      <c r="F152" s="6"/>
      <c r="G152" s="8" t="s">
        <v>52</v>
      </c>
      <c r="H152" s="9">
        <v>100</v>
      </c>
      <c r="I152" s="23">
        <v>100</v>
      </c>
      <c r="J152" s="24"/>
      <c r="K152" s="22"/>
      <c r="L152" s="23">
        <v>100</v>
      </c>
      <c r="M152" s="22"/>
      <c r="N152" s="9">
        <v>100</v>
      </c>
      <c r="O152" s="9">
        <v>100</v>
      </c>
      <c r="P152" s="9">
        <v>100</v>
      </c>
      <c r="Q152" s="9">
        <v>50</v>
      </c>
      <c r="R152" s="23">
        <v>50</v>
      </c>
      <c r="S152" s="22"/>
      <c r="T152" s="8">
        <v>700</v>
      </c>
    </row>
    <row r="153" spans="5:20">
      <c r="E153" s="21" t="s">
        <v>159</v>
      </c>
      <c r="F153" s="22"/>
      <c r="G153" s="8" t="s">
        <v>54</v>
      </c>
      <c r="H153" s="9" t="s">
        <v>108</v>
      </c>
      <c r="I153" s="23" t="s">
        <v>135</v>
      </c>
      <c r="J153" s="24"/>
      <c r="K153" s="22"/>
      <c r="L153" s="23" t="s">
        <v>122</v>
      </c>
      <c r="M153" s="22"/>
      <c r="N153" s="9" t="s">
        <v>108</v>
      </c>
      <c r="O153" s="9" t="s">
        <v>122</v>
      </c>
      <c r="P153" s="9" t="s">
        <v>109</v>
      </c>
      <c r="Q153" s="9" t="s">
        <v>94</v>
      </c>
      <c r="R153" s="23" t="s">
        <v>93</v>
      </c>
      <c r="S153" s="22"/>
      <c r="T153" s="8" t="s">
        <v>33</v>
      </c>
    </row>
    <row r="154" spans="5:20">
      <c r="E154" s="11" t="s">
        <v>56</v>
      </c>
      <c r="F154" s="11" t="s">
        <v>160</v>
      </c>
      <c r="G154" s="8" t="s">
        <v>58</v>
      </c>
      <c r="H154" s="9" t="s">
        <v>59</v>
      </c>
      <c r="I154" s="23" t="s">
        <v>59</v>
      </c>
      <c r="J154" s="24"/>
      <c r="K154" s="22"/>
      <c r="L154" s="23" t="s">
        <v>59</v>
      </c>
      <c r="M154" s="22"/>
      <c r="N154" s="9" t="s">
        <v>59</v>
      </c>
      <c r="O154" s="9" t="s">
        <v>59</v>
      </c>
      <c r="P154" s="9" t="s">
        <v>59</v>
      </c>
      <c r="Q154" s="9" t="s">
        <v>59</v>
      </c>
      <c r="R154" s="23" t="s">
        <v>59</v>
      </c>
      <c r="S154" s="22"/>
      <c r="T154" s="8" t="s">
        <v>33</v>
      </c>
    </row>
    <row r="155" spans="5:20">
      <c r="E155" s="12" t="s">
        <v>33</v>
      </c>
      <c r="F155" s="12" t="s">
        <v>33</v>
      </c>
      <c r="G155" s="12" t="s">
        <v>33</v>
      </c>
      <c r="H155" s="13" t="s">
        <v>33</v>
      </c>
      <c r="I155" s="20" t="s">
        <v>33</v>
      </c>
      <c r="J155" s="18"/>
      <c r="K155" s="18"/>
      <c r="L155" s="20" t="s">
        <v>33</v>
      </c>
      <c r="M155" s="18"/>
      <c r="N155" s="13" t="s">
        <v>33</v>
      </c>
      <c r="O155" s="13" t="s">
        <v>33</v>
      </c>
      <c r="P155" s="13" t="s">
        <v>33</v>
      </c>
      <c r="Q155" s="13" t="s">
        <v>33</v>
      </c>
      <c r="R155" s="20" t="s">
        <v>33</v>
      </c>
      <c r="S155" s="18"/>
      <c r="T155" s="13" t="s">
        <v>33</v>
      </c>
    </row>
    <row r="156" spans="5:20" ht="0" hidden="1" customHeight="1"/>
    <row r="157" spans="5:20" ht="0.6" customHeight="1"/>
    <row r="158" spans="5:20">
      <c r="E158" s="31" t="s">
        <v>31</v>
      </c>
      <c r="F158" s="22"/>
      <c r="G158" s="3" t="s">
        <v>32</v>
      </c>
      <c r="H158" s="5" t="s">
        <v>33</v>
      </c>
      <c r="I158" s="32" t="s">
        <v>33</v>
      </c>
      <c r="J158" s="18"/>
      <c r="K158" s="18"/>
      <c r="L158" s="32" t="s">
        <v>33</v>
      </c>
      <c r="M158" s="18"/>
      <c r="N158" s="5" t="s">
        <v>33</v>
      </c>
      <c r="O158" s="5" t="s">
        <v>33</v>
      </c>
      <c r="P158" s="5" t="s">
        <v>33</v>
      </c>
      <c r="Q158" s="5" t="s">
        <v>33</v>
      </c>
      <c r="R158" s="32" t="s">
        <v>33</v>
      </c>
      <c r="S158" s="18"/>
      <c r="T158" s="5" t="s">
        <v>33</v>
      </c>
    </row>
    <row r="159" spans="5:20" ht="21">
      <c r="E159" s="21" t="s">
        <v>161</v>
      </c>
      <c r="F159" s="22"/>
      <c r="G159" s="7" t="s">
        <v>35</v>
      </c>
      <c r="H159" s="7" t="s">
        <v>5</v>
      </c>
      <c r="I159" s="30" t="s">
        <v>7</v>
      </c>
      <c r="J159" s="24"/>
      <c r="K159" s="22"/>
      <c r="L159" s="30" t="s">
        <v>9</v>
      </c>
      <c r="M159" s="22"/>
      <c r="N159" s="7" t="s">
        <v>11</v>
      </c>
      <c r="O159" s="7" t="s">
        <v>15</v>
      </c>
      <c r="P159" s="7" t="s">
        <v>17</v>
      </c>
      <c r="Q159" s="7" t="s">
        <v>21</v>
      </c>
      <c r="R159" s="30" t="s">
        <v>25</v>
      </c>
      <c r="S159" s="22"/>
      <c r="T159" s="7" t="s">
        <v>36</v>
      </c>
    </row>
    <row r="160" spans="5:20" ht="22.5">
      <c r="E160" s="6" t="s">
        <v>37</v>
      </c>
      <c r="F160" s="6" t="s">
        <v>162</v>
      </c>
      <c r="G160" s="8" t="s">
        <v>39</v>
      </c>
      <c r="H160" s="9" t="s">
        <v>163</v>
      </c>
      <c r="I160" s="23" t="s">
        <v>164</v>
      </c>
      <c r="J160" s="24"/>
      <c r="K160" s="22"/>
      <c r="L160" s="23" t="s">
        <v>165</v>
      </c>
      <c r="M160" s="22"/>
      <c r="N160" s="9" t="s">
        <v>131</v>
      </c>
      <c r="O160" s="9" t="s">
        <v>166</v>
      </c>
      <c r="P160" s="9" t="s">
        <v>167</v>
      </c>
      <c r="Q160" s="9" t="s">
        <v>168</v>
      </c>
      <c r="R160" s="23" t="s">
        <v>43</v>
      </c>
      <c r="S160" s="22"/>
      <c r="T160" s="8" t="s">
        <v>33</v>
      </c>
    </row>
    <row r="161" spans="5:20">
      <c r="E161" s="21" t="s">
        <v>169</v>
      </c>
      <c r="F161" s="25"/>
      <c r="G161" s="8" t="s">
        <v>42</v>
      </c>
      <c r="H161" s="9" t="s">
        <v>43</v>
      </c>
      <c r="I161" s="23" t="s">
        <v>43</v>
      </c>
      <c r="J161" s="24"/>
      <c r="K161" s="22"/>
      <c r="L161" s="23" t="s">
        <v>43</v>
      </c>
      <c r="M161" s="22"/>
      <c r="N161" s="9" t="s">
        <v>43</v>
      </c>
      <c r="O161" s="9" t="s">
        <v>43</v>
      </c>
      <c r="P161" s="9" t="s">
        <v>43</v>
      </c>
      <c r="Q161" s="9" t="s">
        <v>43</v>
      </c>
      <c r="R161" s="23" t="s">
        <v>120</v>
      </c>
      <c r="S161" s="22"/>
      <c r="T161" s="8" t="s">
        <v>33</v>
      </c>
    </row>
    <row r="162" spans="5:20">
      <c r="E162" s="26"/>
      <c r="F162" s="27"/>
      <c r="G162" s="8" t="s">
        <v>44</v>
      </c>
      <c r="H162" s="9" t="s">
        <v>33</v>
      </c>
      <c r="I162" s="23" t="s">
        <v>33</v>
      </c>
      <c r="J162" s="24"/>
      <c r="K162" s="22"/>
      <c r="L162" s="23" t="s">
        <v>33</v>
      </c>
      <c r="M162" s="22"/>
      <c r="N162" s="9" t="s">
        <v>33</v>
      </c>
      <c r="O162" s="9" t="s">
        <v>33</v>
      </c>
      <c r="P162" s="9" t="s">
        <v>33</v>
      </c>
      <c r="Q162" s="9" t="s">
        <v>33</v>
      </c>
      <c r="R162" s="23" t="s">
        <v>33</v>
      </c>
      <c r="S162" s="22"/>
      <c r="T162" s="8">
        <v>0</v>
      </c>
    </row>
    <row r="163" spans="5:20">
      <c r="E163" s="28"/>
      <c r="F163" s="29"/>
      <c r="G163" s="8" t="s">
        <v>45</v>
      </c>
      <c r="H163" s="9">
        <v>4</v>
      </c>
      <c r="I163" s="23">
        <v>4</v>
      </c>
      <c r="J163" s="24"/>
      <c r="K163" s="22"/>
      <c r="L163" s="23">
        <v>4</v>
      </c>
      <c r="M163" s="22"/>
      <c r="N163" s="9">
        <v>3</v>
      </c>
      <c r="O163" s="9">
        <v>3</v>
      </c>
      <c r="P163" s="9">
        <v>3</v>
      </c>
      <c r="Q163" s="9">
        <v>2</v>
      </c>
      <c r="R163" s="23">
        <v>2</v>
      </c>
      <c r="S163" s="22"/>
      <c r="T163" s="8">
        <v>25</v>
      </c>
    </row>
    <row r="164" spans="5:20">
      <c r="E164" s="6" t="s">
        <v>46</v>
      </c>
      <c r="F164" s="6">
        <v>8.92</v>
      </c>
      <c r="G164" s="8" t="s">
        <v>47</v>
      </c>
      <c r="H164" s="9">
        <v>8.5</v>
      </c>
      <c r="I164" s="23">
        <v>9</v>
      </c>
      <c r="J164" s="24"/>
      <c r="K164" s="22"/>
      <c r="L164" s="23">
        <v>10</v>
      </c>
      <c r="M164" s="22"/>
      <c r="N164" s="9">
        <v>7.5</v>
      </c>
      <c r="O164" s="9">
        <v>9.5</v>
      </c>
      <c r="P164" s="9">
        <v>8</v>
      </c>
      <c r="Q164" s="9">
        <v>9</v>
      </c>
      <c r="R164" s="23">
        <v>10</v>
      </c>
      <c r="S164" s="22"/>
      <c r="T164" s="8" t="s">
        <v>33</v>
      </c>
    </row>
    <row r="165" spans="5:20">
      <c r="E165" s="6" t="s">
        <v>48</v>
      </c>
      <c r="F165" s="10">
        <v>8.32</v>
      </c>
      <c r="G165" s="8" t="s">
        <v>49</v>
      </c>
      <c r="H165" s="9">
        <v>34</v>
      </c>
      <c r="I165" s="23">
        <v>36</v>
      </c>
      <c r="J165" s="24"/>
      <c r="K165" s="22"/>
      <c r="L165" s="23">
        <v>40</v>
      </c>
      <c r="M165" s="22"/>
      <c r="N165" s="9">
        <v>22.5</v>
      </c>
      <c r="O165" s="9">
        <v>28.5</v>
      </c>
      <c r="P165" s="9">
        <v>24</v>
      </c>
      <c r="Q165" s="9">
        <v>18</v>
      </c>
      <c r="R165" s="23">
        <v>20</v>
      </c>
      <c r="S165" s="22"/>
      <c r="T165" s="8">
        <v>223</v>
      </c>
    </row>
    <row r="166" spans="5:20">
      <c r="E166" s="21" t="s">
        <v>50</v>
      </c>
      <c r="F166" s="22"/>
      <c r="G166" s="8" t="s">
        <v>36</v>
      </c>
      <c r="H166" s="9">
        <v>81</v>
      </c>
      <c r="I166" s="23">
        <v>89</v>
      </c>
      <c r="J166" s="24"/>
      <c r="K166" s="22"/>
      <c r="L166" s="23">
        <v>97</v>
      </c>
      <c r="M166" s="22"/>
      <c r="N166" s="9">
        <v>74</v>
      </c>
      <c r="O166" s="9">
        <v>94</v>
      </c>
      <c r="P166" s="9">
        <v>78</v>
      </c>
      <c r="Q166" s="9">
        <v>43</v>
      </c>
      <c r="R166" s="23">
        <v>49</v>
      </c>
      <c r="S166" s="22"/>
      <c r="T166" s="8">
        <v>605</v>
      </c>
    </row>
    <row r="167" spans="5:20">
      <c r="E167" s="6" t="s">
        <v>51</v>
      </c>
      <c r="F167" s="6"/>
      <c r="G167" s="8" t="s">
        <v>52</v>
      </c>
      <c r="H167" s="9">
        <v>100</v>
      </c>
      <c r="I167" s="23">
        <v>100</v>
      </c>
      <c r="J167" s="24"/>
      <c r="K167" s="22"/>
      <c r="L167" s="23">
        <v>100</v>
      </c>
      <c r="M167" s="22"/>
      <c r="N167" s="9">
        <v>100</v>
      </c>
      <c r="O167" s="9">
        <v>100</v>
      </c>
      <c r="P167" s="9">
        <v>100</v>
      </c>
      <c r="Q167" s="9">
        <v>50</v>
      </c>
      <c r="R167" s="23">
        <v>50</v>
      </c>
      <c r="S167" s="22"/>
      <c r="T167" s="8">
        <v>700</v>
      </c>
    </row>
    <row r="168" spans="5:20">
      <c r="E168" s="21" t="s">
        <v>170</v>
      </c>
      <c r="F168" s="22"/>
      <c r="G168" s="8" t="s">
        <v>54</v>
      </c>
      <c r="H168" s="9" t="s">
        <v>95</v>
      </c>
      <c r="I168" s="23" t="s">
        <v>122</v>
      </c>
      <c r="J168" s="24"/>
      <c r="K168" s="22"/>
      <c r="L168" s="23" t="s">
        <v>93</v>
      </c>
      <c r="M168" s="22"/>
      <c r="N168" s="9" t="s">
        <v>108</v>
      </c>
      <c r="O168" s="9" t="s">
        <v>94</v>
      </c>
      <c r="P168" s="9" t="s">
        <v>135</v>
      </c>
      <c r="Q168" s="9" t="s">
        <v>122</v>
      </c>
      <c r="R168" s="23" t="s">
        <v>93</v>
      </c>
      <c r="S168" s="22"/>
      <c r="T168" s="8" t="s">
        <v>33</v>
      </c>
    </row>
    <row r="169" spans="5:20">
      <c r="E169" s="11" t="s">
        <v>56</v>
      </c>
      <c r="F169" s="11" t="s">
        <v>171</v>
      </c>
      <c r="G169" s="8" t="s">
        <v>58</v>
      </c>
      <c r="H169" s="9" t="s">
        <v>59</v>
      </c>
      <c r="I169" s="23" t="s">
        <v>59</v>
      </c>
      <c r="J169" s="24"/>
      <c r="K169" s="22"/>
      <c r="L169" s="23" t="s">
        <v>59</v>
      </c>
      <c r="M169" s="22"/>
      <c r="N169" s="9" t="s">
        <v>59</v>
      </c>
      <c r="O169" s="9" t="s">
        <v>59</v>
      </c>
      <c r="P169" s="9" t="s">
        <v>59</v>
      </c>
      <c r="Q169" s="9" t="s">
        <v>59</v>
      </c>
      <c r="R169" s="23" t="s">
        <v>59</v>
      </c>
      <c r="S169" s="22"/>
      <c r="T169" s="8" t="s">
        <v>33</v>
      </c>
    </row>
    <row r="170" spans="5:20">
      <c r="E170" s="12" t="s">
        <v>33</v>
      </c>
      <c r="F170" s="12" t="s">
        <v>33</v>
      </c>
      <c r="G170" s="12" t="s">
        <v>33</v>
      </c>
      <c r="H170" s="13" t="s">
        <v>33</v>
      </c>
      <c r="I170" s="20" t="s">
        <v>33</v>
      </c>
      <c r="J170" s="18"/>
      <c r="K170" s="18"/>
      <c r="L170" s="20" t="s">
        <v>33</v>
      </c>
      <c r="M170" s="18"/>
      <c r="N170" s="13" t="s">
        <v>33</v>
      </c>
      <c r="O170" s="13" t="s">
        <v>33</v>
      </c>
      <c r="P170" s="13" t="s">
        <v>33</v>
      </c>
      <c r="Q170" s="13" t="s">
        <v>33</v>
      </c>
      <c r="R170" s="20" t="s">
        <v>33</v>
      </c>
      <c r="S170" s="18"/>
      <c r="T170" s="13" t="s">
        <v>33</v>
      </c>
    </row>
    <row r="171" spans="5:20" ht="0" hidden="1" customHeight="1"/>
    <row r="172" spans="5:20" ht="0.6" customHeight="1"/>
    <row r="173" spans="5:20">
      <c r="E173" s="31" t="s">
        <v>31</v>
      </c>
      <c r="F173" s="22"/>
      <c r="G173" s="3" t="s">
        <v>32</v>
      </c>
      <c r="H173" s="5" t="s">
        <v>33</v>
      </c>
      <c r="I173" s="32" t="s">
        <v>33</v>
      </c>
      <c r="J173" s="18"/>
      <c r="K173" s="18"/>
      <c r="L173" s="32" t="s">
        <v>33</v>
      </c>
      <c r="M173" s="18"/>
      <c r="N173" s="5" t="s">
        <v>33</v>
      </c>
      <c r="O173" s="5" t="s">
        <v>33</v>
      </c>
      <c r="P173" s="5" t="s">
        <v>33</v>
      </c>
      <c r="Q173" s="5" t="s">
        <v>33</v>
      </c>
      <c r="R173" s="32" t="s">
        <v>33</v>
      </c>
      <c r="S173" s="18"/>
      <c r="T173" s="5" t="s">
        <v>33</v>
      </c>
    </row>
    <row r="174" spans="5:20" ht="21">
      <c r="E174" s="21" t="s">
        <v>172</v>
      </c>
      <c r="F174" s="22"/>
      <c r="G174" s="7" t="s">
        <v>35</v>
      </c>
      <c r="H174" s="7" t="s">
        <v>5</v>
      </c>
      <c r="I174" s="30" t="s">
        <v>7</v>
      </c>
      <c r="J174" s="24"/>
      <c r="K174" s="22"/>
      <c r="L174" s="30" t="s">
        <v>9</v>
      </c>
      <c r="M174" s="22"/>
      <c r="N174" s="7" t="s">
        <v>11</v>
      </c>
      <c r="O174" s="7" t="s">
        <v>15</v>
      </c>
      <c r="P174" s="7" t="s">
        <v>17</v>
      </c>
      <c r="Q174" s="7" t="s">
        <v>21</v>
      </c>
      <c r="R174" s="30" t="s">
        <v>25</v>
      </c>
      <c r="S174" s="22"/>
      <c r="T174" s="7" t="s">
        <v>36</v>
      </c>
    </row>
    <row r="175" spans="5:20" ht="22.5">
      <c r="E175" s="6" t="s">
        <v>37</v>
      </c>
      <c r="F175" s="6" t="s">
        <v>173</v>
      </c>
      <c r="G175" s="8" t="s">
        <v>39</v>
      </c>
      <c r="H175" s="9" t="s">
        <v>174</v>
      </c>
      <c r="I175" s="23" t="s">
        <v>175</v>
      </c>
      <c r="J175" s="24"/>
      <c r="K175" s="22"/>
      <c r="L175" s="23" t="s">
        <v>176</v>
      </c>
      <c r="M175" s="22"/>
      <c r="N175" s="9" t="s">
        <v>177</v>
      </c>
      <c r="O175" s="9" t="s">
        <v>178</v>
      </c>
      <c r="P175" s="9" t="s">
        <v>179</v>
      </c>
      <c r="Q175" s="9" t="s">
        <v>180</v>
      </c>
      <c r="R175" s="23" t="s">
        <v>43</v>
      </c>
      <c r="S175" s="22"/>
      <c r="T175" s="8" t="s">
        <v>33</v>
      </c>
    </row>
    <row r="176" spans="5:20">
      <c r="E176" s="21" t="s">
        <v>181</v>
      </c>
      <c r="F176" s="25"/>
      <c r="G176" s="8" t="s">
        <v>42</v>
      </c>
      <c r="H176" s="9" t="s">
        <v>43</v>
      </c>
      <c r="I176" s="23" t="s">
        <v>43</v>
      </c>
      <c r="J176" s="24"/>
      <c r="K176" s="22"/>
      <c r="L176" s="23" t="s">
        <v>43</v>
      </c>
      <c r="M176" s="22"/>
      <c r="N176" s="9" t="s">
        <v>43</v>
      </c>
      <c r="O176" s="9" t="s">
        <v>43</v>
      </c>
      <c r="P176" s="9" t="s">
        <v>43</v>
      </c>
      <c r="Q176" s="9" t="s">
        <v>43</v>
      </c>
      <c r="R176" s="23" t="s">
        <v>120</v>
      </c>
      <c r="S176" s="22"/>
      <c r="T176" s="8" t="s">
        <v>33</v>
      </c>
    </row>
    <row r="177" spans="5:20">
      <c r="E177" s="26"/>
      <c r="F177" s="27"/>
      <c r="G177" s="8" t="s">
        <v>44</v>
      </c>
      <c r="H177" s="9" t="s">
        <v>33</v>
      </c>
      <c r="I177" s="23" t="s">
        <v>33</v>
      </c>
      <c r="J177" s="24"/>
      <c r="K177" s="22"/>
      <c r="L177" s="23" t="s">
        <v>33</v>
      </c>
      <c r="M177" s="22"/>
      <c r="N177" s="9" t="s">
        <v>33</v>
      </c>
      <c r="O177" s="9" t="s">
        <v>33</v>
      </c>
      <c r="P177" s="9" t="s">
        <v>33</v>
      </c>
      <c r="Q177" s="9" t="s">
        <v>33</v>
      </c>
      <c r="R177" s="23" t="s">
        <v>33</v>
      </c>
      <c r="S177" s="22"/>
      <c r="T177" s="8">
        <v>0</v>
      </c>
    </row>
    <row r="178" spans="5:20">
      <c r="E178" s="28"/>
      <c r="F178" s="29"/>
      <c r="G178" s="8" t="s">
        <v>45</v>
      </c>
      <c r="H178" s="9">
        <v>4</v>
      </c>
      <c r="I178" s="23">
        <v>4</v>
      </c>
      <c r="J178" s="24"/>
      <c r="K178" s="22"/>
      <c r="L178" s="23">
        <v>4</v>
      </c>
      <c r="M178" s="22"/>
      <c r="N178" s="9">
        <v>3</v>
      </c>
      <c r="O178" s="9">
        <v>3</v>
      </c>
      <c r="P178" s="9">
        <v>3</v>
      </c>
      <c r="Q178" s="9">
        <v>2</v>
      </c>
      <c r="R178" s="23">
        <v>2</v>
      </c>
      <c r="S178" s="22"/>
      <c r="T178" s="8">
        <v>25</v>
      </c>
    </row>
    <row r="179" spans="5:20">
      <c r="E179" s="6" t="s">
        <v>46</v>
      </c>
      <c r="F179" s="6">
        <v>8.26</v>
      </c>
      <c r="G179" s="8" t="s">
        <v>47</v>
      </c>
      <c r="H179" s="9">
        <v>7.5</v>
      </c>
      <c r="I179" s="23">
        <v>8.5</v>
      </c>
      <c r="J179" s="24"/>
      <c r="K179" s="22"/>
      <c r="L179" s="23">
        <v>9</v>
      </c>
      <c r="M179" s="22"/>
      <c r="N179" s="9">
        <v>7.5</v>
      </c>
      <c r="O179" s="9">
        <v>9.5</v>
      </c>
      <c r="P179" s="9">
        <v>5.5</v>
      </c>
      <c r="Q179" s="9">
        <v>9.5</v>
      </c>
      <c r="R179" s="23">
        <v>10</v>
      </c>
      <c r="S179" s="22"/>
      <c r="T179" s="8" t="s">
        <v>33</v>
      </c>
    </row>
    <row r="180" spans="5:20">
      <c r="E180" s="6" t="s">
        <v>48</v>
      </c>
      <c r="F180" s="10">
        <v>8.0500000000000007</v>
      </c>
      <c r="G180" s="8" t="s">
        <v>49</v>
      </c>
      <c r="H180" s="9">
        <v>30</v>
      </c>
      <c r="I180" s="23">
        <v>34</v>
      </c>
      <c r="J180" s="24"/>
      <c r="K180" s="22"/>
      <c r="L180" s="23">
        <v>36</v>
      </c>
      <c r="M180" s="22"/>
      <c r="N180" s="9">
        <v>22.5</v>
      </c>
      <c r="O180" s="9">
        <v>28.5</v>
      </c>
      <c r="P180" s="9">
        <v>16.5</v>
      </c>
      <c r="Q180" s="9">
        <v>19</v>
      </c>
      <c r="R180" s="23">
        <v>20</v>
      </c>
      <c r="S180" s="22"/>
      <c r="T180" s="8">
        <v>206.5</v>
      </c>
    </row>
    <row r="181" spans="5:20">
      <c r="E181" s="21" t="s">
        <v>50</v>
      </c>
      <c r="F181" s="22"/>
      <c r="G181" s="8" t="s">
        <v>36</v>
      </c>
      <c r="H181" s="9">
        <v>70</v>
      </c>
      <c r="I181" s="23">
        <v>83</v>
      </c>
      <c r="J181" s="24"/>
      <c r="K181" s="22"/>
      <c r="L181" s="23">
        <v>89</v>
      </c>
      <c r="M181" s="22"/>
      <c r="N181" s="9">
        <v>71</v>
      </c>
      <c r="O181" s="9">
        <v>93</v>
      </c>
      <c r="P181" s="9">
        <v>54</v>
      </c>
      <c r="Q181" s="9">
        <v>46</v>
      </c>
      <c r="R181" s="23">
        <v>49</v>
      </c>
      <c r="S181" s="22"/>
      <c r="T181" s="8">
        <v>555</v>
      </c>
    </row>
    <row r="182" spans="5:20">
      <c r="E182" s="6" t="s">
        <v>51</v>
      </c>
      <c r="F182" s="6"/>
      <c r="G182" s="8" t="s">
        <v>52</v>
      </c>
      <c r="H182" s="9">
        <v>100</v>
      </c>
      <c r="I182" s="23">
        <v>100</v>
      </c>
      <c r="J182" s="24"/>
      <c r="K182" s="22"/>
      <c r="L182" s="23">
        <v>100</v>
      </c>
      <c r="M182" s="22"/>
      <c r="N182" s="9">
        <v>100</v>
      </c>
      <c r="O182" s="9">
        <v>100</v>
      </c>
      <c r="P182" s="9">
        <v>100</v>
      </c>
      <c r="Q182" s="9">
        <v>50</v>
      </c>
      <c r="R182" s="23">
        <v>50</v>
      </c>
      <c r="S182" s="22"/>
      <c r="T182" s="8">
        <v>700</v>
      </c>
    </row>
    <row r="183" spans="5:20">
      <c r="E183" s="21" t="s">
        <v>159</v>
      </c>
      <c r="F183" s="22"/>
      <c r="G183" s="8" t="s">
        <v>54</v>
      </c>
      <c r="H183" s="9" t="s">
        <v>108</v>
      </c>
      <c r="I183" s="23" t="s">
        <v>95</v>
      </c>
      <c r="J183" s="24"/>
      <c r="K183" s="22"/>
      <c r="L183" s="23" t="s">
        <v>122</v>
      </c>
      <c r="M183" s="22"/>
      <c r="N183" s="9" t="s">
        <v>108</v>
      </c>
      <c r="O183" s="9" t="s">
        <v>94</v>
      </c>
      <c r="P183" s="9" t="s">
        <v>123</v>
      </c>
      <c r="Q183" s="9" t="s">
        <v>94</v>
      </c>
      <c r="R183" s="23" t="s">
        <v>93</v>
      </c>
      <c r="S183" s="22"/>
      <c r="T183" s="8" t="s">
        <v>33</v>
      </c>
    </row>
    <row r="184" spans="5:20">
      <c r="E184" s="11" t="s">
        <v>56</v>
      </c>
      <c r="F184" s="11" t="s">
        <v>182</v>
      </c>
      <c r="G184" s="8" t="s">
        <v>58</v>
      </c>
      <c r="H184" s="9" t="s">
        <v>59</v>
      </c>
      <c r="I184" s="23" t="s">
        <v>59</v>
      </c>
      <c r="J184" s="24"/>
      <c r="K184" s="22"/>
      <c r="L184" s="23" t="s">
        <v>59</v>
      </c>
      <c r="M184" s="22"/>
      <c r="N184" s="9" t="s">
        <v>59</v>
      </c>
      <c r="O184" s="9" t="s">
        <v>59</v>
      </c>
      <c r="P184" s="9" t="s">
        <v>59</v>
      </c>
      <c r="Q184" s="9" t="s">
        <v>59</v>
      </c>
      <c r="R184" s="23" t="s">
        <v>59</v>
      </c>
      <c r="S184" s="22"/>
      <c r="T184" s="8" t="s">
        <v>33</v>
      </c>
    </row>
    <row r="185" spans="5:20">
      <c r="E185" s="12" t="s">
        <v>33</v>
      </c>
      <c r="F185" s="12" t="s">
        <v>33</v>
      </c>
      <c r="G185" s="12" t="s">
        <v>33</v>
      </c>
      <c r="H185" s="13" t="s">
        <v>33</v>
      </c>
      <c r="I185" s="20" t="s">
        <v>33</v>
      </c>
      <c r="J185" s="18"/>
      <c r="K185" s="18"/>
      <c r="L185" s="20" t="s">
        <v>33</v>
      </c>
      <c r="M185" s="18"/>
      <c r="N185" s="13" t="s">
        <v>33</v>
      </c>
      <c r="O185" s="13" t="s">
        <v>33</v>
      </c>
      <c r="P185" s="13" t="s">
        <v>33</v>
      </c>
      <c r="Q185" s="13" t="s">
        <v>33</v>
      </c>
      <c r="R185" s="20" t="s">
        <v>33</v>
      </c>
      <c r="S185" s="18"/>
      <c r="T185" s="13" t="s">
        <v>33</v>
      </c>
    </row>
    <row r="186" spans="5:20" ht="0" hidden="1" customHeight="1"/>
    <row r="187" spans="5:20" ht="0.6" customHeight="1"/>
    <row r="188" spans="5:20">
      <c r="E188" s="31" t="s">
        <v>31</v>
      </c>
      <c r="F188" s="22"/>
      <c r="G188" s="3" t="s">
        <v>32</v>
      </c>
      <c r="H188" s="5" t="s">
        <v>33</v>
      </c>
      <c r="I188" s="32" t="s">
        <v>33</v>
      </c>
      <c r="J188" s="18"/>
      <c r="K188" s="18"/>
      <c r="L188" s="32" t="s">
        <v>33</v>
      </c>
      <c r="M188" s="18"/>
      <c r="N188" s="5" t="s">
        <v>33</v>
      </c>
      <c r="O188" s="5" t="s">
        <v>33</v>
      </c>
      <c r="P188" s="5" t="s">
        <v>33</v>
      </c>
      <c r="Q188" s="5" t="s">
        <v>33</v>
      </c>
      <c r="R188" s="32" t="s">
        <v>33</v>
      </c>
      <c r="S188" s="18"/>
      <c r="T188" s="5" t="s">
        <v>33</v>
      </c>
    </row>
    <row r="189" spans="5:20" ht="21">
      <c r="E189" s="21" t="s">
        <v>183</v>
      </c>
      <c r="F189" s="22"/>
      <c r="G189" s="7" t="s">
        <v>35</v>
      </c>
      <c r="H189" s="7" t="s">
        <v>5</v>
      </c>
      <c r="I189" s="30" t="s">
        <v>7</v>
      </c>
      <c r="J189" s="24"/>
      <c r="K189" s="22"/>
      <c r="L189" s="30" t="s">
        <v>9</v>
      </c>
      <c r="M189" s="22"/>
      <c r="N189" s="7" t="s">
        <v>11</v>
      </c>
      <c r="O189" s="7" t="s">
        <v>15</v>
      </c>
      <c r="P189" s="7" t="s">
        <v>17</v>
      </c>
      <c r="Q189" s="7" t="s">
        <v>21</v>
      </c>
      <c r="R189" s="30" t="s">
        <v>23</v>
      </c>
      <c r="S189" s="22"/>
      <c r="T189" s="7" t="s">
        <v>36</v>
      </c>
    </row>
    <row r="190" spans="5:20" ht="22.5">
      <c r="E190" s="6" t="s">
        <v>37</v>
      </c>
      <c r="F190" s="6" t="s">
        <v>184</v>
      </c>
      <c r="G190" s="8" t="s">
        <v>39</v>
      </c>
      <c r="H190" s="9" t="s">
        <v>185</v>
      </c>
      <c r="I190" s="23" t="s">
        <v>186</v>
      </c>
      <c r="J190" s="24"/>
      <c r="K190" s="22"/>
      <c r="L190" s="23" t="s">
        <v>187</v>
      </c>
      <c r="M190" s="22"/>
      <c r="N190" s="9" t="s">
        <v>188</v>
      </c>
      <c r="O190" s="9" t="s">
        <v>189</v>
      </c>
      <c r="P190" s="9" t="s">
        <v>190</v>
      </c>
      <c r="Q190" s="9" t="s">
        <v>191</v>
      </c>
      <c r="R190" s="23" t="s">
        <v>43</v>
      </c>
      <c r="S190" s="22"/>
      <c r="T190" s="8" t="s">
        <v>33</v>
      </c>
    </row>
    <row r="191" spans="5:20">
      <c r="E191" s="21" t="s">
        <v>192</v>
      </c>
      <c r="F191" s="25"/>
      <c r="G191" s="8" t="s">
        <v>42</v>
      </c>
      <c r="H191" s="9" t="s">
        <v>43</v>
      </c>
      <c r="I191" s="23" t="s">
        <v>43</v>
      </c>
      <c r="J191" s="24"/>
      <c r="K191" s="22"/>
      <c r="L191" s="23" t="s">
        <v>43</v>
      </c>
      <c r="M191" s="22"/>
      <c r="N191" s="9" t="s">
        <v>43</v>
      </c>
      <c r="O191" s="9" t="s">
        <v>43</v>
      </c>
      <c r="P191" s="9" t="s">
        <v>43</v>
      </c>
      <c r="Q191" s="9" t="s">
        <v>43</v>
      </c>
      <c r="R191" s="23" t="s">
        <v>107</v>
      </c>
      <c r="S191" s="22"/>
      <c r="T191" s="8" t="s">
        <v>33</v>
      </c>
    </row>
    <row r="192" spans="5:20">
      <c r="E192" s="26"/>
      <c r="F192" s="27"/>
      <c r="G192" s="8" t="s">
        <v>44</v>
      </c>
      <c r="H192" s="9" t="s">
        <v>33</v>
      </c>
      <c r="I192" s="23" t="s">
        <v>33</v>
      </c>
      <c r="J192" s="24"/>
      <c r="K192" s="22"/>
      <c r="L192" s="23" t="s">
        <v>33</v>
      </c>
      <c r="M192" s="22"/>
      <c r="N192" s="9" t="s">
        <v>33</v>
      </c>
      <c r="O192" s="9" t="s">
        <v>33</v>
      </c>
      <c r="P192" s="9" t="s">
        <v>33</v>
      </c>
      <c r="Q192" s="9" t="s">
        <v>33</v>
      </c>
      <c r="R192" s="23" t="s">
        <v>33</v>
      </c>
      <c r="S192" s="22"/>
      <c r="T192" s="8">
        <v>0</v>
      </c>
    </row>
    <row r="193" spans="5:20">
      <c r="E193" s="28"/>
      <c r="F193" s="29"/>
      <c r="G193" s="8" t="s">
        <v>45</v>
      </c>
      <c r="H193" s="9">
        <v>4</v>
      </c>
      <c r="I193" s="23">
        <v>4</v>
      </c>
      <c r="J193" s="24"/>
      <c r="K193" s="22"/>
      <c r="L193" s="23">
        <v>4</v>
      </c>
      <c r="M193" s="22"/>
      <c r="N193" s="9">
        <v>3</v>
      </c>
      <c r="O193" s="9">
        <v>3</v>
      </c>
      <c r="P193" s="9">
        <v>3</v>
      </c>
      <c r="Q193" s="9">
        <v>2</v>
      </c>
      <c r="R193" s="23">
        <v>2</v>
      </c>
      <c r="S193" s="22"/>
      <c r="T193" s="8">
        <v>25</v>
      </c>
    </row>
    <row r="194" spans="5:20">
      <c r="E194" s="6" t="s">
        <v>46</v>
      </c>
      <c r="F194" s="6">
        <v>8.2799999999999994</v>
      </c>
      <c r="G194" s="8" t="s">
        <v>47</v>
      </c>
      <c r="H194" s="9">
        <v>8.5</v>
      </c>
      <c r="I194" s="23">
        <v>8</v>
      </c>
      <c r="J194" s="24"/>
      <c r="K194" s="22"/>
      <c r="L194" s="23">
        <v>10</v>
      </c>
      <c r="M194" s="22"/>
      <c r="N194" s="9">
        <v>7</v>
      </c>
      <c r="O194" s="9">
        <v>7.5</v>
      </c>
      <c r="P194" s="9">
        <v>6.5</v>
      </c>
      <c r="Q194" s="9">
        <v>9</v>
      </c>
      <c r="R194" s="23">
        <v>10</v>
      </c>
      <c r="S194" s="22"/>
      <c r="T194" s="8" t="s">
        <v>33</v>
      </c>
    </row>
    <row r="195" spans="5:20">
      <c r="E195" s="6" t="s">
        <v>48</v>
      </c>
      <c r="F195" s="10">
        <v>7.84</v>
      </c>
      <c r="G195" s="8" t="s">
        <v>49</v>
      </c>
      <c r="H195" s="9">
        <v>34</v>
      </c>
      <c r="I195" s="23">
        <v>32</v>
      </c>
      <c r="J195" s="24"/>
      <c r="K195" s="22"/>
      <c r="L195" s="23">
        <v>40</v>
      </c>
      <c r="M195" s="22"/>
      <c r="N195" s="9">
        <v>21</v>
      </c>
      <c r="O195" s="9">
        <v>22.5</v>
      </c>
      <c r="P195" s="9">
        <v>19.5</v>
      </c>
      <c r="Q195" s="9">
        <v>18</v>
      </c>
      <c r="R195" s="23">
        <v>20</v>
      </c>
      <c r="S195" s="22"/>
      <c r="T195" s="8">
        <v>207</v>
      </c>
    </row>
    <row r="196" spans="5:20">
      <c r="E196" s="21" t="s">
        <v>50</v>
      </c>
      <c r="F196" s="22"/>
      <c r="G196" s="8" t="s">
        <v>36</v>
      </c>
      <c r="H196" s="9">
        <v>83</v>
      </c>
      <c r="I196" s="23">
        <v>77</v>
      </c>
      <c r="J196" s="24"/>
      <c r="K196" s="22"/>
      <c r="L196" s="23">
        <v>98</v>
      </c>
      <c r="M196" s="22"/>
      <c r="N196" s="9">
        <v>65</v>
      </c>
      <c r="O196" s="9">
        <v>72</v>
      </c>
      <c r="P196" s="9">
        <v>61</v>
      </c>
      <c r="Q196" s="9">
        <v>43</v>
      </c>
      <c r="R196" s="23">
        <v>48</v>
      </c>
      <c r="S196" s="22"/>
      <c r="T196" s="8">
        <v>547</v>
      </c>
    </row>
    <row r="197" spans="5:20">
      <c r="E197" s="6" t="s">
        <v>51</v>
      </c>
      <c r="F197" s="6"/>
      <c r="G197" s="8" t="s">
        <v>52</v>
      </c>
      <c r="H197" s="9">
        <v>100</v>
      </c>
      <c r="I197" s="23">
        <v>100</v>
      </c>
      <c r="J197" s="24"/>
      <c r="K197" s="22"/>
      <c r="L197" s="23">
        <v>100</v>
      </c>
      <c r="M197" s="22"/>
      <c r="N197" s="9">
        <v>100</v>
      </c>
      <c r="O197" s="9">
        <v>100</v>
      </c>
      <c r="P197" s="9">
        <v>100</v>
      </c>
      <c r="Q197" s="9">
        <v>50</v>
      </c>
      <c r="R197" s="23">
        <v>50</v>
      </c>
      <c r="S197" s="22"/>
      <c r="T197" s="8">
        <v>700</v>
      </c>
    </row>
    <row r="198" spans="5:20">
      <c r="E198" s="21" t="s">
        <v>159</v>
      </c>
      <c r="F198" s="22"/>
      <c r="G198" s="8" t="s">
        <v>54</v>
      </c>
      <c r="H198" s="9" t="s">
        <v>95</v>
      </c>
      <c r="I198" s="23" t="s">
        <v>135</v>
      </c>
      <c r="J198" s="24"/>
      <c r="K198" s="22"/>
      <c r="L198" s="23" t="s">
        <v>93</v>
      </c>
      <c r="M198" s="22"/>
      <c r="N198" s="9" t="s">
        <v>109</v>
      </c>
      <c r="O198" s="9" t="s">
        <v>108</v>
      </c>
      <c r="P198" s="9" t="s">
        <v>76</v>
      </c>
      <c r="Q198" s="9" t="s">
        <v>122</v>
      </c>
      <c r="R198" s="23" t="s">
        <v>93</v>
      </c>
      <c r="S198" s="22"/>
      <c r="T198" s="8" t="s">
        <v>33</v>
      </c>
    </row>
    <row r="199" spans="5:20">
      <c r="E199" s="11" t="s">
        <v>56</v>
      </c>
      <c r="F199" s="11" t="s">
        <v>193</v>
      </c>
      <c r="G199" s="8" t="s">
        <v>58</v>
      </c>
      <c r="H199" s="9" t="s">
        <v>59</v>
      </c>
      <c r="I199" s="23" t="s">
        <v>59</v>
      </c>
      <c r="J199" s="24"/>
      <c r="K199" s="22"/>
      <c r="L199" s="23" t="s">
        <v>59</v>
      </c>
      <c r="M199" s="22"/>
      <c r="N199" s="9" t="s">
        <v>59</v>
      </c>
      <c r="O199" s="9" t="s">
        <v>59</v>
      </c>
      <c r="P199" s="9" t="s">
        <v>59</v>
      </c>
      <c r="Q199" s="9" t="s">
        <v>59</v>
      </c>
      <c r="R199" s="23" t="s">
        <v>59</v>
      </c>
      <c r="S199" s="22"/>
      <c r="T199" s="8" t="s">
        <v>33</v>
      </c>
    </row>
    <row r="200" spans="5:20">
      <c r="E200" s="12" t="s">
        <v>33</v>
      </c>
      <c r="F200" s="12" t="s">
        <v>33</v>
      </c>
      <c r="G200" s="12" t="s">
        <v>33</v>
      </c>
      <c r="H200" s="13" t="s">
        <v>33</v>
      </c>
      <c r="I200" s="20" t="s">
        <v>33</v>
      </c>
      <c r="J200" s="18"/>
      <c r="K200" s="18"/>
      <c r="L200" s="20" t="s">
        <v>33</v>
      </c>
      <c r="M200" s="18"/>
      <c r="N200" s="13" t="s">
        <v>33</v>
      </c>
      <c r="O200" s="13" t="s">
        <v>33</v>
      </c>
      <c r="P200" s="13" t="s">
        <v>33</v>
      </c>
      <c r="Q200" s="13" t="s">
        <v>33</v>
      </c>
      <c r="R200" s="20" t="s">
        <v>33</v>
      </c>
      <c r="S200" s="18"/>
      <c r="T200" s="13" t="s">
        <v>33</v>
      </c>
    </row>
    <row r="201" spans="5:20" ht="0.6" customHeight="1"/>
    <row r="202" spans="5:20">
      <c r="E202" s="31" t="s">
        <v>31</v>
      </c>
      <c r="F202" s="22"/>
      <c r="G202" s="3" t="s">
        <v>32</v>
      </c>
      <c r="H202" s="5" t="s">
        <v>33</v>
      </c>
      <c r="I202" s="32" t="s">
        <v>33</v>
      </c>
      <c r="J202" s="18"/>
      <c r="K202" s="18"/>
      <c r="L202" s="32" t="s">
        <v>33</v>
      </c>
      <c r="M202" s="18"/>
      <c r="N202" s="5" t="s">
        <v>33</v>
      </c>
      <c r="O202" s="5" t="s">
        <v>33</v>
      </c>
      <c r="P202" s="5" t="s">
        <v>33</v>
      </c>
      <c r="Q202" s="5" t="s">
        <v>33</v>
      </c>
      <c r="R202" s="32" t="s">
        <v>33</v>
      </c>
      <c r="S202" s="18"/>
      <c r="T202" s="5" t="s">
        <v>33</v>
      </c>
    </row>
    <row r="203" spans="5:20" ht="21">
      <c r="E203" s="21" t="s">
        <v>194</v>
      </c>
      <c r="F203" s="22"/>
      <c r="G203" s="7" t="s">
        <v>35</v>
      </c>
      <c r="H203" s="7" t="s">
        <v>5</v>
      </c>
      <c r="I203" s="30" t="s">
        <v>7</v>
      </c>
      <c r="J203" s="24"/>
      <c r="K203" s="22"/>
      <c r="L203" s="30" t="s">
        <v>9</v>
      </c>
      <c r="M203" s="22"/>
      <c r="N203" s="7" t="s">
        <v>11</v>
      </c>
      <c r="O203" s="7" t="s">
        <v>15</v>
      </c>
      <c r="P203" s="7" t="s">
        <v>17</v>
      </c>
      <c r="Q203" s="7" t="s">
        <v>21</v>
      </c>
      <c r="R203" s="30" t="s">
        <v>23</v>
      </c>
      <c r="S203" s="22"/>
      <c r="T203" s="7" t="s">
        <v>36</v>
      </c>
    </row>
    <row r="204" spans="5:20" ht="22.5">
      <c r="E204" s="6" t="s">
        <v>37</v>
      </c>
      <c r="F204" s="6" t="s">
        <v>195</v>
      </c>
      <c r="G204" s="8" t="s">
        <v>39</v>
      </c>
      <c r="H204" s="9" t="s">
        <v>196</v>
      </c>
      <c r="I204" s="23" t="s">
        <v>197</v>
      </c>
      <c r="J204" s="24"/>
      <c r="K204" s="22"/>
      <c r="L204" s="23" t="s">
        <v>198</v>
      </c>
      <c r="M204" s="22"/>
      <c r="N204" s="9" t="s">
        <v>142</v>
      </c>
      <c r="O204" s="9" t="s">
        <v>199</v>
      </c>
      <c r="P204" s="9" t="s">
        <v>200</v>
      </c>
      <c r="Q204" s="9" t="s">
        <v>201</v>
      </c>
      <c r="R204" s="23" t="s">
        <v>43</v>
      </c>
      <c r="S204" s="22"/>
      <c r="T204" s="8" t="s">
        <v>33</v>
      </c>
    </row>
    <row r="205" spans="5:20">
      <c r="E205" s="21" t="s">
        <v>202</v>
      </c>
      <c r="F205" s="25"/>
      <c r="G205" s="8" t="s">
        <v>42</v>
      </c>
      <c r="H205" s="9" t="s">
        <v>43</v>
      </c>
      <c r="I205" s="23" t="s">
        <v>43</v>
      </c>
      <c r="J205" s="24"/>
      <c r="K205" s="22"/>
      <c r="L205" s="23" t="s">
        <v>43</v>
      </c>
      <c r="M205" s="22"/>
      <c r="N205" s="9" t="s">
        <v>43</v>
      </c>
      <c r="O205" s="9" t="s">
        <v>43</v>
      </c>
      <c r="P205" s="9" t="s">
        <v>43</v>
      </c>
      <c r="Q205" s="9" t="s">
        <v>43</v>
      </c>
      <c r="R205" s="23" t="s">
        <v>91</v>
      </c>
      <c r="S205" s="22"/>
      <c r="T205" s="8" t="s">
        <v>33</v>
      </c>
    </row>
    <row r="206" spans="5:20">
      <c r="E206" s="26"/>
      <c r="F206" s="27"/>
      <c r="G206" s="8" t="s">
        <v>44</v>
      </c>
      <c r="H206" s="9" t="s">
        <v>33</v>
      </c>
      <c r="I206" s="23" t="s">
        <v>33</v>
      </c>
      <c r="J206" s="24"/>
      <c r="K206" s="22"/>
      <c r="L206" s="23" t="s">
        <v>33</v>
      </c>
      <c r="M206" s="22"/>
      <c r="N206" s="9" t="s">
        <v>33</v>
      </c>
      <c r="O206" s="9" t="s">
        <v>33</v>
      </c>
      <c r="P206" s="9" t="s">
        <v>33</v>
      </c>
      <c r="Q206" s="9" t="s">
        <v>33</v>
      </c>
      <c r="R206" s="23" t="s">
        <v>33</v>
      </c>
      <c r="S206" s="22"/>
      <c r="T206" s="8">
        <v>0</v>
      </c>
    </row>
    <row r="207" spans="5:20">
      <c r="E207" s="28"/>
      <c r="F207" s="29"/>
      <c r="G207" s="8" t="s">
        <v>45</v>
      </c>
      <c r="H207" s="9">
        <v>4</v>
      </c>
      <c r="I207" s="23">
        <v>4</v>
      </c>
      <c r="J207" s="24"/>
      <c r="K207" s="22"/>
      <c r="L207" s="23">
        <v>4</v>
      </c>
      <c r="M207" s="22"/>
      <c r="N207" s="9">
        <v>3</v>
      </c>
      <c r="O207" s="9">
        <v>3</v>
      </c>
      <c r="P207" s="9">
        <v>3</v>
      </c>
      <c r="Q207" s="9">
        <v>2</v>
      </c>
      <c r="R207" s="23">
        <v>2</v>
      </c>
      <c r="S207" s="22"/>
      <c r="T207" s="8">
        <v>25</v>
      </c>
    </row>
    <row r="208" spans="5:20">
      <c r="E208" s="6" t="s">
        <v>46</v>
      </c>
      <c r="F208" s="6">
        <v>8.2200000000000006</v>
      </c>
      <c r="G208" s="8" t="s">
        <v>47</v>
      </c>
      <c r="H208" s="9">
        <v>8.5</v>
      </c>
      <c r="I208" s="23">
        <v>8</v>
      </c>
      <c r="J208" s="24"/>
      <c r="K208" s="22"/>
      <c r="L208" s="23">
        <v>8</v>
      </c>
      <c r="M208" s="22"/>
      <c r="N208" s="9">
        <v>7.5</v>
      </c>
      <c r="O208" s="9">
        <v>7.5</v>
      </c>
      <c r="P208" s="9">
        <v>7.5</v>
      </c>
      <c r="Q208" s="9">
        <v>10</v>
      </c>
      <c r="R208" s="23">
        <v>10</v>
      </c>
      <c r="S208" s="22"/>
      <c r="T208" s="8" t="s">
        <v>33</v>
      </c>
    </row>
    <row r="209" spans="5:20">
      <c r="E209" s="6" t="s">
        <v>48</v>
      </c>
      <c r="F209" s="10">
        <v>8.3000000000000007</v>
      </c>
      <c r="G209" s="8" t="s">
        <v>49</v>
      </c>
      <c r="H209" s="9">
        <v>34</v>
      </c>
      <c r="I209" s="23">
        <v>32</v>
      </c>
      <c r="J209" s="24"/>
      <c r="K209" s="22"/>
      <c r="L209" s="23">
        <v>32</v>
      </c>
      <c r="M209" s="22"/>
      <c r="N209" s="9">
        <v>22.5</v>
      </c>
      <c r="O209" s="9">
        <v>22.5</v>
      </c>
      <c r="P209" s="9">
        <v>22.5</v>
      </c>
      <c r="Q209" s="9">
        <v>20</v>
      </c>
      <c r="R209" s="23">
        <v>20</v>
      </c>
      <c r="S209" s="22"/>
      <c r="T209" s="8">
        <v>205.5</v>
      </c>
    </row>
    <row r="210" spans="5:20">
      <c r="E210" s="21" t="s">
        <v>50</v>
      </c>
      <c r="F210" s="22"/>
      <c r="G210" s="8" t="s">
        <v>36</v>
      </c>
      <c r="H210" s="9">
        <v>81</v>
      </c>
      <c r="I210" s="23">
        <v>79</v>
      </c>
      <c r="J210" s="24"/>
      <c r="K210" s="22"/>
      <c r="L210" s="23">
        <v>79</v>
      </c>
      <c r="M210" s="22"/>
      <c r="N210" s="9">
        <v>74</v>
      </c>
      <c r="O210" s="9">
        <v>70</v>
      </c>
      <c r="P210" s="9">
        <v>72</v>
      </c>
      <c r="Q210" s="9">
        <v>49</v>
      </c>
      <c r="R210" s="23">
        <v>50</v>
      </c>
      <c r="S210" s="22"/>
      <c r="T210" s="8">
        <v>554</v>
      </c>
    </row>
    <row r="211" spans="5:20">
      <c r="E211" s="6" t="s">
        <v>51</v>
      </c>
      <c r="F211" s="6"/>
      <c r="G211" s="8" t="s">
        <v>52</v>
      </c>
      <c r="H211" s="9">
        <v>100</v>
      </c>
      <c r="I211" s="23">
        <v>100</v>
      </c>
      <c r="J211" s="24"/>
      <c r="K211" s="22"/>
      <c r="L211" s="23">
        <v>100</v>
      </c>
      <c r="M211" s="22"/>
      <c r="N211" s="9">
        <v>100</v>
      </c>
      <c r="O211" s="9">
        <v>100</v>
      </c>
      <c r="P211" s="9">
        <v>100</v>
      </c>
      <c r="Q211" s="9">
        <v>50</v>
      </c>
      <c r="R211" s="23">
        <v>50</v>
      </c>
      <c r="S211" s="22"/>
      <c r="T211" s="8">
        <v>700</v>
      </c>
    </row>
    <row r="212" spans="5:20">
      <c r="E212" s="21" t="s">
        <v>159</v>
      </c>
      <c r="F212" s="22"/>
      <c r="G212" s="8" t="s">
        <v>54</v>
      </c>
      <c r="H212" s="9" t="s">
        <v>95</v>
      </c>
      <c r="I212" s="23" t="s">
        <v>135</v>
      </c>
      <c r="J212" s="24"/>
      <c r="K212" s="22"/>
      <c r="L212" s="23" t="s">
        <v>135</v>
      </c>
      <c r="M212" s="22"/>
      <c r="N212" s="9" t="s">
        <v>108</v>
      </c>
      <c r="O212" s="9" t="s">
        <v>108</v>
      </c>
      <c r="P212" s="9" t="s">
        <v>108</v>
      </c>
      <c r="Q212" s="9" t="s">
        <v>93</v>
      </c>
      <c r="R212" s="23" t="s">
        <v>93</v>
      </c>
      <c r="S212" s="22"/>
      <c r="T212" s="8" t="s">
        <v>33</v>
      </c>
    </row>
    <row r="213" spans="5:20">
      <c r="E213" s="11" t="s">
        <v>56</v>
      </c>
      <c r="F213" s="11" t="s">
        <v>203</v>
      </c>
      <c r="G213" s="8" t="s">
        <v>58</v>
      </c>
      <c r="H213" s="9" t="s">
        <v>59</v>
      </c>
      <c r="I213" s="23" t="s">
        <v>59</v>
      </c>
      <c r="J213" s="24"/>
      <c r="K213" s="22"/>
      <c r="L213" s="23" t="s">
        <v>59</v>
      </c>
      <c r="M213" s="22"/>
      <c r="N213" s="9" t="s">
        <v>59</v>
      </c>
      <c r="O213" s="9" t="s">
        <v>59</v>
      </c>
      <c r="P213" s="9" t="s">
        <v>59</v>
      </c>
      <c r="Q213" s="9" t="s">
        <v>59</v>
      </c>
      <c r="R213" s="23" t="s">
        <v>59</v>
      </c>
      <c r="S213" s="22"/>
      <c r="T213" s="8" t="s">
        <v>33</v>
      </c>
    </row>
    <row r="214" spans="5:20">
      <c r="E214" s="12" t="s">
        <v>33</v>
      </c>
      <c r="F214" s="12" t="s">
        <v>33</v>
      </c>
      <c r="G214" s="12" t="s">
        <v>33</v>
      </c>
      <c r="H214" s="13" t="s">
        <v>33</v>
      </c>
      <c r="I214" s="20" t="s">
        <v>33</v>
      </c>
      <c r="J214" s="18"/>
      <c r="K214" s="18"/>
      <c r="L214" s="20" t="s">
        <v>33</v>
      </c>
      <c r="M214" s="18"/>
      <c r="N214" s="13" t="s">
        <v>33</v>
      </c>
      <c r="O214" s="13" t="s">
        <v>33</v>
      </c>
      <c r="P214" s="13" t="s">
        <v>33</v>
      </c>
      <c r="Q214" s="13" t="s">
        <v>33</v>
      </c>
      <c r="R214" s="20" t="s">
        <v>33</v>
      </c>
      <c r="S214" s="18"/>
      <c r="T214" s="13" t="s">
        <v>33</v>
      </c>
    </row>
    <row r="215" spans="5:20" ht="0" hidden="1" customHeight="1"/>
    <row r="216" spans="5:20" ht="0.6" customHeight="1"/>
    <row r="217" spans="5:20">
      <c r="E217" s="31" t="s">
        <v>31</v>
      </c>
      <c r="F217" s="22"/>
      <c r="G217" s="3" t="s">
        <v>32</v>
      </c>
      <c r="H217" s="5" t="s">
        <v>33</v>
      </c>
      <c r="I217" s="32" t="s">
        <v>33</v>
      </c>
      <c r="J217" s="18"/>
      <c r="K217" s="18"/>
      <c r="L217" s="32" t="s">
        <v>33</v>
      </c>
      <c r="M217" s="18"/>
      <c r="N217" s="5" t="s">
        <v>33</v>
      </c>
      <c r="O217" s="5" t="s">
        <v>33</v>
      </c>
      <c r="P217" s="5" t="s">
        <v>33</v>
      </c>
      <c r="Q217" s="5" t="s">
        <v>33</v>
      </c>
      <c r="R217" s="32" t="s">
        <v>33</v>
      </c>
      <c r="S217" s="18"/>
      <c r="T217" s="5" t="s">
        <v>33</v>
      </c>
    </row>
    <row r="218" spans="5:20" ht="21">
      <c r="E218" s="21" t="s">
        <v>204</v>
      </c>
      <c r="F218" s="22"/>
      <c r="G218" s="7" t="s">
        <v>35</v>
      </c>
      <c r="H218" s="7" t="s">
        <v>5</v>
      </c>
      <c r="I218" s="30" t="s">
        <v>7</v>
      </c>
      <c r="J218" s="24"/>
      <c r="K218" s="22"/>
      <c r="L218" s="30" t="s">
        <v>9</v>
      </c>
      <c r="M218" s="22"/>
      <c r="N218" s="7" t="s">
        <v>11</v>
      </c>
      <c r="O218" s="7" t="s">
        <v>15</v>
      </c>
      <c r="P218" s="7" t="s">
        <v>17</v>
      </c>
      <c r="Q218" s="7" t="s">
        <v>21</v>
      </c>
      <c r="R218" s="30" t="s">
        <v>23</v>
      </c>
      <c r="S218" s="22"/>
      <c r="T218" s="7" t="s">
        <v>36</v>
      </c>
    </row>
    <row r="219" spans="5:20" ht="22.5">
      <c r="E219" s="6" t="s">
        <v>37</v>
      </c>
      <c r="F219" s="6" t="s">
        <v>205</v>
      </c>
      <c r="G219" s="8" t="s">
        <v>39</v>
      </c>
      <c r="H219" s="9" t="s">
        <v>206</v>
      </c>
      <c r="I219" s="23" t="s">
        <v>207</v>
      </c>
      <c r="J219" s="24"/>
      <c r="K219" s="22"/>
      <c r="L219" s="23" t="s">
        <v>208</v>
      </c>
      <c r="M219" s="22"/>
      <c r="N219" s="9" t="s">
        <v>209</v>
      </c>
      <c r="O219" s="9" t="s">
        <v>165</v>
      </c>
      <c r="P219" s="9" t="s">
        <v>210</v>
      </c>
      <c r="Q219" s="9" t="s">
        <v>157</v>
      </c>
      <c r="R219" s="23" t="s">
        <v>43</v>
      </c>
      <c r="S219" s="22"/>
      <c r="T219" s="8" t="s">
        <v>33</v>
      </c>
    </row>
    <row r="220" spans="5:20">
      <c r="E220" s="21" t="s">
        <v>211</v>
      </c>
      <c r="F220" s="25"/>
      <c r="G220" s="8" t="s">
        <v>42</v>
      </c>
      <c r="H220" s="9" t="s">
        <v>43</v>
      </c>
      <c r="I220" s="23" t="s">
        <v>43</v>
      </c>
      <c r="J220" s="24"/>
      <c r="K220" s="22"/>
      <c r="L220" s="23" t="s">
        <v>43</v>
      </c>
      <c r="M220" s="22"/>
      <c r="N220" s="9" t="s">
        <v>43</v>
      </c>
      <c r="O220" s="9" t="s">
        <v>43</v>
      </c>
      <c r="P220" s="9" t="s">
        <v>43</v>
      </c>
      <c r="Q220" s="9" t="s">
        <v>43</v>
      </c>
      <c r="R220" s="23" t="s">
        <v>91</v>
      </c>
      <c r="S220" s="22"/>
      <c r="T220" s="8" t="s">
        <v>33</v>
      </c>
    </row>
    <row r="221" spans="5:20">
      <c r="E221" s="26"/>
      <c r="F221" s="27"/>
      <c r="G221" s="8" t="s">
        <v>44</v>
      </c>
      <c r="H221" s="9" t="s">
        <v>33</v>
      </c>
      <c r="I221" s="23" t="s">
        <v>33</v>
      </c>
      <c r="J221" s="24"/>
      <c r="K221" s="22"/>
      <c r="L221" s="23" t="s">
        <v>33</v>
      </c>
      <c r="M221" s="22"/>
      <c r="N221" s="9" t="s">
        <v>33</v>
      </c>
      <c r="O221" s="9" t="s">
        <v>33</v>
      </c>
      <c r="P221" s="9" t="s">
        <v>33</v>
      </c>
      <c r="Q221" s="9" t="s">
        <v>33</v>
      </c>
      <c r="R221" s="23" t="s">
        <v>33</v>
      </c>
      <c r="S221" s="22"/>
      <c r="T221" s="8">
        <v>0</v>
      </c>
    </row>
    <row r="222" spans="5:20">
      <c r="E222" s="28"/>
      <c r="F222" s="29"/>
      <c r="G222" s="8" t="s">
        <v>45</v>
      </c>
      <c r="H222" s="9">
        <v>4</v>
      </c>
      <c r="I222" s="23">
        <v>4</v>
      </c>
      <c r="J222" s="24"/>
      <c r="K222" s="22"/>
      <c r="L222" s="23">
        <v>4</v>
      </c>
      <c r="M222" s="22"/>
      <c r="N222" s="9">
        <v>3</v>
      </c>
      <c r="O222" s="9">
        <v>3</v>
      </c>
      <c r="P222" s="9">
        <v>3</v>
      </c>
      <c r="Q222" s="9">
        <v>2</v>
      </c>
      <c r="R222" s="23">
        <v>2</v>
      </c>
      <c r="S222" s="22"/>
      <c r="T222" s="8">
        <v>25</v>
      </c>
    </row>
    <row r="223" spans="5:20">
      <c r="E223" s="6" t="s">
        <v>46</v>
      </c>
      <c r="F223" s="6">
        <v>8.18</v>
      </c>
      <c r="G223" s="8" t="s">
        <v>47</v>
      </c>
      <c r="H223" s="9">
        <v>8</v>
      </c>
      <c r="I223" s="23">
        <v>8.5</v>
      </c>
      <c r="J223" s="24"/>
      <c r="K223" s="22"/>
      <c r="L223" s="23">
        <v>8</v>
      </c>
      <c r="M223" s="22"/>
      <c r="N223" s="9">
        <v>7.5</v>
      </c>
      <c r="O223" s="9">
        <v>10</v>
      </c>
      <c r="P223" s="9">
        <v>5</v>
      </c>
      <c r="Q223" s="9">
        <v>9.5</v>
      </c>
      <c r="R223" s="23">
        <v>10</v>
      </c>
      <c r="S223" s="22"/>
      <c r="T223" s="8" t="s">
        <v>33</v>
      </c>
    </row>
    <row r="224" spans="5:20">
      <c r="E224" s="6" t="s">
        <v>48</v>
      </c>
      <c r="F224" s="10">
        <v>8.17</v>
      </c>
      <c r="G224" s="8" t="s">
        <v>49</v>
      </c>
      <c r="H224" s="9">
        <v>32</v>
      </c>
      <c r="I224" s="23">
        <v>34</v>
      </c>
      <c r="J224" s="24"/>
      <c r="K224" s="22"/>
      <c r="L224" s="23">
        <v>32</v>
      </c>
      <c r="M224" s="22"/>
      <c r="N224" s="9">
        <v>22.5</v>
      </c>
      <c r="O224" s="9">
        <v>30</v>
      </c>
      <c r="P224" s="9">
        <v>15</v>
      </c>
      <c r="Q224" s="9">
        <v>19</v>
      </c>
      <c r="R224" s="23">
        <v>20</v>
      </c>
      <c r="S224" s="22"/>
      <c r="T224" s="8">
        <v>204.5</v>
      </c>
    </row>
    <row r="225" spans="5:20">
      <c r="E225" s="21" t="s">
        <v>50</v>
      </c>
      <c r="F225" s="22"/>
      <c r="G225" s="8" t="s">
        <v>36</v>
      </c>
      <c r="H225" s="9">
        <v>79</v>
      </c>
      <c r="I225" s="23">
        <v>81</v>
      </c>
      <c r="J225" s="24"/>
      <c r="K225" s="22"/>
      <c r="L225" s="23">
        <v>79</v>
      </c>
      <c r="M225" s="22"/>
      <c r="N225" s="9">
        <v>74</v>
      </c>
      <c r="O225" s="9">
        <v>97</v>
      </c>
      <c r="P225" s="9">
        <v>48</v>
      </c>
      <c r="Q225" s="9">
        <v>45</v>
      </c>
      <c r="R225" s="23">
        <v>50</v>
      </c>
      <c r="S225" s="22"/>
      <c r="T225" s="8">
        <v>553</v>
      </c>
    </row>
    <row r="226" spans="5:20">
      <c r="E226" s="6" t="s">
        <v>51</v>
      </c>
      <c r="F226" s="6"/>
      <c r="G226" s="8" t="s">
        <v>52</v>
      </c>
      <c r="H226" s="9">
        <v>100</v>
      </c>
      <c r="I226" s="23">
        <v>100</v>
      </c>
      <c r="J226" s="24"/>
      <c r="K226" s="22"/>
      <c r="L226" s="23">
        <v>100</v>
      </c>
      <c r="M226" s="22"/>
      <c r="N226" s="9">
        <v>100</v>
      </c>
      <c r="O226" s="9">
        <v>100</v>
      </c>
      <c r="P226" s="9">
        <v>100</v>
      </c>
      <c r="Q226" s="9">
        <v>50</v>
      </c>
      <c r="R226" s="23">
        <v>50</v>
      </c>
      <c r="S226" s="22"/>
      <c r="T226" s="8">
        <v>700</v>
      </c>
    </row>
    <row r="227" spans="5:20">
      <c r="E227" s="21" t="s">
        <v>159</v>
      </c>
      <c r="F227" s="22"/>
      <c r="G227" s="8" t="s">
        <v>54</v>
      </c>
      <c r="H227" s="9" t="s">
        <v>135</v>
      </c>
      <c r="I227" s="23" t="s">
        <v>95</v>
      </c>
      <c r="J227" s="24"/>
      <c r="K227" s="22"/>
      <c r="L227" s="23" t="s">
        <v>135</v>
      </c>
      <c r="M227" s="22"/>
      <c r="N227" s="9" t="s">
        <v>108</v>
      </c>
      <c r="O227" s="9" t="s">
        <v>93</v>
      </c>
      <c r="P227" s="9" t="s">
        <v>55</v>
      </c>
      <c r="Q227" s="9" t="s">
        <v>94</v>
      </c>
      <c r="R227" s="23" t="s">
        <v>93</v>
      </c>
      <c r="S227" s="22"/>
      <c r="T227" s="8" t="s">
        <v>33</v>
      </c>
    </row>
    <row r="228" spans="5:20">
      <c r="E228" s="11" t="s">
        <v>56</v>
      </c>
      <c r="F228" s="11" t="s">
        <v>212</v>
      </c>
      <c r="G228" s="8" t="s">
        <v>58</v>
      </c>
      <c r="H228" s="9" t="s">
        <v>59</v>
      </c>
      <c r="I228" s="23" t="s">
        <v>59</v>
      </c>
      <c r="J228" s="24"/>
      <c r="K228" s="22"/>
      <c r="L228" s="23" t="s">
        <v>59</v>
      </c>
      <c r="M228" s="22"/>
      <c r="N228" s="9" t="s">
        <v>59</v>
      </c>
      <c r="O228" s="9" t="s">
        <v>59</v>
      </c>
      <c r="P228" s="9" t="s">
        <v>59</v>
      </c>
      <c r="Q228" s="9" t="s">
        <v>59</v>
      </c>
      <c r="R228" s="23" t="s">
        <v>59</v>
      </c>
      <c r="S228" s="22"/>
      <c r="T228" s="8" t="s">
        <v>33</v>
      </c>
    </row>
    <row r="229" spans="5:20">
      <c r="E229" s="12" t="s">
        <v>33</v>
      </c>
      <c r="F229" s="12" t="s">
        <v>33</v>
      </c>
      <c r="G229" s="12" t="s">
        <v>33</v>
      </c>
      <c r="H229" s="13" t="s">
        <v>33</v>
      </c>
      <c r="I229" s="20" t="s">
        <v>33</v>
      </c>
      <c r="J229" s="18"/>
      <c r="K229" s="18"/>
      <c r="L229" s="20" t="s">
        <v>33</v>
      </c>
      <c r="M229" s="18"/>
      <c r="N229" s="13" t="s">
        <v>33</v>
      </c>
      <c r="O229" s="13" t="s">
        <v>33</v>
      </c>
      <c r="P229" s="13" t="s">
        <v>33</v>
      </c>
      <c r="Q229" s="13" t="s">
        <v>33</v>
      </c>
      <c r="R229" s="20" t="s">
        <v>33</v>
      </c>
      <c r="S229" s="18"/>
      <c r="T229" s="13" t="s">
        <v>33</v>
      </c>
    </row>
    <row r="230" spans="5:20" ht="0" hidden="1" customHeight="1"/>
    <row r="231" spans="5:20" ht="0.6" customHeight="1"/>
    <row r="232" spans="5:20">
      <c r="E232" s="31" t="s">
        <v>31</v>
      </c>
      <c r="F232" s="22"/>
      <c r="G232" s="3" t="s">
        <v>32</v>
      </c>
      <c r="H232" s="5" t="s">
        <v>33</v>
      </c>
      <c r="I232" s="32" t="s">
        <v>33</v>
      </c>
      <c r="J232" s="18"/>
      <c r="K232" s="18"/>
      <c r="L232" s="32" t="s">
        <v>33</v>
      </c>
      <c r="M232" s="18"/>
      <c r="N232" s="5" t="s">
        <v>33</v>
      </c>
      <c r="O232" s="5" t="s">
        <v>33</v>
      </c>
      <c r="P232" s="5" t="s">
        <v>33</v>
      </c>
      <c r="Q232" s="5" t="s">
        <v>33</v>
      </c>
      <c r="R232" s="32" t="s">
        <v>33</v>
      </c>
      <c r="S232" s="18"/>
      <c r="T232" s="5" t="s">
        <v>33</v>
      </c>
    </row>
    <row r="233" spans="5:20" ht="21">
      <c r="E233" s="21" t="s">
        <v>213</v>
      </c>
      <c r="F233" s="22"/>
      <c r="G233" s="7" t="s">
        <v>35</v>
      </c>
      <c r="H233" s="7" t="s">
        <v>5</v>
      </c>
      <c r="I233" s="30" t="s">
        <v>7</v>
      </c>
      <c r="J233" s="24"/>
      <c r="K233" s="22"/>
      <c r="L233" s="30" t="s">
        <v>9</v>
      </c>
      <c r="M233" s="22"/>
      <c r="N233" s="7" t="s">
        <v>11</v>
      </c>
      <c r="O233" s="7" t="s">
        <v>13</v>
      </c>
      <c r="P233" s="7" t="s">
        <v>17</v>
      </c>
      <c r="Q233" s="7" t="s">
        <v>19</v>
      </c>
      <c r="R233" s="30" t="s">
        <v>21</v>
      </c>
      <c r="S233" s="22"/>
      <c r="T233" s="7" t="s">
        <v>36</v>
      </c>
    </row>
    <row r="234" spans="5:20" ht="22.5">
      <c r="E234" s="6" t="s">
        <v>37</v>
      </c>
      <c r="F234" s="6" t="s">
        <v>214</v>
      </c>
      <c r="G234" s="8" t="s">
        <v>39</v>
      </c>
      <c r="H234" s="9" t="s">
        <v>215</v>
      </c>
      <c r="I234" s="23" t="s">
        <v>216</v>
      </c>
      <c r="J234" s="24"/>
      <c r="K234" s="22"/>
      <c r="L234" s="23" t="s">
        <v>217</v>
      </c>
      <c r="M234" s="22"/>
      <c r="N234" s="9" t="s">
        <v>218</v>
      </c>
      <c r="O234" s="9" t="s">
        <v>219</v>
      </c>
      <c r="P234" s="9" t="s">
        <v>220</v>
      </c>
      <c r="Q234" s="9" t="s">
        <v>43</v>
      </c>
      <c r="R234" s="23" t="s">
        <v>221</v>
      </c>
      <c r="S234" s="22"/>
      <c r="T234" s="8" t="s">
        <v>33</v>
      </c>
    </row>
    <row r="235" spans="5:20">
      <c r="E235" s="21" t="s">
        <v>222</v>
      </c>
      <c r="F235" s="25"/>
      <c r="G235" s="8" t="s">
        <v>42</v>
      </c>
      <c r="H235" s="9" t="s">
        <v>43</v>
      </c>
      <c r="I235" s="23" t="s">
        <v>43</v>
      </c>
      <c r="J235" s="24"/>
      <c r="K235" s="22"/>
      <c r="L235" s="23" t="s">
        <v>43</v>
      </c>
      <c r="M235" s="22"/>
      <c r="N235" s="9" t="s">
        <v>43</v>
      </c>
      <c r="O235" s="9" t="s">
        <v>43</v>
      </c>
      <c r="P235" s="9" t="s">
        <v>43</v>
      </c>
      <c r="Q235" s="9" t="s">
        <v>91</v>
      </c>
      <c r="R235" s="23" t="s">
        <v>43</v>
      </c>
      <c r="S235" s="22"/>
      <c r="T235" s="8" t="s">
        <v>33</v>
      </c>
    </row>
    <row r="236" spans="5:20">
      <c r="E236" s="26"/>
      <c r="F236" s="27"/>
      <c r="G236" s="8" t="s">
        <v>44</v>
      </c>
      <c r="H236" s="9" t="s">
        <v>33</v>
      </c>
      <c r="I236" s="23" t="s">
        <v>33</v>
      </c>
      <c r="J236" s="24"/>
      <c r="K236" s="22"/>
      <c r="L236" s="23" t="s">
        <v>33</v>
      </c>
      <c r="M236" s="22"/>
      <c r="N236" s="9" t="s">
        <v>33</v>
      </c>
      <c r="O236" s="9" t="s">
        <v>33</v>
      </c>
      <c r="P236" s="9" t="s">
        <v>33</v>
      </c>
      <c r="Q236" s="9" t="s">
        <v>33</v>
      </c>
      <c r="R236" s="23" t="s">
        <v>33</v>
      </c>
      <c r="S236" s="22"/>
      <c r="T236" s="8">
        <v>0</v>
      </c>
    </row>
    <row r="237" spans="5:20">
      <c r="E237" s="28"/>
      <c r="F237" s="29"/>
      <c r="G237" s="8" t="s">
        <v>45</v>
      </c>
      <c r="H237" s="9">
        <v>4</v>
      </c>
      <c r="I237" s="23">
        <v>4</v>
      </c>
      <c r="J237" s="24"/>
      <c r="K237" s="22"/>
      <c r="L237" s="23">
        <v>4</v>
      </c>
      <c r="M237" s="22"/>
      <c r="N237" s="9">
        <v>3</v>
      </c>
      <c r="O237" s="9">
        <v>3</v>
      </c>
      <c r="P237" s="9">
        <v>3</v>
      </c>
      <c r="Q237" s="9">
        <v>2</v>
      </c>
      <c r="R237" s="23">
        <v>2</v>
      </c>
      <c r="S237" s="22"/>
      <c r="T237" s="8">
        <v>25</v>
      </c>
    </row>
    <row r="238" spans="5:20">
      <c r="E238" s="6" t="s">
        <v>46</v>
      </c>
      <c r="F238" s="6">
        <v>8.9600000000000009</v>
      </c>
      <c r="G238" s="8" t="s">
        <v>47</v>
      </c>
      <c r="H238" s="9">
        <v>9</v>
      </c>
      <c r="I238" s="23">
        <v>8.5</v>
      </c>
      <c r="J238" s="24"/>
      <c r="K238" s="22"/>
      <c r="L238" s="23">
        <v>10</v>
      </c>
      <c r="M238" s="22"/>
      <c r="N238" s="9">
        <v>7.5</v>
      </c>
      <c r="O238" s="9">
        <v>10</v>
      </c>
      <c r="P238" s="9">
        <v>7.5</v>
      </c>
      <c r="Q238" s="9">
        <v>10</v>
      </c>
      <c r="R238" s="23">
        <v>9.5</v>
      </c>
      <c r="S238" s="22"/>
      <c r="T238" s="8" t="s">
        <v>33</v>
      </c>
    </row>
    <row r="239" spans="5:20">
      <c r="E239" s="6" t="s">
        <v>48</v>
      </c>
      <c r="F239" s="10">
        <v>8.7799999999999994</v>
      </c>
      <c r="G239" s="8" t="s">
        <v>49</v>
      </c>
      <c r="H239" s="9">
        <v>36</v>
      </c>
      <c r="I239" s="23">
        <v>34</v>
      </c>
      <c r="J239" s="24"/>
      <c r="K239" s="22"/>
      <c r="L239" s="23">
        <v>40</v>
      </c>
      <c r="M239" s="22"/>
      <c r="N239" s="9">
        <v>22.5</v>
      </c>
      <c r="O239" s="9">
        <v>30</v>
      </c>
      <c r="P239" s="9">
        <v>22.5</v>
      </c>
      <c r="Q239" s="9">
        <v>20</v>
      </c>
      <c r="R239" s="23">
        <v>19</v>
      </c>
      <c r="S239" s="22"/>
      <c r="T239" s="8">
        <v>224</v>
      </c>
    </row>
    <row r="240" spans="5:20">
      <c r="E240" s="21" t="s">
        <v>50</v>
      </c>
      <c r="F240" s="22"/>
      <c r="G240" s="8" t="s">
        <v>36</v>
      </c>
      <c r="H240" s="9">
        <v>87</v>
      </c>
      <c r="I240" s="23">
        <v>83</v>
      </c>
      <c r="J240" s="24"/>
      <c r="K240" s="22"/>
      <c r="L240" s="23">
        <v>97</v>
      </c>
      <c r="M240" s="22"/>
      <c r="N240" s="9">
        <v>73</v>
      </c>
      <c r="O240" s="9">
        <v>96</v>
      </c>
      <c r="P240" s="9">
        <v>71</v>
      </c>
      <c r="Q240" s="9">
        <v>50</v>
      </c>
      <c r="R240" s="23">
        <v>47</v>
      </c>
      <c r="S240" s="22"/>
      <c r="T240" s="8">
        <v>604</v>
      </c>
    </row>
    <row r="241" spans="5:20">
      <c r="E241" s="6" t="s">
        <v>51</v>
      </c>
      <c r="F241" s="6"/>
      <c r="G241" s="8" t="s">
        <v>52</v>
      </c>
      <c r="H241" s="9">
        <v>100</v>
      </c>
      <c r="I241" s="23">
        <v>100</v>
      </c>
      <c r="J241" s="24"/>
      <c r="K241" s="22"/>
      <c r="L241" s="23">
        <v>100</v>
      </c>
      <c r="M241" s="22"/>
      <c r="N241" s="9">
        <v>100</v>
      </c>
      <c r="O241" s="9">
        <v>100</v>
      </c>
      <c r="P241" s="9">
        <v>100</v>
      </c>
      <c r="Q241" s="9">
        <v>50</v>
      </c>
      <c r="R241" s="23">
        <v>50</v>
      </c>
      <c r="S241" s="22"/>
      <c r="T241" s="8">
        <v>700</v>
      </c>
    </row>
    <row r="242" spans="5:20">
      <c r="E242" s="21" t="s">
        <v>170</v>
      </c>
      <c r="F242" s="22"/>
      <c r="G242" s="8" t="s">
        <v>54</v>
      </c>
      <c r="H242" s="9" t="s">
        <v>122</v>
      </c>
      <c r="I242" s="23" t="s">
        <v>95</v>
      </c>
      <c r="J242" s="24"/>
      <c r="K242" s="22"/>
      <c r="L242" s="23" t="s">
        <v>93</v>
      </c>
      <c r="M242" s="22"/>
      <c r="N242" s="9" t="s">
        <v>108</v>
      </c>
      <c r="O242" s="9" t="s">
        <v>93</v>
      </c>
      <c r="P242" s="9" t="s">
        <v>108</v>
      </c>
      <c r="Q242" s="9" t="s">
        <v>93</v>
      </c>
      <c r="R242" s="23" t="s">
        <v>94</v>
      </c>
      <c r="S242" s="22"/>
      <c r="T242" s="8" t="s">
        <v>33</v>
      </c>
    </row>
    <row r="243" spans="5:20">
      <c r="E243" s="11" t="s">
        <v>56</v>
      </c>
      <c r="F243" s="11" t="s">
        <v>223</v>
      </c>
      <c r="G243" s="8" t="s">
        <v>58</v>
      </c>
      <c r="H243" s="9" t="s">
        <v>59</v>
      </c>
      <c r="I243" s="23" t="s">
        <v>59</v>
      </c>
      <c r="J243" s="24"/>
      <c r="K243" s="22"/>
      <c r="L243" s="23" t="s">
        <v>59</v>
      </c>
      <c r="M243" s="22"/>
      <c r="N243" s="9" t="s">
        <v>59</v>
      </c>
      <c r="O243" s="9" t="s">
        <v>59</v>
      </c>
      <c r="P243" s="9" t="s">
        <v>59</v>
      </c>
      <c r="Q243" s="9" t="s">
        <v>59</v>
      </c>
      <c r="R243" s="23" t="s">
        <v>59</v>
      </c>
      <c r="S243" s="22"/>
      <c r="T243" s="8" t="s">
        <v>33</v>
      </c>
    </row>
    <row r="244" spans="5:20">
      <c r="E244" s="12" t="s">
        <v>33</v>
      </c>
      <c r="F244" s="12" t="s">
        <v>33</v>
      </c>
      <c r="G244" s="12" t="s">
        <v>33</v>
      </c>
      <c r="H244" s="13" t="s">
        <v>33</v>
      </c>
      <c r="I244" s="20" t="s">
        <v>33</v>
      </c>
      <c r="J244" s="18"/>
      <c r="K244" s="18"/>
      <c r="L244" s="20" t="s">
        <v>33</v>
      </c>
      <c r="M244" s="18"/>
      <c r="N244" s="13" t="s">
        <v>33</v>
      </c>
      <c r="O244" s="13" t="s">
        <v>33</v>
      </c>
      <c r="P244" s="13" t="s">
        <v>33</v>
      </c>
      <c r="Q244" s="13" t="s">
        <v>33</v>
      </c>
      <c r="R244" s="20" t="s">
        <v>33</v>
      </c>
      <c r="S244" s="18"/>
      <c r="T244" s="13" t="s">
        <v>33</v>
      </c>
    </row>
    <row r="245" spans="5:20" ht="0" hidden="1" customHeight="1"/>
    <row r="246" spans="5:20" ht="0.6" customHeight="1"/>
    <row r="247" spans="5:20">
      <c r="E247" s="31" t="s">
        <v>31</v>
      </c>
      <c r="F247" s="22"/>
      <c r="G247" s="3" t="s">
        <v>32</v>
      </c>
      <c r="H247" s="5" t="s">
        <v>33</v>
      </c>
      <c r="I247" s="32" t="s">
        <v>33</v>
      </c>
      <c r="J247" s="18"/>
      <c r="K247" s="18"/>
      <c r="L247" s="32" t="s">
        <v>33</v>
      </c>
      <c r="M247" s="18"/>
      <c r="N247" s="5" t="s">
        <v>33</v>
      </c>
      <c r="O247" s="5" t="s">
        <v>33</v>
      </c>
      <c r="P247" s="5" t="s">
        <v>33</v>
      </c>
      <c r="Q247" s="5" t="s">
        <v>33</v>
      </c>
      <c r="R247" s="32" t="s">
        <v>33</v>
      </c>
      <c r="S247" s="18"/>
      <c r="T247" s="5" t="s">
        <v>33</v>
      </c>
    </row>
    <row r="248" spans="5:20" ht="21">
      <c r="E248" s="21" t="s">
        <v>224</v>
      </c>
      <c r="F248" s="22"/>
      <c r="G248" s="7" t="s">
        <v>35</v>
      </c>
      <c r="H248" s="7" t="s">
        <v>5</v>
      </c>
      <c r="I248" s="30" t="s">
        <v>7</v>
      </c>
      <c r="J248" s="24"/>
      <c r="K248" s="22"/>
      <c r="L248" s="30" t="s">
        <v>9</v>
      </c>
      <c r="M248" s="22"/>
      <c r="N248" s="7" t="s">
        <v>11</v>
      </c>
      <c r="O248" s="7" t="s">
        <v>15</v>
      </c>
      <c r="P248" s="7" t="s">
        <v>17</v>
      </c>
      <c r="Q248" s="7" t="s">
        <v>21</v>
      </c>
      <c r="R248" s="30" t="s">
        <v>25</v>
      </c>
      <c r="S248" s="22"/>
      <c r="T248" s="7" t="s">
        <v>36</v>
      </c>
    </row>
    <row r="249" spans="5:20" ht="22.5">
      <c r="E249" s="6" t="s">
        <v>37</v>
      </c>
      <c r="F249" s="6" t="s">
        <v>225</v>
      </c>
      <c r="G249" s="8" t="s">
        <v>39</v>
      </c>
      <c r="H249" s="9" t="s">
        <v>174</v>
      </c>
      <c r="I249" s="23" t="s">
        <v>226</v>
      </c>
      <c r="J249" s="24"/>
      <c r="K249" s="22"/>
      <c r="L249" s="23" t="s">
        <v>227</v>
      </c>
      <c r="M249" s="22"/>
      <c r="N249" s="9" t="s">
        <v>228</v>
      </c>
      <c r="O249" s="9" t="s">
        <v>178</v>
      </c>
      <c r="P249" s="9" t="s">
        <v>229</v>
      </c>
      <c r="Q249" s="9" t="s">
        <v>201</v>
      </c>
      <c r="R249" s="23" t="s">
        <v>43</v>
      </c>
      <c r="S249" s="22"/>
      <c r="T249" s="8" t="s">
        <v>33</v>
      </c>
    </row>
    <row r="250" spans="5:20">
      <c r="E250" s="21" t="s">
        <v>230</v>
      </c>
      <c r="F250" s="25"/>
      <c r="G250" s="8" t="s">
        <v>42</v>
      </c>
      <c r="H250" s="9" t="s">
        <v>43</v>
      </c>
      <c r="I250" s="23" t="s">
        <v>43</v>
      </c>
      <c r="J250" s="24"/>
      <c r="K250" s="22"/>
      <c r="L250" s="23" t="s">
        <v>43</v>
      </c>
      <c r="M250" s="22"/>
      <c r="N250" s="9" t="s">
        <v>43</v>
      </c>
      <c r="O250" s="9" t="s">
        <v>43</v>
      </c>
      <c r="P250" s="9" t="s">
        <v>43</v>
      </c>
      <c r="Q250" s="9" t="s">
        <v>43</v>
      </c>
      <c r="R250" s="23" t="s">
        <v>107</v>
      </c>
      <c r="S250" s="22"/>
      <c r="T250" s="8" t="s">
        <v>33</v>
      </c>
    </row>
    <row r="251" spans="5:20">
      <c r="E251" s="26"/>
      <c r="F251" s="27"/>
      <c r="G251" s="8" t="s">
        <v>44</v>
      </c>
      <c r="H251" s="9" t="s">
        <v>33</v>
      </c>
      <c r="I251" s="23" t="s">
        <v>33</v>
      </c>
      <c r="J251" s="24"/>
      <c r="K251" s="22"/>
      <c r="L251" s="23" t="s">
        <v>33</v>
      </c>
      <c r="M251" s="22"/>
      <c r="N251" s="9" t="s">
        <v>33</v>
      </c>
      <c r="O251" s="9" t="s">
        <v>33</v>
      </c>
      <c r="P251" s="9" t="s">
        <v>33</v>
      </c>
      <c r="Q251" s="9" t="s">
        <v>33</v>
      </c>
      <c r="R251" s="23" t="s">
        <v>33</v>
      </c>
      <c r="S251" s="22"/>
      <c r="T251" s="8">
        <v>0</v>
      </c>
    </row>
    <row r="252" spans="5:20">
      <c r="E252" s="28"/>
      <c r="F252" s="29"/>
      <c r="G252" s="8" t="s">
        <v>45</v>
      </c>
      <c r="H252" s="9">
        <v>4</v>
      </c>
      <c r="I252" s="23">
        <v>4</v>
      </c>
      <c r="J252" s="24"/>
      <c r="K252" s="22"/>
      <c r="L252" s="23">
        <v>4</v>
      </c>
      <c r="M252" s="22"/>
      <c r="N252" s="9">
        <v>3</v>
      </c>
      <c r="O252" s="9">
        <v>3</v>
      </c>
      <c r="P252" s="9">
        <v>3</v>
      </c>
      <c r="Q252" s="9">
        <v>2</v>
      </c>
      <c r="R252" s="23">
        <v>2</v>
      </c>
      <c r="S252" s="22"/>
      <c r="T252" s="8">
        <v>25</v>
      </c>
    </row>
    <row r="253" spans="5:20">
      <c r="E253" s="6" t="s">
        <v>46</v>
      </c>
      <c r="F253" s="6">
        <v>8.36</v>
      </c>
      <c r="G253" s="8" t="s">
        <v>47</v>
      </c>
      <c r="H253" s="9">
        <v>7.5</v>
      </c>
      <c r="I253" s="23">
        <v>8</v>
      </c>
      <c r="J253" s="24"/>
      <c r="K253" s="22"/>
      <c r="L253" s="23">
        <v>9.5</v>
      </c>
      <c r="M253" s="22"/>
      <c r="N253" s="9">
        <v>8</v>
      </c>
      <c r="O253" s="9">
        <v>9.5</v>
      </c>
      <c r="P253" s="9">
        <v>5.5</v>
      </c>
      <c r="Q253" s="9">
        <v>10</v>
      </c>
      <c r="R253" s="23">
        <v>10</v>
      </c>
      <c r="S253" s="22"/>
      <c r="T253" s="8" t="s">
        <v>33</v>
      </c>
    </row>
    <row r="254" spans="5:20">
      <c r="E254" s="6" t="s">
        <v>48</v>
      </c>
      <c r="F254" s="10">
        <v>8.0500000000000007</v>
      </c>
      <c r="G254" s="8" t="s">
        <v>49</v>
      </c>
      <c r="H254" s="9">
        <v>30</v>
      </c>
      <c r="I254" s="23">
        <v>32</v>
      </c>
      <c r="J254" s="24"/>
      <c r="K254" s="22"/>
      <c r="L254" s="23">
        <v>38</v>
      </c>
      <c r="M254" s="22"/>
      <c r="N254" s="9">
        <v>24</v>
      </c>
      <c r="O254" s="9">
        <v>28.5</v>
      </c>
      <c r="P254" s="9">
        <v>16.5</v>
      </c>
      <c r="Q254" s="9">
        <v>20</v>
      </c>
      <c r="R254" s="23">
        <v>20</v>
      </c>
      <c r="S254" s="22"/>
      <c r="T254" s="8">
        <v>209</v>
      </c>
    </row>
    <row r="255" spans="5:20">
      <c r="E255" s="21" t="s">
        <v>50</v>
      </c>
      <c r="F255" s="22"/>
      <c r="G255" s="8" t="s">
        <v>36</v>
      </c>
      <c r="H255" s="9">
        <v>70</v>
      </c>
      <c r="I255" s="23">
        <v>77</v>
      </c>
      <c r="J255" s="24"/>
      <c r="K255" s="22"/>
      <c r="L255" s="23">
        <v>94</v>
      </c>
      <c r="M255" s="22"/>
      <c r="N255" s="9">
        <v>77</v>
      </c>
      <c r="O255" s="9">
        <v>93</v>
      </c>
      <c r="P255" s="9">
        <v>54</v>
      </c>
      <c r="Q255" s="9">
        <v>49</v>
      </c>
      <c r="R255" s="23">
        <v>48</v>
      </c>
      <c r="S255" s="22"/>
      <c r="T255" s="8">
        <v>562</v>
      </c>
    </row>
    <row r="256" spans="5:20">
      <c r="E256" s="6" t="s">
        <v>51</v>
      </c>
      <c r="F256" s="6"/>
      <c r="G256" s="8" t="s">
        <v>52</v>
      </c>
      <c r="H256" s="9">
        <v>100</v>
      </c>
      <c r="I256" s="23">
        <v>100</v>
      </c>
      <c r="J256" s="24"/>
      <c r="K256" s="22"/>
      <c r="L256" s="23">
        <v>100</v>
      </c>
      <c r="M256" s="22"/>
      <c r="N256" s="9">
        <v>100</v>
      </c>
      <c r="O256" s="9">
        <v>100</v>
      </c>
      <c r="P256" s="9">
        <v>100</v>
      </c>
      <c r="Q256" s="9">
        <v>50</v>
      </c>
      <c r="R256" s="23">
        <v>50</v>
      </c>
      <c r="S256" s="22"/>
      <c r="T256" s="8">
        <v>700</v>
      </c>
    </row>
    <row r="257" spans="5:20">
      <c r="E257" s="21" t="s">
        <v>159</v>
      </c>
      <c r="F257" s="22"/>
      <c r="G257" s="8" t="s">
        <v>54</v>
      </c>
      <c r="H257" s="9" t="s">
        <v>108</v>
      </c>
      <c r="I257" s="23" t="s">
        <v>135</v>
      </c>
      <c r="J257" s="24"/>
      <c r="K257" s="22"/>
      <c r="L257" s="23" t="s">
        <v>94</v>
      </c>
      <c r="M257" s="22"/>
      <c r="N257" s="9" t="s">
        <v>135</v>
      </c>
      <c r="O257" s="9" t="s">
        <v>94</v>
      </c>
      <c r="P257" s="9" t="s">
        <v>123</v>
      </c>
      <c r="Q257" s="9" t="s">
        <v>93</v>
      </c>
      <c r="R257" s="23" t="s">
        <v>93</v>
      </c>
      <c r="S257" s="22"/>
      <c r="T257" s="8" t="s">
        <v>33</v>
      </c>
    </row>
    <row r="258" spans="5:20">
      <c r="E258" s="11" t="s">
        <v>56</v>
      </c>
      <c r="F258" s="11" t="s">
        <v>231</v>
      </c>
      <c r="G258" s="8" t="s">
        <v>58</v>
      </c>
      <c r="H258" s="9" t="s">
        <v>59</v>
      </c>
      <c r="I258" s="23" t="s">
        <v>59</v>
      </c>
      <c r="J258" s="24"/>
      <c r="K258" s="22"/>
      <c r="L258" s="23" t="s">
        <v>59</v>
      </c>
      <c r="M258" s="22"/>
      <c r="N258" s="9" t="s">
        <v>59</v>
      </c>
      <c r="O258" s="9" t="s">
        <v>59</v>
      </c>
      <c r="P258" s="9" t="s">
        <v>59</v>
      </c>
      <c r="Q258" s="9" t="s">
        <v>59</v>
      </c>
      <c r="R258" s="23" t="s">
        <v>59</v>
      </c>
      <c r="S258" s="22"/>
      <c r="T258" s="8" t="s">
        <v>33</v>
      </c>
    </row>
    <row r="259" spans="5:20">
      <c r="E259" s="12" t="s">
        <v>33</v>
      </c>
      <c r="F259" s="12" t="s">
        <v>33</v>
      </c>
      <c r="G259" s="12" t="s">
        <v>33</v>
      </c>
      <c r="H259" s="13" t="s">
        <v>33</v>
      </c>
      <c r="I259" s="20" t="s">
        <v>33</v>
      </c>
      <c r="J259" s="18"/>
      <c r="K259" s="18"/>
      <c r="L259" s="20" t="s">
        <v>33</v>
      </c>
      <c r="M259" s="18"/>
      <c r="N259" s="13" t="s">
        <v>33</v>
      </c>
      <c r="O259" s="13" t="s">
        <v>33</v>
      </c>
      <c r="P259" s="13" t="s">
        <v>33</v>
      </c>
      <c r="Q259" s="13" t="s">
        <v>33</v>
      </c>
      <c r="R259" s="20" t="s">
        <v>33</v>
      </c>
      <c r="S259" s="18"/>
      <c r="T259" s="13" t="s">
        <v>33</v>
      </c>
    </row>
    <row r="260" spans="5:20" ht="0" hidden="1" customHeight="1"/>
    <row r="261" spans="5:20" ht="0.6" customHeight="1"/>
    <row r="262" spans="5:20">
      <c r="E262" s="31" t="s">
        <v>31</v>
      </c>
      <c r="F262" s="22"/>
      <c r="G262" s="3" t="s">
        <v>32</v>
      </c>
      <c r="H262" s="5" t="s">
        <v>33</v>
      </c>
      <c r="I262" s="32" t="s">
        <v>33</v>
      </c>
      <c r="J262" s="18"/>
      <c r="K262" s="18"/>
      <c r="L262" s="32" t="s">
        <v>33</v>
      </c>
      <c r="M262" s="18"/>
      <c r="N262" s="5" t="s">
        <v>33</v>
      </c>
      <c r="O262" s="5" t="s">
        <v>33</v>
      </c>
      <c r="P262" s="5" t="s">
        <v>33</v>
      </c>
      <c r="Q262" s="5" t="s">
        <v>33</v>
      </c>
      <c r="R262" s="32" t="s">
        <v>33</v>
      </c>
      <c r="S262" s="18"/>
      <c r="T262" s="5" t="s">
        <v>33</v>
      </c>
    </row>
    <row r="263" spans="5:20" ht="21">
      <c r="E263" s="21" t="s">
        <v>232</v>
      </c>
      <c r="F263" s="22"/>
      <c r="G263" s="7" t="s">
        <v>35</v>
      </c>
      <c r="H263" s="7" t="s">
        <v>5</v>
      </c>
      <c r="I263" s="30" t="s">
        <v>7</v>
      </c>
      <c r="J263" s="24"/>
      <c r="K263" s="22"/>
      <c r="L263" s="30" t="s">
        <v>9</v>
      </c>
      <c r="M263" s="22"/>
      <c r="N263" s="7" t="s">
        <v>11</v>
      </c>
      <c r="O263" s="7" t="s">
        <v>15</v>
      </c>
      <c r="P263" s="7" t="s">
        <v>17</v>
      </c>
      <c r="Q263" s="7" t="s">
        <v>21</v>
      </c>
      <c r="R263" s="30" t="s">
        <v>25</v>
      </c>
      <c r="S263" s="22"/>
      <c r="T263" s="7" t="s">
        <v>36</v>
      </c>
    </row>
    <row r="264" spans="5:20" ht="22.5">
      <c r="E264" s="6" t="s">
        <v>37</v>
      </c>
      <c r="F264" s="6" t="s">
        <v>233</v>
      </c>
      <c r="G264" s="8" t="s">
        <v>39</v>
      </c>
      <c r="H264" s="9" t="s">
        <v>234</v>
      </c>
      <c r="I264" s="23" t="s">
        <v>235</v>
      </c>
      <c r="J264" s="24"/>
      <c r="K264" s="22"/>
      <c r="L264" s="23" t="s">
        <v>217</v>
      </c>
      <c r="M264" s="22"/>
      <c r="N264" s="9" t="s">
        <v>236</v>
      </c>
      <c r="O264" s="9" t="s">
        <v>237</v>
      </c>
      <c r="P264" s="9" t="s">
        <v>238</v>
      </c>
      <c r="Q264" s="9" t="s">
        <v>239</v>
      </c>
      <c r="R264" s="23" t="s">
        <v>43</v>
      </c>
      <c r="S264" s="22"/>
      <c r="T264" s="8" t="s">
        <v>33</v>
      </c>
    </row>
    <row r="265" spans="5:20">
      <c r="E265" s="21" t="s">
        <v>240</v>
      </c>
      <c r="F265" s="25"/>
      <c r="G265" s="8" t="s">
        <v>42</v>
      </c>
      <c r="H265" s="9" t="s">
        <v>43</v>
      </c>
      <c r="I265" s="23" t="s">
        <v>43</v>
      </c>
      <c r="J265" s="24"/>
      <c r="K265" s="22"/>
      <c r="L265" s="23" t="s">
        <v>43</v>
      </c>
      <c r="M265" s="22"/>
      <c r="N265" s="9" t="s">
        <v>43</v>
      </c>
      <c r="O265" s="9" t="s">
        <v>43</v>
      </c>
      <c r="P265" s="9" t="s">
        <v>43</v>
      </c>
      <c r="Q265" s="9" t="s">
        <v>43</v>
      </c>
      <c r="R265" s="23" t="s">
        <v>107</v>
      </c>
      <c r="S265" s="22"/>
      <c r="T265" s="8" t="s">
        <v>33</v>
      </c>
    </row>
    <row r="266" spans="5:20">
      <c r="E266" s="26"/>
      <c r="F266" s="27"/>
      <c r="G266" s="8" t="s">
        <v>44</v>
      </c>
      <c r="H266" s="9" t="s">
        <v>33</v>
      </c>
      <c r="I266" s="23" t="s">
        <v>33</v>
      </c>
      <c r="J266" s="24"/>
      <c r="K266" s="22"/>
      <c r="L266" s="23" t="s">
        <v>33</v>
      </c>
      <c r="M266" s="22"/>
      <c r="N266" s="9" t="s">
        <v>33</v>
      </c>
      <c r="O266" s="9" t="s">
        <v>33</v>
      </c>
      <c r="P266" s="9" t="s">
        <v>33</v>
      </c>
      <c r="Q266" s="9" t="s">
        <v>33</v>
      </c>
      <c r="R266" s="23" t="s">
        <v>33</v>
      </c>
      <c r="S266" s="22"/>
      <c r="T266" s="8">
        <v>0</v>
      </c>
    </row>
    <row r="267" spans="5:20">
      <c r="E267" s="28"/>
      <c r="F267" s="29"/>
      <c r="G267" s="8" t="s">
        <v>45</v>
      </c>
      <c r="H267" s="9">
        <v>4</v>
      </c>
      <c r="I267" s="23">
        <v>4</v>
      </c>
      <c r="J267" s="24"/>
      <c r="K267" s="22"/>
      <c r="L267" s="23">
        <v>4</v>
      </c>
      <c r="M267" s="22"/>
      <c r="N267" s="9">
        <v>3</v>
      </c>
      <c r="O267" s="9">
        <v>3</v>
      </c>
      <c r="P267" s="9">
        <v>3</v>
      </c>
      <c r="Q267" s="9">
        <v>2</v>
      </c>
      <c r="R267" s="23">
        <v>2</v>
      </c>
      <c r="S267" s="22"/>
      <c r="T267" s="8">
        <v>25</v>
      </c>
    </row>
    <row r="268" spans="5:20">
      <c r="E268" s="6" t="s">
        <v>46</v>
      </c>
      <c r="F268" s="6">
        <v>8.66</v>
      </c>
      <c r="G268" s="8" t="s">
        <v>47</v>
      </c>
      <c r="H268" s="9">
        <v>8</v>
      </c>
      <c r="I268" s="23">
        <v>8.5</v>
      </c>
      <c r="J268" s="24"/>
      <c r="K268" s="22"/>
      <c r="L268" s="23">
        <v>10</v>
      </c>
      <c r="M268" s="22"/>
      <c r="N268" s="9">
        <v>8</v>
      </c>
      <c r="O268" s="9">
        <v>9</v>
      </c>
      <c r="P268" s="9">
        <v>7.5</v>
      </c>
      <c r="Q268" s="9">
        <v>8.5</v>
      </c>
      <c r="R268" s="23">
        <v>10</v>
      </c>
      <c r="S268" s="22"/>
      <c r="T268" s="8" t="s">
        <v>33</v>
      </c>
    </row>
    <row r="269" spans="5:20">
      <c r="E269" s="6" t="s">
        <v>48</v>
      </c>
      <c r="F269" s="10">
        <v>8.4499999999999993</v>
      </c>
      <c r="G269" s="8" t="s">
        <v>49</v>
      </c>
      <c r="H269" s="9">
        <v>32</v>
      </c>
      <c r="I269" s="23">
        <v>34</v>
      </c>
      <c r="J269" s="24"/>
      <c r="K269" s="22"/>
      <c r="L269" s="23">
        <v>40</v>
      </c>
      <c r="M269" s="22"/>
      <c r="N269" s="9">
        <v>24</v>
      </c>
      <c r="O269" s="9">
        <v>27</v>
      </c>
      <c r="P269" s="9">
        <v>22.5</v>
      </c>
      <c r="Q269" s="9">
        <v>17</v>
      </c>
      <c r="R269" s="23">
        <v>20</v>
      </c>
      <c r="S269" s="22"/>
      <c r="T269" s="8">
        <v>216.5</v>
      </c>
    </row>
    <row r="270" spans="5:20">
      <c r="E270" s="21" t="s">
        <v>50</v>
      </c>
      <c r="F270" s="22"/>
      <c r="G270" s="8" t="s">
        <v>36</v>
      </c>
      <c r="H270" s="9">
        <v>76</v>
      </c>
      <c r="I270" s="23">
        <v>80</v>
      </c>
      <c r="J270" s="24"/>
      <c r="K270" s="22"/>
      <c r="L270" s="23">
        <v>97</v>
      </c>
      <c r="M270" s="22"/>
      <c r="N270" s="9">
        <v>75</v>
      </c>
      <c r="O270" s="9">
        <v>89</v>
      </c>
      <c r="P270" s="9">
        <v>70</v>
      </c>
      <c r="Q270" s="9">
        <v>41</v>
      </c>
      <c r="R270" s="23">
        <v>48</v>
      </c>
      <c r="S270" s="22"/>
      <c r="T270" s="8">
        <v>576</v>
      </c>
    </row>
    <row r="271" spans="5:20">
      <c r="E271" s="6" t="s">
        <v>51</v>
      </c>
      <c r="F271" s="6"/>
      <c r="G271" s="8" t="s">
        <v>52</v>
      </c>
      <c r="H271" s="9">
        <v>100</v>
      </c>
      <c r="I271" s="23">
        <v>100</v>
      </c>
      <c r="J271" s="24"/>
      <c r="K271" s="22"/>
      <c r="L271" s="23">
        <v>100</v>
      </c>
      <c r="M271" s="22"/>
      <c r="N271" s="9">
        <v>100</v>
      </c>
      <c r="O271" s="9">
        <v>100</v>
      </c>
      <c r="P271" s="9">
        <v>100</v>
      </c>
      <c r="Q271" s="9">
        <v>50</v>
      </c>
      <c r="R271" s="23">
        <v>50</v>
      </c>
      <c r="S271" s="22"/>
      <c r="T271" s="8">
        <v>700</v>
      </c>
    </row>
    <row r="272" spans="5:20">
      <c r="E272" s="21" t="s">
        <v>170</v>
      </c>
      <c r="F272" s="22"/>
      <c r="G272" s="8" t="s">
        <v>54</v>
      </c>
      <c r="H272" s="9" t="s">
        <v>135</v>
      </c>
      <c r="I272" s="23" t="s">
        <v>95</v>
      </c>
      <c r="J272" s="24"/>
      <c r="K272" s="22"/>
      <c r="L272" s="23" t="s">
        <v>93</v>
      </c>
      <c r="M272" s="22"/>
      <c r="N272" s="9" t="s">
        <v>135</v>
      </c>
      <c r="O272" s="9" t="s">
        <v>122</v>
      </c>
      <c r="P272" s="9" t="s">
        <v>108</v>
      </c>
      <c r="Q272" s="9" t="s">
        <v>95</v>
      </c>
      <c r="R272" s="23" t="s">
        <v>93</v>
      </c>
      <c r="S272" s="22"/>
      <c r="T272" s="8" t="s">
        <v>33</v>
      </c>
    </row>
    <row r="273" spans="5:20">
      <c r="E273" s="11" t="s">
        <v>56</v>
      </c>
      <c r="F273" s="11" t="s">
        <v>241</v>
      </c>
      <c r="G273" s="8" t="s">
        <v>58</v>
      </c>
      <c r="H273" s="9" t="s">
        <v>59</v>
      </c>
      <c r="I273" s="23" t="s">
        <v>59</v>
      </c>
      <c r="J273" s="24"/>
      <c r="K273" s="22"/>
      <c r="L273" s="23" t="s">
        <v>59</v>
      </c>
      <c r="M273" s="22"/>
      <c r="N273" s="9" t="s">
        <v>59</v>
      </c>
      <c r="O273" s="9" t="s">
        <v>59</v>
      </c>
      <c r="P273" s="9" t="s">
        <v>59</v>
      </c>
      <c r="Q273" s="9" t="s">
        <v>59</v>
      </c>
      <c r="R273" s="23" t="s">
        <v>59</v>
      </c>
      <c r="S273" s="22"/>
      <c r="T273" s="8" t="s">
        <v>33</v>
      </c>
    </row>
    <row r="274" spans="5:20">
      <c r="E274" s="12" t="s">
        <v>33</v>
      </c>
      <c r="F274" s="12" t="s">
        <v>33</v>
      </c>
      <c r="G274" s="12" t="s">
        <v>33</v>
      </c>
      <c r="H274" s="13" t="s">
        <v>33</v>
      </c>
      <c r="I274" s="20" t="s">
        <v>33</v>
      </c>
      <c r="J274" s="18"/>
      <c r="K274" s="18"/>
      <c r="L274" s="20" t="s">
        <v>33</v>
      </c>
      <c r="M274" s="18"/>
      <c r="N274" s="13" t="s">
        <v>33</v>
      </c>
      <c r="O274" s="13" t="s">
        <v>33</v>
      </c>
      <c r="P274" s="13" t="s">
        <v>33</v>
      </c>
      <c r="Q274" s="13" t="s">
        <v>33</v>
      </c>
      <c r="R274" s="20" t="s">
        <v>33</v>
      </c>
      <c r="S274" s="18"/>
      <c r="T274" s="13" t="s">
        <v>33</v>
      </c>
    </row>
    <row r="275" spans="5:20" ht="0" hidden="1" customHeight="1"/>
    <row r="276" spans="5:20" ht="0.6" customHeight="1"/>
    <row r="277" spans="5:20">
      <c r="E277" s="31" t="s">
        <v>31</v>
      </c>
      <c r="F277" s="22"/>
      <c r="G277" s="3" t="s">
        <v>32</v>
      </c>
      <c r="H277" s="5" t="s">
        <v>33</v>
      </c>
      <c r="I277" s="32" t="s">
        <v>33</v>
      </c>
      <c r="J277" s="18"/>
      <c r="K277" s="18"/>
      <c r="L277" s="32" t="s">
        <v>33</v>
      </c>
      <c r="M277" s="18"/>
      <c r="N277" s="5" t="s">
        <v>33</v>
      </c>
      <c r="O277" s="5" t="s">
        <v>33</v>
      </c>
      <c r="P277" s="5" t="s">
        <v>33</v>
      </c>
      <c r="Q277" s="5" t="s">
        <v>33</v>
      </c>
      <c r="R277" s="32" t="s">
        <v>33</v>
      </c>
      <c r="S277" s="18"/>
      <c r="T277" s="5" t="s">
        <v>33</v>
      </c>
    </row>
    <row r="278" spans="5:20" ht="21">
      <c r="E278" s="21" t="s">
        <v>242</v>
      </c>
      <c r="F278" s="22"/>
      <c r="G278" s="7" t="s">
        <v>35</v>
      </c>
      <c r="H278" s="7" t="s">
        <v>5</v>
      </c>
      <c r="I278" s="30" t="s">
        <v>7</v>
      </c>
      <c r="J278" s="24"/>
      <c r="K278" s="22"/>
      <c r="L278" s="30" t="s">
        <v>9</v>
      </c>
      <c r="M278" s="22"/>
      <c r="N278" s="7" t="s">
        <v>11</v>
      </c>
      <c r="O278" s="7" t="s">
        <v>15</v>
      </c>
      <c r="P278" s="7" t="s">
        <v>17</v>
      </c>
      <c r="Q278" s="7" t="s">
        <v>19</v>
      </c>
      <c r="R278" s="30" t="s">
        <v>21</v>
      </c>
      <c r="S278" s="22"/>
      <c r="T278" s="7" t="s">
        <v>36</v>
      </c>
    </row>
    <row r="279" spans="5:20" ht="22.5">
      <c r="E279" s="6" t="s">
        <v>37</v>
      </c>
      <c r="F279" s="6" t="s">
        <v>243</v>
      </c>
      <c r="G279" s="8" t="s">
        <v>39</v>
      </c>
      <c r="H279" s="9" t="s">
        <v>127</v>
      </c>
      <c r="I279" s="23" t="s">
        <v>244</v>
      </c>
      <c r="J279" s="24"/>
      <c r="K279" s="22"/>
      <c r="L279" s="23" t="s">
        <v>245</v>
      </c>
      <c r="M279" s="22"/>
      <c r="N279" s="9" t="s">
        <v>131</v>
      </c>
      <c r="O279" s="9" t="s">
        <v>187</v>
      </c>
      <c r="P279" s="9" t="s">
        <v>246</v>
      </c>
      <c r="Q279" s="9" t="s">
        <v>43</v>
      </c>
      <c r="R279" s="23" t="s">
        <v>247</v>
      </c>
      <c r="S279" s="22"/>
      <c r="T279" s="8" t="s">
        <v>33</v>
      </c>
    </row>
    <row r="280" spans="5:20">
      <c r="E280" s="21" t="s">
        <v>248</v>
      </c>
      <c r="F280" s="25"/>
      <c r="G280" s="8" t="s">
        <v>42</v>
      </c>
      <c r="H280" s="9" t="s">
        <v>43</v>
      </c>
      <c r="I280" s="23" t="s">
        <v>43</v>
      </c>
      <c r="J280" s="24"/>
      <c r="K280" s="22"/>
      <c r="L280" s="23" t="s">
        <v>43</v>
      </c>
      <c r="M280" s="22"/>
      <c r="N280" s="9" t="s">
        <v>43</v>
      </c>
      <c r="O280" s="9" t="s">
        <v>43</v>
      </c>
      <c r="P280" s="9" t="s">
        <v>43</v>
      </c>
      <c r="Q280" s="9" t="s">
        <v>91</v>
      </c>
      <c r="R280" s="23" t="s">
        <v>43</v>
      </c>
      <c r="S280" s="22"/>
      <c r="T280" s="8" t="s">
        <v>33</v>
      </c>
    </row>
    <row r="281" spans="5:20">
      <c r="E281" s="26"/>
      <c r="F281" s="27"/>
      <c r="G281" s="8" t="s">
        <v>44</v>
      </c>
      <c r="H281" s="9" t="s">
        <v>33</v>
      </c>
      <c r="I281" s="23" t="s">
        <v>33</v>
      </c>
      <c r="J281" s="24"/>
      <c r="K281" s="22"/>
      <c r="L281" s="23" t="s">
        <v>33</v>
      </c>
      <c r="M281" s="22"/>
      <c r="N281" s="9" t="s">
        <v>33</v>
      </c>
      <c r="O281" s="9" t="s">
        <v>33</v>
      </c>
      <c r="P281" s="9" t="s">
        <v>33</v>
      </c>
      <c r="Q281" s="9" t="s">
        <v>33</v>
      </c>
      <c r="R281" s="23" t="s">
        <v>33</v>
      </c>
      <c r="S281" s="22"/>
      <c r="T281" s="8">
        <v>0</v>
      </c>
    </row>
    <row r="282" spans="5:20">
      <c r="E282" s="28"/>
      <c r="F282" s="29"/>
      <c r="G282" s="8" t="s">
        <v>45</v>
      </c>
      <c r="H282" s="9">
        <v>4</v>
      </c>
      <c r="I282" s="23">
        <v>4</v>
      </c>
      <c r="J282" s="24"/>
      <c r="K282" s="22"/>
      <c r="L282" s="23">
        <v>4</v>
      </c>
      <c r="M282" s="22"/>
      <c r="N282" s="9">
        <v>3</v>
      </c>
      <c r="O282" s="9">
        <v>3</v>
      </c>
      <c r="P282" s="9">
        <v>3</v>
      </c>
      <c r="Q282" s="9">
        <v>2</v>
      </c>
      <c r="R282" s="23">
        <v>2</v>
      </c>
      <c r="S282" s="22"/>
      <c r="T282" s="8">
        <v>22</v>
      </c>
    </row>
    <row r="283" spans="5:20">
      <c r="E283" s="6" t="s">
        <v>46</v>
      </c>
      <c r="F283" s="6"/>
      <c r="G283" s="8" t="s">
        <v>47</v>
      </c>
      <c r="H283" s="9">
        <v>5.5</v>
      </c>
      <c r="I283" s="23">
        <v>7</v>
      </c>
      <c r="J283" s="24"/>
      <c r="K283" s="22"/>
      <c r="L283" s="23">
        <v>7.5</v>
      </c>
      <c r="M283" s="22"/>
      <c r="N283" s="9">
        <v>7.5</v>
      </c>
      <c r="O283" s="9">
        <v>10</v>
      </c>
      <c r="P283" s="9"/>
      <c r="Q283" s="9">
        <v>10</v>
      </c>
      <c r="R283" s="23">
        <v>6.5</v>
      </c>
      <c r="S283" s="22"/>
      <c r="T283" s="8" t="s">
        <v>33</v>
      </c>
    </row>
    <row r="284" spans="5:20">
      <c r="E284" s="6" t="s">
        <v>48</v>
      </c>
      <c r="F284" s="6"/>
      <c r="G284" s="8" t="s">
        <v>49</v>
      </c>
      <c r="H284" s="9">
        <v>22</v>
      </c>
      <c r="I284" s="23">
        <v>28</v>
      </c>
      <c r="J284" s="24"/>
      <c r="K284" s="22"/>
      <c r="L284" s="23">
        <v>30</v>
      </c>
      <c r="M284" s="22"/>
      <c r="N284" s="9">
        <v>22.5</v>
      </c>
      <c r="O284" s="9">
        <v>30</v>
      </c>
      <c r="P284" s="9"/>
      <c r="Q284" s="9">
        <v>20</v>
      </c>
      <c r="R284" s="23">
        <v>13</v>
      </c>
      <c r="S284" s="22"/>
      <c r="T284" s="8">
        <v>165.5</v>
      </c>
    </row>
    <row r="285" spans="5:20">
      <c r="E285" s="21" t="s">
        <v>65</v>
      </c>
      <c r="F285" s="22"/>
      <c r="G285" s="8" t="s">
        <v>36</v>
      </c>
      <c r="H285" s="9">
        <v>52</v>
      </c>
      <c r="I285" s="23">
        <v>68</v>
      </c>
      <c r="J285" s="24"/>
      <c r="K285" s="22"/>
      <c r="L285" s="23">
        <v>70</v>
      </c>
      <c r="M285" s="22"/>
      <c r="N285" s="9">
        <v>74</v>
      </c>
      <c r="O285" s="9">
        <v>98</v>
      </c>
      <c r="P285" s="9">
        <v>26</v>
      </c>
      <c r="Q285" s="9">
        <v>50</v>
      </c>
      <c r="R285" s="23">
        <v>31</v>
      </c>
      <c r="S285" s="22"/>
      <c r="T285" s="8">
        <v>469</v>
      </c>
    </row>
    <row r="286" spans="5:20">
      <c r="E286" s="6" t="s">
        <v>51</v>
      </c>
      <c r="F286" s="6"/>
      <c r="G286" s="8" t="s">
        <v>52</v>
      </c>
      <c r="H286" s="9">
        <v>100</v>
      </c>
      <c r="I286" s="23">
        <v>100</v>
      </c>
      <c r="J286" s="24"/>
      <c r="K286" s="22"/>
      <c r="L286" s="23">
        <v>100</v>
      </c>
      <c r="M286" s="22"/>
      <c r="N286" s="9">
        <v>100</v>
      </c>
      <c r="O286" s="9">
        <v>100</v>
      </c>
      <c r="P286" s="9">
        <v>100</v>
      </c>
      <c r="Q286" s="9">
        <v>50</v>
      </c>
      <c r="R286" s="23">
        <v>50</v>
      </c>
      <c r="S286" s="22"/>
      <c r="T286" s="8">
        <v>700</v>
      </c>
    </row>
    <row r="287" spans="5:20">
      <c r="E287" s="21" t="s">
        <v>66</v>
      </c>
      <c r="F287" s="22"/>
      <c r="G287" s="8" t="s">
        <v>54</v>
      </c>
      <c r="H287" s="9" t="s">
        <v>123</v>
      </c>
      <c r="I287" s="23" t="s">
        <v>109</v>
      </c>
      <c r="J287" s="24"/>
      <c r="K287" s="22"/>
      <c r="L287" s="23" t="s">
        <v>108</v>
      </c>
      <c r="M287" s="22"/>
      <c r="N287" s="9" t="s">
        <v>108</v>
      </c>
      <c r="O287" s="9" t="s">
        <v>93</v>
      </c>
      <c r="P287" s="9"/>
      <c r="Q287" s="9" t="s">
        <v>93</v>
      </c>
      <c r="R287" s="23" t="s">
        <v>76</v>
      </c>
      <c r="S287" s="22"/>
      <c r="T287" s="8" t="s">
        <v>33</v>
      </c>
    </row>
    <row r="288" spans="5:20">
      <c r="E288" s="11" t="s">
        <v>56</v>
      </c>
      <c r="F288" s="11" t="s">
        <v>249</v>
      </c>
      <c r="G288" s="8" t="s">
        <v>58</v>
      </c>
      <c r="H288" s="9" t="s">
        <v>59</v>
      </c>
      <c r="I288" s="23" t="s">
        <v>59</v>
      </c>
      <c r="J288" s="24"/>
      <c r="K288" s="22"/>
      <c r="L288" s="23" t="s">
        <v>59</v>
      </c>
      <c r="M288" s="22"/>
      <c r="N288" s="9" t="s">
        <v>59</v>
      </c>
      <c r="O288" s="9" t="s">
        <v>59</v>
      </c>
      <c r="P288" s="9" t="s">
        <v>68</v>
      </c>
      <c r="Q288" s="9" t="s">
        <v>59</v>
      </c>
      <c r="R288" s="23" t="s">
        <v>59</v>
      </c>
      <c r="S288" s="22"/>
      <c r="T288" s="8" t="s">
        <v>33</v>
      </c>
    </row>
    <row r="289" spans="5:20">
      <c r="E289" s="12" t="s">
        <v>33</v>
      </c>
      <c r="F289" s="12" t="s">
        <v>33</v>
      </c>
      <c r="G289" s="12" t="s">
        <v>33</v>
      </c>
      <c r="H289" s="13" t="s">
        <v>33</v>
      </c>
      <c r="I289" s="20" t="s">
        <v>33</v>
      </c>
      <c r="J289" s="18"/>
      <c r="K289" s="18"/>
      <c r="L289" s="20" t="s">
        <v>33</v>
      </c>
      <c r="M289" s="18"/>
      <c r="N289" s="13" t="s">
        <v>33</v>
      </c>
      <c r="O289" s="13" t="s">
        <v>33</v>
      </c>
      <c r="P289" s="13" t="s">
        <v>33</v>
      </c>
      <c r="Q289" s="13" t="s">
        <v>33</v>
      </c>
      <c r="R289" s="20" t="s">
        <v>33</v>
      </c>
      <c r="S289" s="18"/>
      <c r="T289" s="13" t="s">
        <v>33</v>
      </c>
    </row>
    <row r="290" spans="5:20" ht="0" hidden="1" customHeight="1"/>
    <row r="291" spans="5:20" ht="0.6" customHeight="1"/>
    <row r="292" spans="5:20">
      <c r="E292" s="31" t="s">
        <v>31</v>
      </c>
      <c r="F292" s="22"/>
      <c r="G292" s="3" t="s">
        <v>32</v>
      </c>
      <c r="H292" s="5" t="s">
        <v>33</v>
      </c>
      <c r="I292" s="32" t="s">
        <v>33</v>
      </c>
      <c r="J292" s="18"/>
      <c r="K292" s="18"/>
      <c r="L292" s="32" t="s">
        <v>33</v>
      </c>
      <c r="M292" s="18"/>
      <c r="N292" s="5" t="s">
        <v>33</v>
      </c>
      <c r="O292" s="5" t="s">
        <v>33</v>
      </c>
      <c r="P292" s="5" t="s">
        <v>33</v>
      </c>
      <c r="Q292" s="5" t="s">
        <v>33</v>
      </c>
      <c r="R292" s="32" t="s">
        <v>33</v>
      </c>
      <c r="S292" s="18"/>
      <c r="T292" s="5" t="s">
        <v>33</v>
      </c>
    </row>
    <row r="293" spans="5:20" ht="21">
      <c r="E293" s="21" t="s">
        <v>250</v>
      </c>
      <c r="F293" s="22"/>
      <c r="G293" s="7" t="s">
        <v>35</v>
      </c>
      <c r="H293" s="7" t="s">
        <v>5</v>
      </c>
      <c r="I293" s="30" t="s">
        <v>7</v>
      </c>
      <c r="J293" s="24"/>
      <c r="K293" s="22"/>
      <c r="L293" s="30" t="s">
        <v>9</v>
      </c>
      <c r="M293" s="22"/>
      <c r="N293" s="7" t="s">
        <v>11</v>
      </c>
      <c r="O293" s="7" t="s">
        <v>15</v>
      </c>
      <c r="P293" s="7" t="s">
        <v>17</v>
      </c>
      <c r="Q293" s="7" t="s">
        <v>19</v>
      </c>
      <c r="R293" s="30" t="s">
        <v>21</v>
      </c>
      <c r="S293" s="22"/>
      <c r="T293" s="7" t="s">
        <v>36</v>
      </c>
    </row>
    <row r="294" spans="5:20" ht="22.5">
      <c r="E294" s="6" t="s">
        <v>37</v>
      </c>
      <c r="F294" s="6" t="s">
        <v>251</v>
      </c>
      <c r="G294" s="8" t="s">
        <v>39</v>
      </c>
      <c r="H294" s="9" t="s">
        <v>174</v>
      </c>
      <c r="I294" s="23" t="s">
        <v>252</v>
      </c>
      <c r="J294" s="24"/>
      <c r="K294" s="22"/>
      <c r="L294" s="23" t="s">
        <v>253</v>
      </c>
      <c r="M294" s="22"/>
      <c r="N294" s="9" t="s">
        <v>254</v>
      </c>
      <c r="O294" s="9" t="s">
        <v>227</v>
      </c>
      <c r="P294" s="9" t="s">
        <v>255</v>
      </c>
      <c r="Q294" s="9" t="s">
        <v>43</v>
      </c>
      <c r="R294" s="23" t="s">
        <v>256</v>
      </c>
      <c r="S294" s="22"/>
      <c r="T294" s="8" t="s">
        <v>33</v>
      </c>
    </row>
    <row r="295" spans="5:20">
      <c r="E295" s="21" t="s">
        <v>257</v>
      </c>
      <c r="F295" s="25"/>
      <c r="G295" s="8" t="s">
        <v>42</v>
      </c>
      <c r="H295" s="9" t="s">
        <v>43</v>
      </c>
      <c r="I295" s="23" t="s">
        <v>43</v>
      </c>
      <c r="J295" s="24"/>
      <c r="K295" s="22"/>
      <c r="L295" s="23" t="s">
        <v>43</v>
      </c>
      <c r="M295" s="22"/>
      <c r="N295" s="9" t="s">
        <v>43</v>
      </c>
      <c r="O295" s="9" t="s">
        <v>43</v>
      </c>
      <c r="P295" s="9" t="s">
        <v>43</v>
      </c>
      <c r="Q295" s="9" t="s">
        <v>120</v>
      </c>
      <c r="R295" s="23" t="s">
        <v>43</v>
      </c>
      <c r="S295" s="22"/>
      <c r="T295" s="8" t="s">
        <v>33</v>
      </c>
    </row>
    <row r="296" spans="5:20">
      <c r="E296" s="26"/>
      <c r="F296" s="27"/>
      <c r="G296" s="8" t="s">
        <v>44</v>
      </c>
      <c r="H296" s="9" t="s">
        <v>33</v>
      </c>
      <c r="I296" s="23" t="s">
        <v>33</v>
      </c>
      <c r="J296" s="24"/>
      <c r="K296" s="22"/>
      <c r="L296" s="23" t="s">
        <v>33</v>
      </c>
      <c r="M296" s="22"/>
      <c r="N296" s="9" t="s">
        <v>33</v>
      </c>
      <c r="O296" s="9" t="s">
        <v>33</v>
      </c>
      <c r="P296" s="9" t="s">
        <v>33</v>
      </c>
      <c r="Q296" s="9" t="s">
        <v>33</v>
      </c>
      <c r="R296" s="23" t="s">
        <v>33</v>
      </c>
      <c r="S296" s="22"/>
      <c r="T296" s="8">
        <v>0</v>
      </c>
    </row>
    <row r="297" spans="5:20">
      <c r="E297" s="28"/>
      <c r="F297" s="29"/>
      <c r="G297" s="8" t="s">
        <v>45</v>
      </c>
      <c r="H297" s="9">
        <v>4</v>
      </c>
      <c r="I297" s="23">
        <v>4</v>
      </c>
      <c r="J297" s="24"/>
      <c r="K297" s="22"/>
      <c r="L297" s="23">
        <v>4</v>
      </c>
      <c r="M297" s="22"/>
      <c r="N297" s="9">
        <v>3</v>
      </c>
      <c r="O297" s="9">
        <v>3</v>
      </c>
      <c r="P297" s="9">
        <v>3</v>
      </c>
      <c r="Q297" s="9">
        <v>2</v>
      </c>
      <c r="R297" s="23">
        <v>2</v>
      </c>
      <c r="S297" s="22"/>
      <c r="T297" s="8">
        <v>25</v>
      </c>
    </row>
    <row r="298" spans="5:20">
      <c r="E298" s="6" t="s">
        <v>46</v>
      </c>
      <c r="F298" s="6">
        <v>8.14</v>
      </c>
      <c r="G298" s="8" t="s">
        <v>47</v>
      </c>
      <c r="H298" s="9">
        <v>7.5</v>
      </c>
      <c r="I298" s="23">
        <v>8</v>
      </c>
      <c r="J298" s="24"/>
      <c r="K298" s="22"/>
      <c r="L298" s="23">
        <v>9</v>
      </c>
      <c r="M298" s="22"/>
      <c r="N298" s="9">
        <v>8</v>
      </c>
      <c r="O298" s="9">
        <v>9.5</v>
      </c>
      <c r="P298" s="9">
        <v>6</v>
      </c>
      <c r="Q298" s="9">
        <v>10</v>
      </c>
      <c r="R298" s="23">
        <v>7.5</v>
      </c>
      <c r="S298" s="22"/>
      <c r="T298" s="8" t="s">
        <v>33</v>
      </c>
    </row>
    <row r="299" spans="5:20">
      <c r="E299" s="6" t="s">
        <v>48</v>
      </c>
      <c r="F299" s="10">
        <v>8.25</v>
      </c>
      <c r="G299" s="8" t="s">
        <v>49</v>
      </c>
      <c r="H299" s="9">
        <v>30</v>
      </c>
      <c r="I299" s="23">
        <v>32</v>
      </c>
      <c r="J299" s="24"/>
      <c r="K299" s="22"/>
      <c r="L299" s="23">
        <v>36</v>
      </c>
      <c r="M299" s="22"/>
      <c r="N299" s="9">
        <v>24</v>
      </c>
      <c r="O299" s="9">
        <v>28.5</v>
      </c>
      <c r="P299" s="9">
        <v>18</v>
      </c>
      <c r="Q299" s="9">
        <v>20</v>
      </c>
      <c r="R299" s="23">
        <v>15</v>
      </c>
      <c r="S299" s="22"/>
      <c r="T299" s="8">
        <v>203.5</v>
      </c>
    </row>
    <row r="300" spans="5:20">
      <c r="E300" s="21" t="s">
        <v>50</v>
      </c>
      <c r="F300" s="22"/>
      <c r="G300" s="8" t="s">
        <v>36</v>
      </c>
      <c r="H300" s="9">
        <v>70</v>
      </c>
      <c r="I300" s="23">
        <v>76</v>
      </c>
      <c r="J300" s="24"/>
      <c r="K300" s="22"/>
      <c r="L300" s="23">
        <v>88</v>
      </c>
      <c r="M300" s="22"/>
      <c r="N300" s="9">
        <v>75</v>
      </c>
      <c r="O300" s="9">
        <v>94</v>
      </c>
      <c r="P300" s="9">
        <v>55</v>
      </c>
      <c r="Q300" s="9">
        <v>49</v>
      </c>
      <c r="R300" s="23">
        <v>37</v>
      </c>
      <c r="S300" s="22"/>
      <c r="T300" s="8">
        <v>544</v>
      </c>
    </row>
    <row r="301" spans="5:20">
      <c r="E301" s="6" t="s">
        <v>51</v>
      </c>
      <c r="F301" s="6"/>
      <c r="G301" s="8" t="s">
        <v>52</v>
      </c>
      <c r="H301" s="9">
        <v>100</v>
      </c>
      <c r="I301" s="23">
        <v>100</v>
      </c>
      <c r="J301" s="24"/>
      <c r="K301" s="22"/>
      <c r="L301" s="23">
        <v>100</v>
      </c>
      <c r="M301" s="22"/>
      <c r="N301" s="9">
        <v>100</v>
      </c>
      <c r="O301" s="9">
        <v>100</v>
      </c>
      <c r="P301" s="9">
        <v>100</v>
      </c>
      <c r="Q301" s="9">
        <v>50</v>
      </c>
      <c r="R301" s="23">
        <v>50</v>
      </c>
      <c r="S301" s="22"/>
      <c r="T301" s="8">
        <v>700</v>
      </c>
    </row>
    <row r="302" spans="5:20">
      <c r="E302" s="21" t="s">
        <v>159</v>
      </c>
      <c r="F302" s="22"/>
      <c r="G302" s="8" t="s">
        <v>54</v>
      </c>
      <c r="H302" s="9" t="s">
        <v>108</v>
      </c>
      <c r="I302" s="23" t="s">
        <v>135</v>
      </c>
      <c r="J302" s="24"/>
      <c r="K302" s="22"/>
      <c r="L302" s="23" t="s">
        <v>122</v>
      </c>
      <c r="M302" s="22"/>
      <c r="N302" s="9" t="s">
        <v>135</v>
      </c>
      <c r="O302" s="9" t="s">
        <v>94</v>
      </c>
      <c r="P302" s="9" t="s">
        <v>147</v>
      </c>
      <c r="Q302" s="9" t="s">
        <v>93</v>
      </c>
      <c r="R302" s="23" t="s">
        <v>108</v>
      </c>
      <c r="S302" s="22"/>
      <c r="T302" s="8" t="s">
        <v>33</v>
      </c>
    </row>
    <row r="303" spans="5:20">
      <c r="E303" s="11" t="s">
        <v>56</v>
      </c>
      <c r="F303" s="11" t="s">
        <v>258</v>
      </c>
      <c r="G303" s="8" t="s">
        <v>58</v>
      </c>
      <c r="H303" s="9" t="s">
        <v>59</v>
      </c>
      <c r="I303" s="23" t="s">
        <v>59</v>
      </c>
      <c r="J303" s="24"/>
      <c r="K303" s="22"/>
      <c r="L303" s="23" t="s">
        <v>59</v>
      </c>
      <c r="M303" s="22"/>
      <c r="N303" s="9" t="s">
        <v>59</v>
      </c>
      <c r="O303" s="9" t="s">
        <v>59</v>
      </c>
      <c r="P303" s="9" t="s">
        <v>59</v>
      </c>
      <c r="Q303" s="9" t="s">
        <v>59</v>
      </c>
      <c r="R303" s="23" t="s">
        <v>59</v>
      </c>
      <c r="S303" s="22"/>
      <c r="T303" s="8" t="s">
        <v>33</v>
      </c>
    </row>
    <row r="304" spans="5:20">
      <c r="E304" s="12" t="s">
        <v>33</v>
      </c>
      <c r="F304" s="12" t="s">
        <v>33</v>
      </c>
      <c r="G304" s="12" t="s">
        <v>33</v>
      </c>
      <c r="H304" s="13" t="s">
        <v>33</v>
      </c>
      <c r="I304" s="20" t="s">
        <v>33</v>
      </c>
      <c r="J304" s="18"/>
      <c r="K304" s="18"/>
      <c r="L304" s="20" t="s">
        <v>33</v>
      </c>
      <c r="M304" s="18"/>
      <c r="N304" s="13" t="s">
        <v>33</v>
      </c>
      <c r="O304" s="13" t="s">
        <v>33</v>
      </c>
      <c r="P304" s="13" t="s">
        <v>33</v>
      </c>
      <c r="Q304" s="13" t="s">
        <v>33</v>
      </c>
      <c r="R304" s="20" t="s">
        <v>33</v>
      </c>
      <c r="S304" s="18"/>
      <c r="T304" s="13" t="s">
        <v>33</v>
      </c>
    </row>
    <row r="305" spans="5:20" ht="0" hidden="1" customHeight="1"/>
    <row r="306" spans="5:20" ht="0.6" customHeight="1"/>
    <row r="307" spans="5:20">
      <c r="E307" s="31" t="s">
        <v>31</v>
      </c>
      <c r="F307" s="22"/>
      <c r="G307" s="3" t="s">
        <v>32</v>
      </c>
      <c r="H307" s="5" t="s">
        <v>33</v>
      </c>
      <c r="I307" s="32" t="s">
        <v>33</v>
      </c>
      <c r="J307" s="18"/>
      <c r="K307" s="18"/>
      <c r="L307" s="32" t="s">
        <v>33</v>
      </c>
      <c r="M307" s="18"/>
      <c r="N307" s="5" t="s">
        <v>33</v>
      </c>
      <c r="O307" s="5" t="s">
        <v>33</v>
      </c>
      <c r="P307" s="5" t="s">
        <v>33</v>
      </c>
      <c r="Q307" s="5" t="s">
        <v>33</v>
      </c>
      <c r="R307" s="32" t="s">
        <v>33</v>
      </c>
      <c r="S307" s="18"/>
      <c r="T307" s="5" t="s">
        <v>33</v>
      </c>
    </row>
    <row r="308" spans="5:20" ht="21">
      <c r="E308" s="21" t="s">
        <v>259</v>
      </c>
      <c r="F308" s="22"/>
      <c r="G308" s="7" t="s">
        <v>35</v>
      </c>
      <c r="H308" s="7" t="s">
        <v>5</v>
      </c>
      <c r="I308" s="30" t="s">
        <v>7</v>
      </c>
      <c r="J308" s="24"/>
      <c r="K308" s="22"/>
      <c r="L308" s="30" t="s">
        <v>9</v>
      </c>
      <c r="M308" s="22"/>
      <c r="N308" s="7" t="s">
        <v>11</v>
      </c>
      <c r="O308" s="7" t="s">
        <v>15</v>
      </c>
      <c r="P308" s="7" t="s">
        <v>17</v>
      </c>
      <c r="Q308" s="7" t="s">
        <v>21</v>
      </c>
      <c r="R308" s="30" t="s">
        <v>27</v>
      </c>
      <c r="S308" s="22"/>
      <c r="T308" s="7" t="s">
        <v>36</v>
      </c>
    </row>
    <row r="309" spans="5:20" ht="22.5">
      <c r="E309" s="6" t="s">
        <v>37</v>
      </c>
      <c r="F309" s="6" t="s">
        <v>260</v>
      </c>
      <c r="G309" s="8" t="s">
        <v>39</v>
      </c>
      <c r="H309" s="9" t="s">
        <v>261</v>
      </c>
      <c r="I309" s="23" t="s">
        <v>262</v>
      </c>
      <c r="J309" s="24"/>
      <c r="K309" s="22"/>
      <c r="L309" s="23" t="s">
        <v>263</v>
      </c>
      <c r="M309" s="22"/>
      <c r="N309" s="9" t="s">
        <v>264</v>
      </c>
      <c r="O309" s="9" t="s">
        <v>265</v>
      </c>
      <c r="P309" s="9" t="s">
        <v>266</v>
      </c>
      <c r="Q309" s="9" t="s">
        <v>267</v>
      </c>
      <c r="R309" s="23" t="s">
        <v>43</v>
      </c>
      <c r="S309" s="22"/>
      <c r="T309" s="8" t="s">
        <v>33</v>
      </c>
    </row>
    <row r="310" spans="5:20">
      <c r="E310" s="21" t="s">
        <v>268</v>
      </c>
      <c r="F310" s="25"/>
      <c r="G310" s="8" t="s">
        <v>42</v>
      </c>
      <c r="H310" s="9" t="s">
        <v>43</v>
      </c>
      <c r="I310" s="23" t="s">
        <v>43</v>
      </c>
      <c r="J310" s="24"/>
      <c r="K310" s="22"/>
      <c r="L310" s="23" t="s">
        <v>43</v>
      </c>
      <c r="M310" s="22"/>
      <c r="N310" s="9" t="s">
        <v>43</v>
      </c>
      <c r="O310" s="9" t="s">
        <v>43</v>
      </c>
      <c r="P310" s="9" t="s">
        <v>43</v>
      </c>
      <c r="Q310" s="9" t="s">
        <v>43</v>
      </c>
      <c r="R310" s="23" t="s">
        <v>269</v>
      </c>
      <c r="S310" s="22"/>
      <c r="T310" s="8" t="s">
        <v>33</v>
      </c>
    </row>
    <row r="311" spans="5:20">
      <c r="E311" s="26"/>
      <c r="F311" s="27"/>
      <c r="G311" s="8" t="s">
        <v>44</v>
      </c>
      <c r="H311" s="9" t="s">
        <v>33</v>
      </c>
      <c r="I311" s="23" t="s">
        <v>33</v>
      </c>
      <c r="J311" s="24"/>
      <c r="K311" s="22"/>
      <c r="L311" s="23" t="s">
        <v>33</v>
      </c>
      <c r="M311" s="22"/>
      <c r="N311" s="9" t="s">
        <v>33</v>
      </c>
      <c r="O311" s="9" t="s">
        <v>33</v>
      </c>
      <c r="P311" s="9" t="s">
        <v>33</v>
      </c>
      <c r="Q311" s="9" t="s">
        <v>33</v>
      </c>
      <c r="R311" s="23" t="s">
        <v>33</v>
      </c>
      <c r="S311" s="22"/>
      <c r="T311" s="8">
        <v>0</v>
      </c>
    </row>
    <row r="312" spans="5:20">
      <c r="E312" s="28"/>
      <c r="F312" s="29"/>
      <c r="G312" s="8" t="s">
        <v>45</v>
      </c>
      <c r="H312" s="9">
        <v>4</v>
      </c>
      <c r="I312" s="23">
        <v>4</v>
      </c>
      <c r="J312" s="24"/>
      <c r="K312" s="22"/>
      <c r="L312" s="23">
        <v>4</v>
      </c>
      <c r="M312" s="22"/>
      <c r="N312" s="9">
        <v>3</v>
      </c>
      <c r="O312" s="9">
        <v>3</v>
      </c>
      <c r="P312" s="9">
        <v>3</v>
      </c>
      <c r="Q312" s="9">
        <v>2</v>
      </c>
      <c r="R312" s="23">
        <v>2</v>
      </c>
      <c r="S312" s="22"/>
      <c r="T312" s="8">
        <v>18</v>
      </c>
    </row>
    <row r="313" spans="5:20">
      <c r="E313" s="6" t="s">
        <v>46</v>
      </c>
      <c r="F313" s="6"/>
      <c r="G313" s="8" t="s">
        <v>47</v>
      </c>
      <c r="H313" s="9"/>
      <c r="I313" s="23">
        <v>4.5</v>
      </c>
      <c r="J313" s="24"/>
      <c r="K313" s="22"/>
      <c r="L313" s="23">
        <v>7.5</v>
      </c>
      <c r="M313" s="22"/>
      <c r="N313" s="9">
        <v>6</v>
      </c>
      <c r="O313" s="9">
        <v>5</v>
      </c>
      <c r="P313" s="9"/>
      <c r="Q313" s="9">
        <v>7</v>
      </c>
      <c r="R313" s="23">
        <v>8.5</v>
      </c>
      <c r="S313" s="22"/>
      <c r="T313" s="8" t="s">
        <v>33</v>
      </c>
    </row>
    <row r="314" spans="5:20">
      <c r="E314" s="6" t="s">
        <v>48</v>
      </c>
      <c r="F314" s="6"/>
      <c r="G314" s="8" t="s">
        <v>49</v>
      </c>
      <c r="H314" s="9"/>
      <c r="I314" s="23">
        <v>18</v>
      </c>
      <c r="J314" s="24"/>
      <c r="K314" s="22"/>
      <c r="L314" s="23">
        <v>30</v>
      </c>
      <c r="M314" s="22"/>
      <c r="N314" s="9">
        <v>18</v>
      </c>
      <c r="O314" s="9">
        <v>15</v>
      </c>
      <c r="P314" s="9"/>
      <c r="Q314" s="9">
        <v>14</v>
      </c>
      <c r="R314" s="23">
        <v>17</v>
      </c>
      <c r="S314" s="22"/>
      <c r="T314" s="8">
        <v>112</v>
      </c>
    </row>
    <row r="315" spans="5:20">
      <c r="E315" s="21" t="s">
        <v>65</v>
      </c>
      <c r="F315" s="22"/>
      <c r="G315" s="8" t="s">
        <v>36</v>
      </c>
      <c r="H315" s="9">
        <v>34</v>
      </c>
      <c r="I315" s="23">
        <v>44</v>
      </c>
      <c r="J315" s="24"/>
      <c r="K315" s="22"/>
      <c r="L315" s="23">
        <v>73</v>
      </c>
      <c r="M315" s="22"/>
      <c r="N315" s="9">
        <v>55</v>
      </c>
      <c r="O315" s="9">
        <v>45</v>
      </c>
      <c r="P315" s="9">
        <v>20</v>
      </c>
      <c r="Q315" s="9">
        <v>34</v>
      </c>
      <c r="R315" s="23">
        <v>40</v>
      </c>
      <c r="S315" s="22"/>
      <c r="T315" s="8">
        <v>345</v>
      </c>
    </row>
    <row r="316" spans="5:20">
      <c r="E316" s="6" t="s">
        <v>51</v>
      </c>
      <c r="F316" s="6"/>
      <c r="G316" s="8" t="s">
        <v>52</v>
      </c>
      <c r="H316" s="9">
        <v>100</v>
      </c>
      <c r="I316" s="23">
        <v>100</v>
      </c>
      <c r="J316" s="24"/>
      <c r="K316" s="22"/>
      <c r="L316" s="23">
        <v>100</v>
      </c>
      <c r="M316" s="22"/>
      <c r="N316" s="9">
        <v>100</v>
      </c>
      <c r="O316" s="9">
        <v>100</v>
      </c>
      <c r="P316" s="9">
        <v>100</v>
      </c>
      <c r="Q316" s="9">
        <v>50</v>
      </c>
      <c r="R316" s="23">
        <v>50</v>
      </c>
      <c r="S316" s="22"/>
      <c r="T316" s="8">
        <v>700</v>
      </c>
    </row>
    <row r="317" spans="5:20">
      <c r="E317" s="21" t="s">
        <v>66</v>
      </c>
      <c r="F317" s="22"/>
      <c r="G317" s="8" t="s">
        <v>54</v>
      </c>
      <c r="H317" s="9"/>
      <c r="I317" s="23" t="s">
        <v>75</v>
      </c>
      <c r="J317" s="24"/>
      <c r="K317" s="22"/>
      <c r="L317" s="23" t="s">
        <v>108</v>
      </c>
      <c r="M317" s="22"/>
      <c r="N317" s="9" t="s">
        <v>147</v>
      </c>
      <c r="O317" s="9" t="s">
        <v>55</v>
      </c>
      <c r="P317" s="9"/>
      <c r="Q317" s="9" t="s">
        <v>109</v>
      </c>
      <c r="R317" s="23" t="s">
        <v>95</v>
      </c>
      <c r="S317" s="22"/>
      <c r="T317" s="8" t="s">
        <v>33</v>
      </c>
    </row>
    <row r="318" spans="5:20">
      <c r="E318" s="11" t="s">
        <v>56</v>
      </c>
      <c r="F318" s="11" t="s">
        <v>270</v>
      </c>
      <c r="G318" s="8" t="s">
        <v>58</v>
      </c>
      <c r="H318" s="9" t="s">
        <v>68</v>
      </c>
      <c r="I318" s="23" t="s">
        <v>59</v>
      </c>
      <c r="J318" s="24"/>
      <c r="K318" s="22"/>
      <c r="L318" s="23" t="s">
        <v>59</v>
      </c>
      <c r="M318" s="22"/>
      <c r="N318" s="9" t="s">
        <v>59</v>
      </c>
      <c r="O318" s="9" t="s">
        <v>59</v>
      </c>
      <c r="P318" s="9" t="s">
        <v>68</v>
      </c>
      <c r="Q318" s="9" t="s">
        <v>59</v>
      </c>
      <c r="R318" s="23" t="s">
        <v>59</v>
      </c>
      <c r="S318" s="22"/>
      <c r="T318" s="8" t="s">
        <v>33</v>
      </c>
    </row>
    <row r="319" spans="5:20">
      <c r="E319" s="12" t="s">
        <v>33</v>
      </c>
      <c r="F319" s="12" t="s">
        <v>33</v>
      </c>
      <c r="G319" s="12" t="s">
        <v>33</v>
      </c>
      <c r="H319" s="13" t="s">
        <v>33</v>
      </c>
      <c r="I319" s="20" t="s">
        <v>33</v>
      </c>
      <c r="J319" s="18"/>
      <c r="K319" s="18"/>
      <c r="L319" s="20" t="s">
        <v>33</v>
      </c>
      <c r="M319" s="18"/>
      <c r="N319" s="13" t="s">
        <v>33</v>
      </c>
      <c r="O319" s="13" t="s">
        <v>33</v>
      </c>
      <c r="P319" s="13" t="s">
        <v>33</v>
      </c>
      <c r="Q319" s="13" t="s">
        <v>33</v>
      </c>
      <c r="R319" s="20" t="s">
        <v>33</v>
      </c>
      <c r="S319" s="18"/>
      <c r="T319" s="13" t="s">
        <v>33</v>
      </c>
    </row>
    <row r="320" spans="5:20" ht="0" hidden="1" customHeight="1"/>
    <row r="321" spans="5:20" ht="0.6" customHeight="1"/>
    <row r="322" spans="5:20">
      <c r="E322" s="31" t="s">
        <v>31</v>
      </c>
      <c r="F322" s="22"/>
      <c r="G322" s="3" t="s">
        <v>32</v>
      </c>
      <c r="H322" s="5" t="s">
        <v>33</v>
      </c>
      <c r="I322" s="32" t="s">
        <v>33</v>
      </c>
      <c r="J322" s="18"/>
      <c r="K322" s="18"/>
      <c r="L322" s="32" t="s">
        <v>33</v>
      </c>
      <c r="M322" s="18"/>
      <c r="N322" s="5" t="s">
        <v>33</v>
      </c>
      <c r="O322" s="5" t="s">
        <v>33</v>
      </c>
      <c r="P322" s="5" t="s">
        <v>33</v>
      </c>
      <c r="Q322" s="5" t="s">
        <v>33</v>
      </c>
      <c r="R322" s="32" t="s">
        <v>33</v>
      </c>
      <c r="S322" s="18"/>
      <c r="T322" s="5" t="s">
        <v>33</v>
      </c>
    </row>
    <row r="323" spans="5:20" ht="21">
      <c r="E323" s="21" t="s">
        <v>271</v>
      </c>
      <c r="F323" s="22"/>
      <c r="G323" s="7" t="s">
        <v>35</v>
      </c>
      <c r="H323" s="7" t="s">
        <v>5</v>
      </c>
      <c r="I323" s="30" t="s">
        <v>7</v>
      </c>
      <c r="J323" s="24"/>
      <c r="K323" s="22"/>
      <c r="L323" s="30" t="s">
        <v>9</v>
      </c>
      <c r="M323" s="22"/>
      <c r="N323" s="7" t="s">
        <v>11</v>
      </c>
      <c r="O323" s="7" t="s">
        <v>15</v>
      </c>
      <c r="P323" s="7" t="s">
        <v>17</v>
      </c>
      <c r="Q323" s="7" t="s">
        <v>21</v>
      </c>
      <c r="R323" s="30" t="s">
        <v>29</v>
      </c>
      <c r="S323" s="22"/>
      <c r="T323" s="7" t="s">
        <v>36</v>
      </c>
    </row>
    <row r="324" spans="5:20" ht="22.5">
      <c r="E324" s="6" t="s">
        <v>37</v>
      </c>
      <c r="F324" s="6" t="s">
        <v>272</v>
      </c>
      <c r="G324" s="8" t="s">
        <v>39</v>
      </c>
      <c r="H324" s="9" t="s">
        <v>86</v>
      </c>
      <c r="I324" s="23" t="s">
        <v>273</v>
      </c>
      <c r="J324" s="24"/>
      <c r="K324" s="22"/>
      <c r="L324" s="23" t="s">
        <v>88</v>
      </c>
      <c r="M324" s="22"/>
      <c r="N324" s="9" t="s">
        <v>274</v>
      </c>
      <c r="O324" s="9" t="s">
        <v>275</v>
      </c>
      <c r="P324" s="9" t="s">
        <v>187</v>
      </c>
      <c r="Q324" s="9" t="s">
        <v>276</v>
      </c>
      <c r="R324" s="23" t="s">
        <v>43</v>
      </c>
      <c r="S324" s="22"/>
      <c r="T324" s="8" t="s">
        <v>33</v>
      </c>
    </row>
    <row r="325" spans="5:20">
      <c r="E325" s="21" t="s">
        <v>277</v>
      </c>
      <c r="F325" s="25"/>
      <c r="G325" s="8" t="s">
        <v>42</v>
      </c>
      <c r="H325" s="9" t="s">
        <v>43</v>
      </c>
      <c r="I325" s="23" t="s">
        <v>43</v>
      </c>
      <c r="J325" s="24"/>
      <c r="K325" s="22"/>
      <c r="L325" s="23" t="s">
        <v>43</v>
      </c>
      <c r="M325" s="22"/>
      <c r="N325" s="9" t="s">
        <v>43</v>
      </c>
      <c r="O325" s="9" t="s">
        <v>43</v>
      </c>
      <c r="P325" s="9" t="s">
        <v>43</v>
      </c>
      <c r="Q325" s="9" t="s">
        <v>43</v>
      </c>
      <c r="R325" s="23" t="s">
        <v>91</v>
      </c>
      <c r="S325" s="22"/>
      <c r="T325" s="8" t="s">
        <v>33</v>
      </c>
    </row>
    <row r="326" spans="5:20">
      <c r="E326" s="26"/>
      <c r="F326" s="27"/>
      <c r="G326" s="8" t="s">
        <v>44</v>
      </c>
      <c r="H326" s="9" t="s">
        <v>33</v>
      </c>
      <c r="I326" s="23" t="s">
        <v>33</v>
      </c>
      <c r="J326" s="24"/>
      <c r="K326" s="22"/>
      <c r="L326" s="23" t="s">
        <v>33</v>
      </c>
      <c r="M326" s="22"/>
      <c r="N326" s="9" t="s">
        <v>33</v>
      </c>
      <c r="O326" s="9" t="s">
        <v>33</v>
      </c>
      <c r="P326" s="9" t="s">
        <v>33</v>
      </c>
      <c r="Q326" s="9" t="s">
        <v>33</v>
      </c>
      <c r="R326" s="23" t="s">
        <v>33</v>
      </c>
      <c r="S326" s="22"/>
      <c r="T326" s="8">
        <v>0</v>
      </c>
    </row>
    <row r="327" spans="5:20">
      <c r="E327" s="28"/>
      <c r="F327" s="29"/>
      <c r="G327" s="8" t="s">
        <v>45</v>
      </c>
      <c r="H327" s="9">
        <v>4</v>
      </c>
      <c r="I327" s="23">
        <v>4</v>
      </c>
      <c r="J327" s="24"/>
      <c r="K327" s="22"/>
      <c r="L327" s="23">
        <v>4</v>
      </c>
      <c r="M327" s="22"/>
      <c r="N327" s="9">
        <v>3</v>
      </c>
      <c r="O327" s="9">
        <v>3</v>
      </c>
      <c r="P327" s="9">
        <v>3</v>
      </c>
      <c r="Q327" s="9">
        <v>2</v>
      </c>
      <c r="R327" s="23">
        <v>2</v>
      </c>
      <c r="S327" s="22"/>
      <c r="T327" s="8">
        <v>25</v>
      </c>
    </row>
    <row r="328" spans="5:20">
      <c r="E328" s="6" t="s">
        <v>46</v>
      </c>
      <c r="F328" s="6">
        <v>9.66</v>
      </c>
      <c r="G328" s="8" t="s">
        <v>47</v>
      </c>
      <c r="H328" s="9">
        <v>9.5</v>
      </c>
      <c r="I328" s="23">
        <v>9.5</v>
      </c>
      <c r="J328" s="24"/>
      <c r="K328" s="22"/>
      <c r="L328" s="23">
        <v>10</v>
      </c>
      <c r="M328" s="22"/>
      <c r="N328" s="9">
        <v>8.5</v>
      </c>
      <c r="O328" s="9">
        <v>10</v>
      </c>
      <c r="P328" s="9">
        <v>10</v>
      </c>
      <c r="Q328" s="9">
        <v>10</v>
      </c>
      <c r="R328" s="23">
        <v>10</v>
      </c>
      <c r="S328" s="22"/>
      <c r="T328" s="8" t="s">
        <v>33</v>
      </c>
    </row>
    <row r="329" spans="5:20">
      <c r="E329" s="6" t="s">
        <v>48</v>
      </c>
      <c r="F329" s="10">
        <v>9.2899999999999991</v>
      </c>
      <c r="G329" s="8" t="s">
        <v>49</v>
      </c>
      <c r="H329" s="9">
        <v>38</v>
      </c>
      <c r="I329" s="23">
        <v>38</v>
      </c>
      <c r="J329" s="24"/>
      <c r="K329" s="22"/>
      <c r="L329" s="23">
        <v>40</v>
      </c>
      <c r="M329" s="22"/>
      <c r="N329" s="9">
        <v>25.5</v>
      </c>
      <c r="O329" s="9">
        <v>30</v>
      </c>
      <c r="P329" s="9">
        <v>30</v>
      </c>
      <c r="Q329" s="9">
        <v>20</v>
      </c>
      <c r="R329" s="23">
        <v>20</v>
      </c>
      <c r="S329" s="22"/>
      <c r="T329" s="8">
        <v>241.5</v>
      </c>
    </row>
    <row r="330" spans="5:20">
      <c r="E330" s="21" t="s">
        <v>50</v>
      </c>
      <c r="F330" s="22"/>
      <c r="G330" s="8" t="s">
        <v>36</v>
      </c>
      <c r="H330" s="9">
        <v>94</v>
      </c>
      <c r="I330" s="23">
        <v>93</v>
      </c>
      <c r="J330" s="24"/>
      <c r="K330" s="22"/>
      <c r="L330" s="23">
        <v>100</v>
      </c>
      <c r="M330" s="22"/>
      <c r="N330" s="9">
        <v>84</v>
      </c>
      <c r="O330" s="9">
        <v>97</v>
      </c>
      <c r="P330" s="9">
        <v>98</v>
      </c>
      <c r="Q330" s="9">
        <v>48</v>
      </c>
      <c r="R330" s="23">
        <v>50</v>
      </c>
      <c r="S330" s="22"/>
      <c r="T330" s="8">
        <v>664</v>
      </c>
    </row>
    <row r="331" spans="5:20">
      <c r="E331" s="6" t="s">
        <v>51</v>
      </c>
      <c r="F331" s="6"/>
      <c r="G331" s="8" t="s">
        <v>52</v>
      </c>
      <c r="H331" s="9">
        <v>100</v>
      </c>
      <c r="I331" s="23">
        <v>100</v>
      </c>
      <c r="J331" s="24"/>
      <c r="K331" s="22"/>
      <c r="L331" s="23">
        <v>100</v>
      </c>
      <c r="M331" s="22"/>
      <c r="N331" s="9">
        <v>100</v>
      </c>
      <c r="O331" s="9">
        <v>100</v>
      </c>
      <c r="P331" s="9">
        <v>100</v>
      </c>
      <c r="Q331" s="9">
        <v>50</v>
      </c>
      <c r="R331" s="23">
        <v>50</v>
      </c>
      <c r="S331" s="22"/>
      <c r="T331" s="8">
        <v>700</v>
      </c>
    </row>
    <row r="332" spans="5:20">
      <c r="E332" s="21" t="s">
        <v>92</v>
      </c>
      <c r="F332" s="22"/>
      <c r="G332" s="8" t="s">
        <v>54</v>
      </c>
      <c r="H332" s="9" t="s">
        <v>94</v>
      </c>
      <c r="I332" s="23" t="s">
        <v>94</v>
      </c>
      <c r="J332" s="24"/>
      <c r="K332" s="22"/>
      <c r="L332" s="23" t="s">
        <v>93</v>
      </c>
      <c r="M332" s="22"/>
      <c r="N332" s="9" t="s">
        <v>95</v>
      </c>
      <c r="O332" s="9" t="s">
        <v>93</v>
      </c>
      <c r="P332" s="9" t="s">
        <v>93</v>
      </c>
      <c r="Q332" s="9" t="s">
        <v>93</v>
      </c>
      <c r="R332" s="23" t="s">
        <v>93</v>
      </c>
      <c r="S332" s="22"/>
      <c r="T332" s="8" t="s">
        <v>33</v>
      </c>
    </row>
    <row r="333" spans="5:20">
      <c r="E333" s="11" t="s">
        <v>56</v>
      </c>
      <c r="F333" s="11" t="s">
        <v>278</v>
      </c>
      <c r="G333" s="8" t="s">
        <v>58</v>
      </c>
      <c r="H333" s="9" t="s">
        <v>59</v>
      </c>
      <c r="I333" s="23" t="s">
        <v>59</v>
      </c>
      <c r="J333" s="24"/>
      <c r="K333" s="22"/>
      <c r="L333" s="23" t="s">
        <v>59</v>
      </c>
      <c r="M333" s="22"/>
      <c r="N333" s="9" t="s">
        <v>59</v>
      </c>
      <c r="O333" s="9" t="s">
        <v>59</v>
      </c>
      <c r="P333" s="9" t="s">
        <v>59</v>
      </c>
      <c r="Q333" s="9" t="s">
        <v>59</v>
      </c>
      <c r="R333" s="23" t="s">
        <v>59</v>
      </c>
      <c r="S333" s="22"/>
      <c r="T333" s="8" t="s">
        <v>33</v>
      </c>
    </row>
    <row r="334" spans="5:20">
      <c r="E334" s="12" t="s">
        <v>33</v>
      </c>
      <c r="F334" s="12" t="s">
        <v>33</v>
      </c>
      <c r="G334" s="12" t="s">
        <v>33</v>
      </c>
      <c r="H334" s="13" t="s">
        <v>33</v>
      </c>
      <c r="I334" s="20" t="s">
        <v>33</v>
      </c>
      <c r="J334" s="18"/>
      <c r="K334" s="18"/>
      <c r="L334" s="20" t="s">
        <v>33</v>
      </c>
      <c r="M334" s="18"/>
      <c r="N334" s="13" t="s">
        <v>33</v>
      </c>
      <c r="O334" s="13" t="s">
        <v>33</v>
      </c>
      <c r="P334" s="13" t="s">
        <v>33</v>
      </c>
      <c r="Q334" s="13" t="s">
        <v>33</v>
      </c>
      <c r="R334" s="20" t="s">
        <v>33</v>
      </c>
      <c r="S334" s="18"/>
      <c r="T334" s="13" t="s">
        <v>33</v>
      </c>
    </row>
    <row r="335" spans="5:20" ht="0.6" customHeight="1"/>
    <row r="336" spans="5:20">
      <c r="E336" s="31" t="s">
        <v>31</v>
      </c>
      <c r="F336" s="22"/>
      <c r="G336" s="3" t="s">
        <v>32</v>
      </c>
      <c r="H336" s="5" t="s">
        <v>33</v>
      </c>
      <c r="I336" s="32" t="s">
        <v>33</v>
      </c>
      <c r="J336" s="18"/>
      <c r="K336" s="18"/>
      <c r="L336" s="32" t="s">
        <v>33</v>
      </c>
      <c r="M336" s="18"/>
      <c r="N336" s="5" t="s">
        <v>33</v>
      </c>
      <c r="O336" s="5" t="s">
        <v>33</v>
      </c>
      <c r="P336" s="5" t="s">
        <v>33</v>
      </c>
      <c r="Q336" s="5" t="s">
        <v>33</v>
      </c>
      <c r="R336" s="32" t="s">
        <v>33</v>
      </c>
      <c r="S336" s="18"/>
      <c r="T336" s="5" t="s">
        <v>33</v>
      </c>
    </row>
    <row r="337" spans="5:20" ht="21">
      <c r="E337" s="21" t="s">
        <v>279</v>
      </c>
      <c r="F337" s="22"/>
      <c r="G337" s="7" t="s">
        <v>35</v>
      </c>
      <c r="H337" s="7" t="s">
        <v>5</v>
      </c>
      <c r="I337" s="30" t="s">
        <v>7</v>
      </c>
      <c r="J337" s="24"/>
      <c r="K337" s="22"/>
      <c r="L337" s="30" t="s">
        <v>9</v>
      </c>
      <c r="M337" s="22"/>
      <c r="N337" s="7" t="s">
        <v>11</v>
      </c>
      <c r="O337" s="7" t="s">
        <v>15</v>
      </c>
      <c r="P337" s="7" t="s">
        <v>17</v>
      </c>
      <c r="Q337" s="7" t="s">
        <v>21</v>
      </c>
      <c r="R337" s="30" t="s">
        <v>27</v>
      </c>
      <c r="S337" s="22"/>
      <c r="T337" s="7" t="s">
        <v>36</v>
      </c>
    </row>
    <row r="338" spans="5:20" ht="22.5">
      <c r="E338" s="6" t="s">
        <v>37</v>
      </c>
      <c r="F338" s="6" t="s">
        <v>280</v>
      </c>
      <c r="G338" s="8" t="s">
        <v>39</v>
      </c>
      <c r="H338" s="9" t="s">
        <v>281</v>
      </c>
      <c r="I338" s="23" t="s">
        <v>282</v>
      </c>
      <c r="J338" s="24"/>
      <c r="K338" s="22"/>
      <c r="L338" s="23" t="s">
        <v>88</v>
      </c>
      <c r="M338" s="22"/>
      <c r="N338" s="9" t="s">
        <v>283</v>
      </c>
      <c r="O338" s="9" t="s">
        <v>284</v>
      </c>
      <c r="P338" s="9" t="s">
        <v>164</v>
      </c>
      <c r="Q338" s="9" t="s">
        <v>285</v>
      </c>
      <c r="R338" s="23" t="s">
        <v>43</v>
      </c>
      <c r="S338" s="22"/>
      <c r="T338" s="8" t="s">
        <v>33</v>
      </c>
    </row>
    <row r="339" spans="5:20">
      <c r="E339" s="21" t="s">
        <v>286</v>
      </c>
      <c r="F339" s="25"/>
      <c r="G339" s="8" t="s">
        <v>42</v>
      </c>
      <c r="H339" s="9" t="s">
        <v>43</v>
      </c>
      <c r="I339" s="23" t="s">
        <v>43</v>
      </c>
      <c r="J339" s="24"/>
      <c r="K339" s="22"/>
      <c r="L339" s="23" t="s">
        <v>43</v>
      </c>
      <c r="M339" s="22"/>
      <c r="N339" s="9" t="s">
        <v>43</v>
      </c>
      <c r="O339" s="9" t="s">
        <v>43</v>
      </c>
      <c r="P339" s="9" t="s">
        <v>43</v>
      </c>
      <c r="Q339" s="9" t="s">
        <v>43</v>
      </c>
      <c r="R339" s="23" t="s">
        <v>107</v>
      </c>
      <c r="S339" s="22"/>
      <c r="T339" s="8" t="s">
        <v>33</v>
      </c>
    </row>
    <row r="340" spans="5:20">
      <c r="E340" s="26"/>
      <c r="F340" s="27"/>
      <c r="G340" s="8" t="s">
        <v>44</v>
      </c>
      <c r="H340" s="9" t="s">
        <v>33</v>
      </c>
      <c r="I340" s="23" t="s">
        <v>33</v>
      </c>
      <c r="J340" s="24"/>
      <c r="K340" s="22"/>
      <c r="L340" s="23" t="s">
        <v>33</v>
      </c>
      <c r="M340" s="22"/>
      <c r="N340" s="9" t="s">
        <v>33</v>
      </c>
      <c r="O340" s="9" t="s">
        <v>33</v>
      </c>
      <c r="P340" s="9" t="s">
        <v>33</v>
      </c>
      <c r="Q340" s="9" t="s">
        <v>33</v>
      </c>
      <c r="R340" s="23" t="s">
        <v>33</v>
      </c>
      <c r="S340" s="22"/>
      <c r="T340" s="8">
        <v>0</v>
      </c>
    </row>
    <row r="341" spans="5:20">
      <c r="E341" s="28"/>
      <c r="F341" s="29"/>
      <c r="G341" s="8" t="s">
        <v>45</v>
      </c>
      <c r="H341" s="9">
        <v>4</v>
      </c>
      <c r="I341" s="23">
        <v>4</v>
      </c>
      <c r="J341" s="24"/>
      <c r="K341" s="22"/>
      <c r="L341" s="23">
        <v>4</v>
      </c>
      <c r="M341" s="22"/>
      <c r="N341" s="9">
        <v>3</v>
      </c>
      <c r="O341" s="9">
        <v>3</v>
      </c>
      <c r="P341" s="9">
        <v>3</v>
      </c>
      <c r="Q341" s="9">
        <v>2</v>
      </c>
      <c r="R341" s="23">
        <v>2</v>
      </c>
      <c r="S341" s="22"/>
      <c r="T341" s="8">
        <v>25</v>
      </c>
    </row>
    <row r="342" spans="5:20">
      <c r="E342" s="6" t="s">
        <v>46</v>
      </c>
      <c r="F342" s="6">
        <v>9.4600000000000009</v>
      </c>
      <c r="G342" s="8" t="s">
        <v>47</v>
      </c>
      <c r="H342" s="9">
        <v>9.5</v>
      </c>
      <c r="I342" s="23">
        <v>9</v>
      </c>
      <c r="J342" s="24"/>
      <c r="K342" s="22"/>
      <c r="L342" s="23">
        <v>10</v>
      </c>
      <c r="M342" s="22"/>
      <c r="N342" s="9">
        <v>8.5</v>
      </c>
      <c r="O342" s="9">
        <v>10</v>
      </c>
      <c r="P342" s="9">
        <v>9</v>
      </c>
      <c r="Q342" s="9">
        <v>10</v>
      </c>
      <c r="R342" s="23">
        <v>10</v>
      </c>
      <c r="S342" s="22"/>
      <c r="T342" s="8" t="s">
        <v>33</v>
      </c>
    </row>
    <row r="343" spans="5:20">
      <c r="E343" s="6" t="s">
        <v>48</v>
      </c>
      <c r="F343" s="10">
        <v>9.19</v>
      </c>
      <c r="G343" s="8" t="s">
        <v>49</v>
      </c>
      <c r="H343" s="9">
        <v>38</v>
      </c>
      <c r="I343" s="23">
        <v>36</v>
      </c>
      <c r="J343" s="24"/>
      <c r="K343" s="22"/>
      <c r="L343" s="23">
        <v>40</v>
      </c>
      <c r="M343" s="22"/>
      <c r="N343" s="9">
        <v>25.5</v>
      </c>
      <c r="O343" s="9">
        <v>30</v>
      </c>
      <c r="P343" s="9">
        <v>27</v>
      </c>
      <c r="Q343" s="9">
        <v>20</v>
      </c>
      <c r="R343" s="23">
        <v>20</v>
      </c>
      <c r="S343" s="22"/>
      <c r="T343" s="8">
        <v>236.5</v>
      </c>
    </row>
    <row r="344" spans="5:20">
      <c r="E344" s="21" t="s">
        <v>50</v>
      </c>
      <c r="F344" s="22"/>
      <c r="G344" s="8" t="s">
        <v>36</v>
      </c>
      <c r="H344" s="9">
        <v>93</v>
      </c>
      <c r="I344" s="23">
        <v>87</v>
      </c>
      <c r="J344" s="24"/>
      <c r="K344" s="22"/>
      <c r="L344" s="23">
        <v>100</v>
      </c>
      <c r="M344" s="22"/>
      <c r="N344" s="9">
        <v>80</v>
      </c>
      <c r="O344" s="9">
        <v>96</v>
      </c>
      <c r="P344" s="9">
        <v>89</v>
      </c>
      <c r="Q344" s="9">
        <v>48</v>
      </c>
      <c r="R344" s="23">
        <v>48</v>
      </c>
      <c r="S344" s="22"/>
      <c r="T344" s="8">
        <v>641</v>
      </c>
    </row>
    <row r="345" spans="5:20">
      <c r="E345" s="6" t="s">
        <v>51</v>
      </c>
      <c r="F345" s="6"/>
      <c r="G345" s="8" t="s">
        <v>52</v>
      </c>
      <c r="H345" s="9">
        <v>100</v>
      </c>
      <c r="I345" s="23">
        <v>100</v>
      </c>
      <c r="J345" s="24"/>
      <c r="K345" s="22"/>
      <c r="L345" s="23">
        <v>100</v>
      </c>
      <c r="M345" s="22"/>
      <c r="N345" s="9">
        <v>100</v>
      </c>
      <c r="O345" s="9">
        <v>100</v>
      </c>
      <c r="P345" s="9">
        <v>100</v>
      </c>
      <c r="Q345" s="9">
        <v>50</v>
      </c>
      <c r="R345" s="23">
        <v>50</v>
      </c>
      <c r="S345" s="22"/>
      <c r="T345" s="8">
        <v>700</v>
      </c>
    </row>
    <row r="346" spans="5:20">
      <c r="E346" s="21" t="s">
        <v>287</v>
      </c>
      <c r="F346" s="22"/>
      <c r="G346" s="8" t="s">
        <v>54</v>
      </c>
      <c r="H346" s="9" t="s">
        <v>94</v>
      </c>
      <c r="I346" s="23" t="s">
        <v>122</v>
      </c>
      <c r="J346" s="24"/>
      <c r="K346" s="22"/>
      <c r="L346" s="23" t="s">
        <v>93</v>
      </c>
      <c r="M346" s="22"/>
      <c r="N346" s="9" t="s">
        <v>95</v>
      </c>
      <c r="O346" s="9" t="s">
        <v>93</v>
      </c>
      <c r="P346" s="9" t="s">
        <v>122</v>
      </c>
      <c r="Q346" s="9" t="s">
        <v>93</v>
      </c>
      <c r="R346" s="23" t="s">
        <v>93</v>
      </c>
      <c r="S346" s="22"/>
      <c r="T346" s="8" t="s">
        <v>33</v>
      </c>
    </row>
    <row r="347" spans="5:20">
      <c r="E347" s="11" t="s">
        <v>56</v>
      </c>
      <c r="F347" s="11" t="s">
        <v>288</v>
      </c>
      <c r="G347" s="8" t="s">
        <v>58</v>
      </c>
      <c r="H347" s="9" t="s">
        <v>59</v>
      </c>
      <c r="I347" s="23" t="s">
        <v>59</v>
      </c>
      <c r="J347" s="24"/>
      <c r="K347" s="22"/>
      <c r="L347" s="23" t="s">
        <v>59</v>
      </c>
      <c r="M347" s="22"/>
      <c r="N347" s="9" t="s">
        <v>59</v>
      </c>
      <c r="O347" s="9" t="s">
        <v>59</v>
      </c>
      <c r="P347" s="9" t="s">
        <v>59</v>
      </c>
      <c r="Q347" s="9" t="s">
        <v>59</v>
      </c>
      <c r="R347" s="23" t="s">
        <v>59</v>
      </c>
      <c r="S347" s="22"/>
      <c r="T347" s="8" t="s">
        <v>33</v>
      </c>
    </row>
    <row r="348" spans="5:20">
      <c r="E348" s="12" t="s">
        <v>33</v>
      </c>
      <c r="F348" s="12" t="s">
        <v>33</v>
      </c>
      <c r="G348" s="12" t="s">
        <v>33</v>
      </c>
      <c r="H348" s="13" t="s">
        <v>33</v>
      </c>
      <c r="I348" s="20" t="s">
        <v>33</v>
      </c>
      <c r="J348" s="18"/>
      <c r="K348" s="18"/>
      <c r="L348" s="20" t="s">
        <v>33</v>
      </c>
      <c r="M348" s="18"/>
      <c r="N348" s="13" t="s">
        <v>33</v>
      </c>
      <c r="O348" s="13" t="s">
        <v>33</v>
      </c>
      <c r="P348" s="13" t="s">
        <v>33</v>
      </c>
      <c r="Q348" s="13" t="s">
        <v>33</v>
      </c>
      <c r="R348" s="20" t="s">
        <v>33</v>
      </c>
      <c r="S348" s="18"/>
      <c r="T348" s="13" t="s">
        <v>33</v>
      </c>
    </row>
    <row r="349" spans="5:20" ht="0" hidden="1" customHeight="1"/>
    <row r="350" spans="5:20" ht="0.6" customHeight="1"/>
    <row r="351" spans="5:20">
      <c r="E351" s="31" t="s">
        <v>31</v>
      </c>
      <c r="F351" s="22"/>
      <c r="G351" s="3" t="s">
        <v>32</v>
      </c>
      <c r="H351" s="5" t="s">
        <v>33</v>
      </c>
      <c r="I351" s="32" t="s">
        <v>33</v>
      </c>
      <c r="J351" s="18"/>
      <c r="K351" s="18"/>
      <c r="L351" s="32" t="s">
        <v>33</v>
      </c>
      <c r="M351" s="18"/>
      <c r="N351" s="5" t="s">
        <v>33</v>
      </c>
      <c r="O351" s="5" t="s">
        <v>33</v>
      </c>
      <c r="P351" s="5" t="s">
        <v>33</v>
      </c>
      <c r="Q351" s="5" t="s">
        <v>33</v>
      </c>
      <c r="R351" s="32" t="s">
        <v>33</v>
      </c>
      <c r="S351" s="18"/>
      <c r="T351" s="5" t="s">
        <v>33</v>
      </c>
    </row>
    <row r="352" spans="5:20" ht="21">
      <c r="E352" s="21" t="s">
        <v>289</v>
      </c>
      <c r="F352" s="22"/>
      <c r="G352" s="7" t="s">
        <v>35</v>
      </c>
      <c r="H352" s="7" t="s">
        <v>5</v>
      </c>
      <c r="I352" s="30" t="s">
        <v>7</v>
      </c>
      <c r="J352" s="24"/>
      <c r="K352" s="22"/>
      <c r="L352" s="30" t="s">
        <v>9</v>
      </c>
      <c r="M352" s="22"/>
      <c r="N352" s="7" t="s">
        <v>11</v>
      </c>
      <c r="O352" s="7" t="s">
        <v>15</v>
      </c>
      <c r="P352" s="7" t="s">
        <v>17</v>
      </c>
      <c r="Q352" s="7" t="s">
        <v>21</v>
      </c>
      <c r="R352" s="30" t="s">
        <v>27</v>
      </c>
      <c r="S352" s="22"/>
      <c r="T352" s="7" t="s">
        <v>36</v>
      </c>
    </row>
    <row r="353" spans="5:20" ht="22.5">
      <c r="E353" s="6" t="s">
        <v>37</v>
      </c>
      <c r="F353" s="6" t="s">
        <v>290</v>
      </c>
      <c r="G353" s="8" t="s">
        <v>39</v>
      </c>
      <c r="H353" s="9" t="s">
        <v>179</v>
      </c>
      <c r="I353" s="23" t="s">
        <v>291</v>
      </c>
      <c r="J353" s="24"/>
      <c r="K353" s="22"/>
      <c r="L353" s="23" t="s">
        <v>292</v>
      </c>
      <c r="M353" s="22"/>
      <c r="N353" s="9" t="s">
        <v>114</v>
      </c>
      <c r="O353" s="9" t="s">
        <v>293</v>
      </c>
      <c r="P353" s="9" t="s">
        <v>294</v>
      </c>
      <c r="Q353" s="9" t="s">
        <v>295</v>
      </c>
      <c r="R353" s="23" t="s">
        <v>43</v>
      </c>
      <c r="S353" s="22"/>
      <c r="T353" s="8" t="s">
        <v>33</v>
      </c>
    </row>
    <row r="354" spans="5:20">
      <c r="E354" s="21" t="s">
        <v>296</v>
      </c>
      <c r="F354" s="25"/>
      <c r="G354" s="8" t="s">
        <v>42</v>
      </c>
      <c r="H354" s="9" t="s">
        <v>43</v>
      </c>
      <c r="I354" s="23" t="s">
        <v>43</v>
      </c>
      <c r="J354" s="24"/>
      <c r="K354" s="22"/>
      <c r="L354" s="23" t="s">
        <v>43</v>
      </c>
      <c r="M354" s="22"/>
      <c r="N354" s="9" t="s">
        <v>43</v>
      </c>
      <c r="O354" s="9" t="s">
        <v>43</v>
      </c>
      <c r="P354" s="9" t="s">
        <v>43</v>
      </c>
      <c r="Q354" s="9" t="s">
        <v>43</v>
      </c>
      <c r="R354" s="23" t="s">
        <v>120</v>
      </c>
      <c r="S354" s="22"/>
      <c r="T354" s="8" t="s">
        <v>33</v>
      </c>
    </row>
    <row r="355" spans="5:20">
      <c r="E355" s="26"/>
      <c r="F355" s="27"/>
      <c r="G355" s="8" t="s">
        <v>44</v>
      </c>
      <c r="H355" s="9" t="s">
        <v>33</v>
      </c>
      <c r="I355" s="23" t="s">
        <v>33</v>
      </c>
      <c r="J355" s="24"/>
      <c r="K355" s="22"/>
      <c r="L355" s="23" t="s">
        <v>33</v>
      </c>
      <c r="M355" s="22"/>
      <c r="N355" s="9" t="s">
        <v>33</v>
      </c>
      <c r="O355" s="9" t="s">
        <v>33</v>
      </c>
      <c r="P355" s="9" t="s">
        <v>33</v>
      </c>
      <c r="Q355" s="9" t="s">
        <v>33</v>
      </c>
      <c r="R355" s="23" t="s">
        <v>33</v>
      </c>
      <c r="S355" s="22"/>
      <c r="T355" s="8">
        <v>0</v>
      </c>
    </row>
    <row r="356" spans="5:20">
      <c r="E356" s="28"/>
      <c r="F356" s="29"/>
      <c r="G356" s="8" t="s">
        <v>45</v>
      </c>
      <c r="H356" s="9">
        <v>4</v>
      </c>
      <c r="I356" s="23">
        <v>4</v>
      </c>
      <c r="J356" s="24"/>
      <c r="K356" s="22"/>
      <c r="L356" s="23">
        <v>4</v>
      </c>
      <c r="M356" s="22"/>
      <c r="N356" s="9">
        <v>3</v>
      </c>
      <c r="O356" s="9">
        <v>3</v>
      </c>
      <c r="P356" s="9">
        <v>3</v>
      </c>
      <c r="Q356" s="9">
        <v>2</v>
      </c>
      <c r="R356" s="23">
        <v>2</v>
      </c>
      <c r="S356" s="22"/>
      <c r="T356" s="8">
        <v>22</v>
      </c>
    </row>
    <row r="357" spans="5:20">
      <c r="E357" s="6" t="s">
        <v>46</v>
      </c>
      <c r="F357" s="6"/>
      <c r="G357" s="8" t="s">
        <v>47</v>
      </c>
      <c r="H357" s="9">
        <v>5.5</v>
      </c>
      <c r="I357" s="23">
        <v>7</v>
      </c>
      <c r="J357" s="24"/>
      <c r="K357" s="22"/>
      <c r="L357" s="23">
        <v>10</v>
      </c>
      <c r="M357" s="22"/>
      <c r="N357" s="9">
        <v>7.5</v>
      </c>
      <c r="O357" s="9">
        <v>7.5</v>
      </c>
      <c r="P357" s="9"/>
      <c r="Q357" s="9">
        <v>7.5</v>
      </c>
      <c r="R357" s="23">
        <v>10</v>
      </c>
      <c r="S357" s="22"/>
      <c r="T357" s="8" t="s">
        <v>33</v>
      </c>
    </row>
    <row r="358" spans="5:20">
      <c r="E358" s="6" t="s">
        <v>48</v>
      </c>
      <c r="F358" s="6"/>
      <c r="G358" s="8" t="s">
        <v>49</v>
      </c>
      <c r="H358" s="9">
        <v>22</v>
      </c>
      <c r="I358" s="23">
        <v>28</v>
      </c>
      <c r="J358" s="24"/>
      <c r="K358" s="22"/>
      <c r="L358" s="23">
        <v>40</v>
      </c>
      <c r="M358" s="22"/>
      <c r="N358" s="9">
        <v>22.5</v>
      </c>
      <c r="O358" s="9">
        <v>22.5</v>
      </c>
      <c r="P358" s="9"/>
      <c r="Q358" s="9">
        <v>15</v>
      </c>
      <c r="R358" s="23">
        <v>20</v>
      </c>
      <c r="S358" s="22"/>
      <c r="T358" s="8">
        <v>170</v>
      </c>
    </row>
    <row r="359" spans="5:20">
      <c r="E359" s="21" t="s">
        <v>65</v>
      </c>
      <c r="F359" s="22"/>
      <c r="G359" s="8" t="s">
        <v>36</v>
      </c>
      <c r="H359" s="9">
        <v>54</v>
      </c>
      <c r="I359" s="23">
        <v>67</v>
      </c>
      <c r="J359" s="24"/>
      <c r="K359" s="22"/>
      <c r="L359" s="23">
        <v>95</v>
      </c>
      <c r="M359" s="22"/>
      <c r="N359" s="9">
        <v>73</v>
      </c>
      <c r="O359" s="9">
        <v>73</v>
      </c>
      <c r="P359" s="9">
        <v>24</v>
      </c>
      <c r="Q359" s="9">
        <v>36</v>
      </c>
      <c r="R359" s="23">
        <v>49</v>
      </c>
      <c r="S359" s="22"/>
      <c r="T359" s="8">
        <v>471</v>
      </c>
    </row>
    <row r="360" spans="5:20">
      <c r="E360" s="6" t="s">
        <v>51</v>
      </c>
      <c r="F360" s="6"/>
      <c r="G360" s="8" t="s">
        <v>52</v>
      </c>
      <c r="H360" s="9">
        <v>100</v>
      </c>
      <c r="I360" s="23">
        <v>100</v>
      </c>
      <c r="J360" s="24"/>
      <c r="K360" s="22"/>
      <c r="L360" s="23">
        <v>100</v>
      </c>
      <c r="M360" s="22"/>
      <c r="N360" s="9">
        <v>100</v>
      </c>
      <c r="O360" s="9">
        <v>100</v>
      </c>
      <c r="P360" s="9">
        <v>100</v>
      </c>
      <c r="Q360" s="9">
        <v>50</v>
      </c>
      <c r="R360" s="23">
        <v>50</v>
      </c>
      <c r="S360" s="22"/>
      <c r="T360" s="8">
        <v>700</v>
      </c>
    </row>
    <row r="361" spans="5:20">
      <c r="E361" s="21" t="s">
        <v>66</v>
      </c>
      <c r="F361" s="22"/>
      <c r="G361" s="8" t="s">
        <v>54</v>
      </c>
      <c r="H361" s="9" t="s">
        <v>123</v>
      </c>
      <c r="I361" s="23" t="s">
        <v>109</v>
      </c>
      <c r="J361" s="24"/>
      <c r="K361" s="22"/>
      <c r="L361" s="23" t="s">
        <v>93</v>
      </c>
      <c r="M361" s="22"/>
      <c r="N361" s="9" t="s">
        <v>108</v>
      </c>
      <c r="O361" s="9" t="s">
        <v>108</v>
      </c>
      <c r="P361" s="9"/>
      <c r="Q361" s="9" t="s">
        <v>108</v>
      </c>
      <c r="R361" s="23" t="s">
        <v>93</v>
      </c>
      <c r="S361" s="22"/>
      <c r="T361" s="8" t="s">
        <v>33</v>
      </c>
    </row>
    <row r="362" spans="5:20">
      <c r="E362" s="11" t="s">
        <v>56</v>
      </c>
      <c r="F362" s="11" t="s">
        <v>297</v>
      </c>
      <c r="G362" s="8" t="s">
        <v>58</v>
      </c>
      <c r="H362" s="9" t="s">
        <v>59</v>
      </c>
      <c r="I362" s="23" t="s">
        <v>59</v>
      </c>
      <c r="J362" s="24"/>
      <c r="K362" s="22"/>
      <c r="L362" s="23" t="s">
        <v>59</v>
      </c>
      <c r="M362" s="22"/>
      <c r="N362" s="9" t="s">
        <v>59</v>
      </c>
      <c r="O362" s="9" t="s">
        <v>59</v>
      </c>
      <c r="P362" s="9" t="s">
        <v>68</v>
      </c>
      <c r="Q362" s="9" t="s">
        <v>59</v>
      </c>
      <c r="R362" s="23" t="s">
        <v>59</v>
      </c>
      <c r="S362" s="22"/>
      <c r="T362" s="8" t="s">
        <v>33</v>
      </c>
    </row>
    <row r="363" spans="5:20">
      <c r="E363" s="12" t="s">
        <v>33</v>
      </c>
      <c r="F363" s="12" t="s">
        <v>33</v>
      </c>
      <c r="G363" s="12" t="s">
        <v>33</v>
      </c>
      <c r="H363" s="13" t="s">
        <v>33</v>
      </c>
      <c r="I363" s="20" t="s">
        <v>33</v>
      </c>
      <c r="J363" s="18"/>
      <c r="K363" s="18"/>
      <c r="L363" s="20" t="s">
        <v>33</v>
      </c>
      <c r="M363" s="18"/>
      <c r="N363" s="13" t="s">
        <v>33</v>
      </c>
      <c r="O363" s="13" t="s">
        <v>33</v>
      </c>
      <c r="P363" s="13" t="s">
        <v>33</v>
      </c>
      <c r="Q363" s="13" t="s">
        <v>33</v>
      </c>
      <c r="R363" s="20" t="s">
        <v>33</v>
      </c>
      <c r="S363" s="18"/>
      <c r="T363" s="13" t="s">
        <v>33</v>
      </c>
    </row>
    <row r="364" spans="5:20" ht="0" hidden="1" customHeight="1"/>
    <row r="365" spans="5:20" ht="0.6" customHeight="1"/>
    <row r="366" spans="5:20">
      <c r="E366" s="31" t="s">
        <v>31</v>
      </c>
      <c r="F366" s="22"/>
      <c r="G366" s="3" t="s">
        <v>32</v>
      </c>
      <c r="H366" s="5" t="s">
        <v>33</v>
      </c>
      <c r="I366" s="32" t="s">
        <v>33</v>
      </c>
      <c r="J366" s="18"/>
      <c r="K366" s="18"/>
      <c r="L366" s="32" t="s">
        <v>33</v>
      </c>
      <c r="M366" s="18"/>
      <c r="N366" s="5" t="s">
        <v>33</v>
      </c>
      <c r="O366" s="5" t="s">
        <v>33</v>
      </c>
      <c r="P366" s="5" t="s">
        <v>33</v>
      </c>
      <c r="Q366" s="5" t="s">
        <v>33</v>
      </c>
      <c r="R366" s="32" t="s">
        <v>33</v>
      </c>
      <c r="S366" s="18"/>
      <c r="T366" s="5" t="s">
        <v>33</v>
      </c>
    </row>
    <row r="367" spans="5:20" ht="21">
      <c r="E367" s="21" t="s">
        <v>298</v>
      </c>
      <c r="F367" s="22"/>
      <c r="G367" s="7" t="s">
        <v>35</v>
      </c>
      <c r="H367" s="7" t="s">
        <v>5</v>
      </c>
      <c r="I367" s="30" t="s">
        <v>7</v>
      </c>
      <c r="J367" s="24"/>
      <c r="K367" s="22"/>
      <c r="L367" s="30" t="s">
        <v>9</v>
      </c>
      <c r="M367" s="22"/>
      <c r="N367" s="7" t="s">
        <v>11</v>
      </c>
      <c r="O367" s="7" t="s">
        <v>15</v>
      </c>
      <c r="P367" s="7" t="s">
        <v>17</v>
      </c>
      <c r="Q367" s="7" t="s">
        <v>19</v>
      </c>
      <c r="R367" s="30" t="s">
        <v>21</v>
      </c>
      <c r="S367" s="22"/>
      <c r="T367" s="7" t="s">
        <v>36</v>
      </c>
    </row>
    <row r="368" spans="5:20" ht="22.5">
      <c r="E368" s="6" t="s">
        <v>37</v>
      </c>
      <c r="F368" s="6" t="s">
        <v>299</v>
      </c>
      <c r="G368" s="8" t="s">
        <v>39</v>
      </c>
      <c r="H368" s="9" t="s">
        <v>300</v>
      </c>
      <c r="I368" s="23" t="s">
        <v>301</v>
      </c>
      <c r="J368" s="24"/>
      <c r="K368" s="22"/>
      <c r="L368" s="23" t="s">
        <v>185</v>
      </c>
      <c r="M368" s="22"/>
      <c r="N368" s="9" t="s">
        <v>102</v>
      </c>
      <c r="O368" s="9" t="s">
        <v>302</v>
      </c>
      <c r="P368" s="9" t="s">
        <v>303</v>
      </c>
      <c r="Q368" s="9" t="s">
        <v>43</v>
      </c>
      <c r="R368" s="23" t="s">
        <v>304</v>
      </c>
      <c r="S368" s="22"/>
      <c r="T368" s="8" t="s">
        <v>33</v>
      </c>
    </row>
    <row r="369" spans="5:20">
      <c r="E369" s="21" t="s">
        <v>305</v>
      </c>
      <c r="F369" s="25"/>
      <c r="G369" s="8" t="s">
        <v>42</v>
      </c>
      <c r="H369" s="9" t="s">
        <v>43</v>
      </c>
      <c r="I369" s="23" t="s">
        <v>43</v>
      </c>
      <c r="J369" s="24"/>
      <c r="K369" s="22"/>
      <c r="L369" s="23" t="s">
        <v>43</v>
      </c>
      <c r="M369" s="22"/>
      <c r="N369" s="9" t="s">
        <v>43</v>
      </c>
      <c r="O369" s="9" t="s">
        <v>43</v>
      </c>
      <c r="P369" s="9" t="s">
        <v>43</v>
      </c>
      <c r="Q369" s="9" t="s">
        <v>120</v>
      </c>
      <c r="R369" s="23" t="s">
        <v>43</v>
      </c>
      <c r="S369" s="22"/>
      <c r="T369" s="8" t="s">
        <v>33</v>
      </c>
    </row>
    <row r="370" spans="5:20">
      <c r="E370" s="26"/>
      <c r="F370" s="27"/>
      <c r="G370" s="8" t="s">
        <v>44</v>
      </c>
      <c r="H370" s="9" t="s">
        <v>33</v>
      </c>
      <c r="I370" s="23" t="s">
        <v>33</v>
      </c>
      <c r="J370" s="24"/>
      <c r="K370" s="22"/>
      <c r="L370" s="23" t="s">
        <v>33</v>
      </c>
      <c r="M370" s="22"/>
      <c r="N370" s="9" t="s">
        <v>33</v>
      </c>
      <c r="O370" s="9" t="s">
        <v>33</v>
      </c>
      <c r="P370" s="9" t="s">
        <v>33</v>
      </c>
      <c r="Q370" s="9" t="s">
        <v>33</v>
      </c>
      <c r="R370" s="23" t="s">
        <v>33</v>
      </c>
      <c r="S370" s="22"/>
      <c r="T370" s="8">
        <v>0</v>
      </c>
    </row>
    <row r="371" spans="5:20">
      <c r="E371" s="28"/>
      <c r="F371" s="29"/>
      <c r="G371" s="8" t="s">
        <v>45</v>
      </c>
      <c r="H371" s="9">
        <v>4</v>
      </c>
      <c r="I371" s="23">
        <v>4</v>
      </c>
      <c r="J371" s="24"/>
      <c r="K371" s="22"/>
      <c r="L371" s="23">
        <v>4</v>
      </c>
      <c r="M371" s="22"/>
      <c r="N371" s="9">
        <v>3</v>
      </c>
      <c r="O371" s="9">
        <v>3</v>
      </c>
      <c r="P371" s="9">
        <v>3</v>
      </c>
      <c r="Q371" s="9">
        <v>2</v>
      </c>
      <c r="R371" s="23">
        <v>2</v>
      </c>
      <c r="S371" s="22"/>
      <c r="T371" s="8">
        <v>25</v>
      </c>
    </row>
    <row r="372" spans="5:20">
      <c r="E372" s="6" t="s">
        <v>46</v>
      </c>
      <c r="F372" s="6">
        <v>7.74</v>
      </c>
      <c r="G372" s="8" t="s">
        <v>47</v>
      </c>
      <c r="H372" s="9">
        <v>7</v>
      </c>
      <c r="I372" s="23">
        <v>7.5</v>
      </c>
      <c r="J372" s="24"/>
      <c r="K372" s="22"/>
      <c r="L372" s="23">
        <v>8.5</v>
      </c>
      <c r="M372" s="22"/>
      <c r="N372" s="9">
        <v>7</v>
      </c>
      <c r="O372" s="9">
        <v>9</v>
      </c>
      <c r="P372" s="9">
        <v>5.5</v>
      </c>
      <c r="Q372" s="9">
        <v>10</v>
      </c>
      <c r="R372" s="23">
        <v>8.5</v>
      </c>
      <c r="S372" s="22"/>
      <c r="T372" s="8" t="s">
        <v>33</v>
      </c>
    </row>
    <row r="373" spans="5:20">
      <c r="E373" s="6" t="s">
        <v>48</v>
      </c>
      <c r="F373" s="10">
        <v>7.88</v>
      </c>
      <c r="G373" s="8" t="s">
        <v>49</v>
      </c>
      <c r="H373" s="9">
        <v>28</v>
      </c>
      <c r="I373" s="23">
        <v>30</v>
      </c>
      <c r="J373" s="24"/>
      <c r="K373" s="22"/>
      <c r="L373" s="23">
        <v>34</v>
      </c>
      <c r="M373" s="22"/>
      <c r="N373" s="9">
        <v>21</v>
      </c>
      <c r="O373" s="9">
        <v>27</v>
      </c>
      <c r="P373" s="9">
        <v>16.5</v>
      </c>
      <c r="Q373" s="9">
        <v>20</v>
      </c>
      <c r="R373" s="23">
        <v>17</v>
      </c>
      <c r="S373" s="22"/>
      <c r="T373" s="8">
        <v>193.5</v>
      </c>
    </row>
    <row r="374" spans="5:20">
      <c r="E374" s="21" t="s">
        <v>50</v>
      </c>
      <c r="F374" s="22"/>
      <c r="G374" s="8" t="s">
        <v>36</v>
      </c>
      <c r="H374" s="9">
        <v>67</v>
      </c>
      <c r="I374" s="23">
        <v>73</v>
      </c>
      <c r="J374" s="24"/>
      <c r="K374" s="22"/>
      <c r="L374" s="23">
        <v>83</v>
      </c>
      <c r="M374" s="22"/>
      <c r="N374" s="9">
        <v>66</v>
      </c>
      <c r="O374" s="9">
        <v>85</v>
      </c>
      <c r="P374" s="9">
        <v>51</v>
      </c>
      <c r="Q374" s="9">
        <v>49</v>
      </c>
      <c r="R374" s="23">
        <v>42</v>
      </c>
      <c r="S374" s="22"/>
      <c r="T374" s="8">
        <v>516</v>
      </c>
    </row>
    <row r="375" spans="5:20">
      <c r="E375" s="6" t="s">
        <v>51</v>
      </c>
      <c r="F375" s="6"/>
      <c r="G375" s="8" t="s">
        <v>52</v>
      </c>
      <c r="H375" s="9">
        <v>100</v>
      </c>
      <c r="I375" s="23">
        <v>100</v>
      </c>
      <c r="J375" s="24"/>
      <c r="K375" s="22"/>
      <c r="L375" s="23">
        <v>100</v>
      </c>
      <c r="M375" s="22"/>
      <c r="N375" s="9">
        <v>100</v>
      </c>
      <c r="O375" s="9">
        <v>100</v>
      </c>
      <c r="P375" s="9">
        <v>100</v>
      </c>
      <c r="Q375" s="9">
        <v>50</v>
      </c>
      <c r="R375" s="23">
        <v>50</v>
      </c>
      <c r="S375" s="22"/>
      <c r="T375" s="8">
        <v>700</v>
      </c>
    </row>
    <row r="376" spans="5:20">
      <c r="E376" s="21" t="s">
        <v>121</v>
      </c>
      <c r="F376" s="22"/>
      <c r="G376" s="8" t="s">
        <v>54</v>
      </c>
      <c r="H376" s="9" t="s">
        <v>109</v>
      </c>
      <c r="I376" s="23" t="s">
        <v>108</v>
      </c>
      <c r="J376" s="24"/>
      <c r="K376" s="22"/>
      <c r="L376" s="23" t="s">
        <v>95</v>
      </c>
      <c r="M376" s="22"/>
      <c r="N376" s="9" t="s">
        <v>109</v>
      </c>
      <c r="O376" s="9" t="s">
        <v>122</v>
      </c>
      <c r="P376" s="9" t="s">
        <v>123</v>
      </c>
      <c r="Q376" s="9" t="s">
        <v>93</v>
      </c>
      <c r="R376" s="23" t="s">
        <v>95</v>
      </c>
      <c r="S376" s="22"/>
      <c r="T376" s="8" t="s">
        <v>33</v>
      </c>
    </row>
    <row r="377" spans="5:20">
      <c r="E377" s="11" t="s">
        <v>56</v>
      </c>
      <c r="F377" s="11" t="s">
        <v>306</v>
      </c>
      <c r="G377" s="8" t="s">
        <v>58</v>
      </c>
      <c r="H377" s="9" t="s">
        <v>59</v>
      </c>
      <c r="I377" s="23" t="s">
        <v>59</v>
      </c>
      <c r="J377" s="24"/>
      <c r="K377" s="22"/>
      <c r="L377" s="23" t="s">
        <v>59</v>
      </c>
      <c r="M377" s="22"/>
      <c r="N377" s="9" t="s">
        <v>59</v>
      </c>
      <c r="O377" s="9" t="s">
        <v>59</v>
      </c>
      <c r="P377" s="9" t="s">
        <v>59</v>
      </c>
      <c r="Q377" s="9" t="s">
        <v>59</v>
      </c>
      <c r="R377" s="23" t="s">
        <v>59</v>
      </c>
      <c r="S377" s="22"/>
      <c r="T377" s="8" t="s">
        <v>33</v>
      </c>
    </row>
    <row r="378" spans="5:20">
      <c r="E378" s="12" t="s">
        <v>33</v>
      </c>
      <c r="F378" s="12" t="s">
        <v>33</v>
      </c>
      <c r="G378" s="12" t="s">
        <v>33</v>
      </c>
      <c r="H378" s="13" t="s">
        <v>33</v>
      </c>
      <c r="I378" s="20" t="s">
        <v>33</v>
      </c>
      <c r="J378" s="18"/>
      <c r="K378" s="18"/>
      <c r="L378" s="20" t="s">
        <v>33</v>
      </c>
      <c r="M378" s="18"/>
      <c r="N378" s="13" t="s">
        <v>33</v>
      </c>
      <c r="O378" s="13" t="s">
        <v>33</v>
      </c>
      <c r="P378" s="13" t="s">
        <v>33</v>
      </c>
      <c r="Q378" s="13" t="s">
        <v>33</v>
      </c>
      <c r="R378" s="20" t="s">
        <v>33</v>
      </c>
      <c r="S378" s="18"/>
      <c r="T378" s="13" t="s">
        <v>33</v>
      </c>
    </row>
    <row r="379" spans="5:20" ht="0" hidden="1" customHeight="1"/>
    <row r="380" spans="5:20" ht="0.6" customHeight="1"/>
    <row r="381" spans="5:20">
      <c r="E381" s="31" t="s">
        <v>31</v>
      </c>
      <c r="F381" s="22"/>
      <c r="G381" s="3" t="s">
        <v>32</v>
      </c>
      <c r="H381" s="5" t="s">
        <v>33</v>
      </c>
      <c r="I381" s="32" t="s">
        <v>33</v>
      </c>
      <c r="J381" s="18"/>
      <c r="K381" s="18"/>
      <c r="L381" s="32" t="s">
        <v>33</v>
      </c>
      <c r="M381" s="18"/>
      <c r="N381" s="5" t="s">
        <v>33</v>
      </c>
      <c r="O381" s="5" t="s">
        <v>33</v>
      </c>
      <c r="P381" s="5" t="s">
        <v>33</v>
      </c>
      <c r="Q381" s="5" t="s">
        <v>33</v>
      </c>
      <c r="R381" s="32" t="s">
        <v>33</v>
      </c>
      <c r="S381" s="18"/>
      <c r="T381" s="5" t="s">
        <v>33</v>
      </c>
    </row>
    <row r="382" spans="5:20" ht="21">
      <c r="E382" s="21" t="s">
        <v>307</v>
      </c>
      <c r="F382" s="22"/>
      <c r="G382" s="7" t="s">
        <v>35</v>
      </c>
      <c r="H382" s="7" t="s">
        <v>5</v>
      </c>
      <c r="I382" s="30" t="s">
        <v>7</v>
      </c>
      <c r="J382" s="24"/>
      <c r="K382" s="22"/>
      <c r="L382" s="30" t="s">
        <v>9</v>
      </c>
      <c r="M382" s="22"/>
      <c r="N382" s="7" t="s">
        <v>11</v>
      </c>
      <c r="O382" s="7" t="s">
        <v>15</v>
      </c>
      <c r="P382" s="7" t="s">
        <v>17</v>
      </c>
      <c r="Q382" s="7" t="s">
        <v>21</v>
      </c>
      <c r="R382" s="30" t="s">
        <v>27</v>
      </c>
      <c r="S382" s="22"/>
      <c r="T382" s="7" t="s">
        <v>36</v>
      </c>
    </row>
    <row r="383" spans="5:20" ht="22.5">
      <c r="E383" s="6" t="s">
        <v>37</v>
      </c>
      <c r="F383" s="6" t="s">
        <v>308</v>
      </c>
      <c r="G383" s="8" t="s">
        <v>39</v>
      </c>
      <c r="H383" s="9" t="s">
        <v>309</v>
      </c>
      <c r="I383" s="23" t="s">
        <v>310</v>
      </c>
      <c r="J383" s="24"/>
      <c r="K383" s="22"/>
      <c r="L383" s="23" t="s">
        <v>88</v>
      </c>
      <c r="M383" s="22"/>
      <c r="N383" s="9" t="s">
        <v>311</v>
      </c>
      <c r="O383" s="9" t="s">
        <v>165</v>
      </c>
      <c r="P383" s="9" t="s">
        <v>273</v>
      </c>
      <c r="Q383" s="9" t="s">
        <v>201</v>
      </c>
      <c r="R383" s="23" t="s">
        <v>43</v>
      </c>
      <c r="S383" s="22"/>
      <c r="T383" s="8" t="s">
        <v>33</v>
      </c>
    </row>
    <row r="384" spans="5:20">
      <c r="E384" s="21" t="s">
        <v>312</v>
      </c>
      <c r="F384" s="25"/>
      <c r="G384" s="8" t="s">
        <v>42</v>
      </c>
      <c r="H384" s="9" t="s">
        <v>43</v>
      </c>
      <c r="I384" s="23" t="s">
        <v>43</v>
      </c>
      <c r="J384" s="24"/>
      <c r="K384" s="22"/>
      <c r="L384" s="23" t="s">
        <v>43</v>
      </c>
      <c r="M384" s="22"/>
      <c r="N384" s="9" t="s">
        <v>43</v>
      </c>
      <c r="O384" s="9" t="s">
        <v>43</v>
      </c>
      <c r="P384" s="9" t="s">
        <v>43</v>
      </c>
      <c r="Q384" s="9" t="s">
        <v>43</v>
      </c>
      <c r="R384" s="23" t="s">
        <v>91</v>
      </c>
      <c r="S384" s="22"/>
      <c r="T384" s="8" t="s">
        <v>33</v>
      </c>
    </row>
    <row r="385" spans="5:20">
      <c r="E385" s="26"/>
      <c r="F385" s="27"/>
      <c r="G385" s="8" t="s">
        <v>44</v>
      </c>
      <c r="H385" s="9" t="s">
        <v>33</v>
      </c>
      <c r="I385" s="23" t="s">
        <v>33</v>
      </c>
      <c r="J385" s="24"/>
      <c r="K385" s="22"/>
      <c r="L385" s="23" t="s">
        <v>33</v>
      </c>
      <c r="M385" s="22"/>
      <c r="N385" s="9" t="s">
        <v>33</v>
      </c>
      <c r="O385" s="9" t="s">
        <v>33</v>
      </c>
      <c r="P385" s="9" t="s">
        <v>33</v>
      </c>
      <c r="Q385" s="9" t="s">
        <v>33</v>
      </c>
      <c r="R385" s="23" t="s">
        <v>33</v>
      </c>
      <c r="S385" s="22"/>
      <c r="T385" s="8">
        <v>0</v>
      </c>
    </row>
    <row r="386" spans="5:20">
      <c r="E386" s="28"/>
      <c r="F386" s="29"/>
      <c r="G386" s="8" t="s">
        <v>45</v>
      </c>
      <c r="H386" s="9">
        <v>4</v>
      </c>
      <c r="I386" s="23">
        <v>4</v>
      </c>
      <c r="J386" s="24"/>
      <c r="K386" s="22"/>
      <c r="L386" s="23">
        <v>4</v>
      </c>
      <c r="M386" s="22"/>
      <c r="N386" s="9">
        <v>3</v>
      </c>
      <c r="O386" s="9">
        <v>3</v>
      </c>
      <c r="P386" s="9">
        <v>3</v>
      </c>
      <c r="Q386" s="9">
        <v>2</v>
      </c>
      <c r="R386" s="23">
        <v>2</v>
      </c>
      <c r="S386" s="22"/>
      <c r="T386" s="8">
        <v>25</v>
      </c>
    </row>
    <row r="387" spans="5:20">
      <c r="E387" s="6" t="s">
        <v>46</v>
      </c>
      <c r="F387" s="6">
        <v>9.4600000000000009</v>
      </c>
      <c r="G387" s="8" t="s">
        <v>47</v>
      </c>
      <c r="H387" s="9">
        <v>10</v>
      </c>
      <c r="I387" s="23">
        <v>8.5</v>
      </c>
      <c r="J387" s="24"/>
      <c r="K387" s="22"/>
      <c r="L387" s="23">
        <v>10</v>
      </c>
      <c r="M387" s="22"/>
      <c r="N387" s="9">
        <v>8</v>
      </c>
      <c r="O387" s="9">
        <v>10</v>
      </c>
      <c r="P387" s="9">
        <v>9.5</v>
      </c>
      <c r="Q387" s="9">
        <v>10</v>
      </c>
      <c r="R387" s="23">
        <v>10</v>
      </c>
      <c r="S387" s="22"/>
      <c r="T387" s="8" t="s">
        <v>33</v>
      </c>
    </row>
    <row r="388" spans="5:20">
      <c r="E388" s="6" t="s">
        <v>48</v>
      </c>
      <c r="F388" s="10">
        <v>9.1999999999999993</v>
      </c>
      <c r="G388" s="8" t="s">
        <v>49</v>
      </c>
      <c r="H388" s="9">
        <v>40</v>
      </c>
      <c r="I388" s="23">
        <v>34</v>
      </c>
      <c r="J388" s="24"/>
      <c r="K388" s="22"/>
      <c r="L388" s="23">
        <v>40</v>
      </c>
      <c r="M388" s="22"/>
      <c r="N388" s="9">
        <v>24</v>
      </c>
      <c r="O388" s="9">
        <v>30</v>
      </c>
      <c r="P388" s="9">
        <v>28.5</v>
      </c>
      <c r="Q388" s="9">
        <v>20</v>
      </c>
      <c r="R388" s="23">
        <v>20</v>
      </c>
      <c r="S388" s="22"/>
      <c r="T388" s="8">
        <v>236.5</v>
      </c>
    </row>
    <row r="389" spans="5:20">
      <c r="E389" s="21" t="s">
        <v>50</v>
      </c>
      <c r="F389" s="22"/>
      <c r="G389" s="8" t="s">
        <v>36</v>
      </c>
      <c r="H389" s="9">
        <v>95</v>
      </c>
      <c r="I389" s="23">
        <v>80</v>
      </c>
      <c r="J389" s="24"/>
      <c r="K389" s="22"/>
      <c r="L389" s="23">
        <v>100</v>
      </c>
      <c r="M389" s="22"/>
      <c r="N389" s="9">
        <v>76</v>
      </c>
      <c r="O389" s="9">
        <v>97</v>
      </c>
      <c r="P389" s="9">
        <v>93</v>
      </c>
      <c r="Q389" s="9">
        <v>49</v>
      </c>
      <c r="R389" s="23">
        <v>50</v>
      </c>
      <c r="S389" s="22"/>
      <c r="T389" s="8">
        <v>640</v>
      </c>
    </row>
    <row r="390" spans="5:20">
      <c r="E390" s="6" t="s">
        <v>51</v>
      </c>
      <c r="F390" s="6"/>
      <c r="G390" s="8" t="s">
        <v>52</v>
      </c>
      <c r="H390" s="9">
        <v>100</v>
      </c>
      <c r="I390" s="23">
        <v>100</v>
      </c>
      <c r="J390" s="24"/>
      <c r="K390" s="22"/>
      <c r="L390" s="23">
        <v>100</v>
      </c>
      <c r="M390" s="22"/>
      <c r="N390" s="9">
        <v>100</v>
      </c>
      <c r="O390" s="9">
        <v>100</v>
      </c>
      <c r="P390" s="9">
        <v>100</v>
      </c>
      <c r="Q390" s="9">
        <v>50</v>
      </c>
      <c r="R390" s="23">
        <v>50</v>
      </c>
      <c r="S390" s="22"/>
      <c r="T390" s="8">
        <v>700</v>
      </c>
    </row>
    <row r="391" spans="5:20">
      <c r="E391" s="21" t="s">
        <v>287</v>
      </c>
      <c r="F391" s="22"/>
      <c r="G391" s="8" t="s">
        <v>54</v>
      </c>
      <c r="H391" s="9" t="s">
        <v>93</v>
      </c>
      <c r="I391" s="23" t="s">
        <v>95</v>
      </c>
      <c r="J391" s="24"/>
      <c r="K391" s="22"/>
      <c r="L391" s="23" t="s">
        <v>93</v>
      </c>
      <c r="M391" s="22"/>
      <c r="N391" s="9" t="s">
        <v>135</v>
      </c>
      <c r="O391" s="9" t="s">
        <v>93</v>
      </c>
      <c r="P391" s="9" t="s">
        <v>94</v>
      </c>
      <c r="Q391" s="9" t="s">
        <v>93</v>
      </c>
      <c r="R391" s="23" t="s">
        <v>93</v>
      </c>
      <c r="S391" s="22"/>
      <c r="T391" s="8" t="s">
        <v>33</v>
      </c>
    </row>
    <row r="392" spans="5:20">
      <c r="E392" s="11" t="s">
        <v>56</v>
      </c>
      <c r="F392" s="11" t="s">
        <v>313</v>
      </c>
      <c r="G392" s="8" t="s">
        <v>58</v>
      </c>
      <c r="H392" s="9" t="s">
        <v>59</v>
      </c>
      <c r="I392" s="23" t="s">
        <v>59</v>
      </c>
      <c r="J392" s="24"/>
      <c r="K392" s="22"/>
      <c r="L392" s="23" t="s">
        <v>59</v>
      </c>
      <c r="M392" s="22"/>
      <c r="N392" s="9" t="s">
        <v>59</v>
      </c>
      <c r="O392" s="9" t="s">
        <v>59</v>
      </c>
      <c r="P392" s="9" t="s">
        <v>59</v>
      </c>
      <c r="Q392" s="9" t="s">
        <v>59</v>
      </c>
      <c r="R392" s="23" t="s">
        <v>59</v>
      </c>
      <c r="S392" s="22"/>
      <c r="T392" s="8" t="s">
        <v>33</v>
      </c>
    </row>
    <row r="393" spans="5:20">
      <c r="E393" s="12" t="s">
        <v>33</v>
      </c>
      <c r="F393" s="12" t="s">
        <v>33</v>
      </c>
      <c r="G393" s="12" t="s">
        <v>33</v>
      </c>
      <c r="H393" s="13" t="s">
        <v>33</v>
      </c>
      <c r="I393" s="20" t="s">
        <v>33</v>
      </c>
      <c r="J393" s="18"/>
      <c r="K393" s="18"/>
      <c r="L393" s="20" t="s">
        <v>33</v>
      </c>
      <c r="M393" s="18"/>
      <c r="N393" s="13" t="s">
        <v>33</v>
      </c>
      <c r="O393" s="13" t="s">
        <v>33</v>
      </c>
      <c r="P393" s="13" t="s">
        <v>33</v>
      </c>
      <c r="Q393" s="13" t="s">
        <v>33</v>
      </c>
      <c r="R393" s="20" t="s">
        <v>33</v>
      </c>
      <c r="S393" s="18"/>
      <c r="T393" s="13" t="s">
        <v>33</v>
      </c>
    </row>
    <row r="394" spans="5:20" ht="0" hidden="1" customHeight="1"/>
    <row r="395" spans="5:20" ht="0.6" customHeight="1"/>
    <row r="396" spans="5:20">
      <c r="E396" s="31" t="s">
        <v>31</v>
      </c>
      <c r="F396" s="22"/>
      <c r="G396" s="3" t="s">
        <v>32</v>
      </c>
      <c r="H396" s="5" t="s">
        <v>33</v>
      </c>
      <c r="I396" s="32" t="s">
        <v>33</v>
      </c>
      <c r="J396" s="18"/>
      <c r="K396" s="18"/>
      <c r="L396" s="32" t="s">
        <v>33</v>
      </c>
      <c r="M396" s="18"/>
      <c r="N396" s="5" t="s">
        <v>33</v>
      </c>
      <c r="O396" s="5" t="s">
        <v>33</v>
      </c>
      <c r="P396" s="5" t="s">
        <v>33</v>
      </c>
      <c r="Q396" s="5" t="s">
        <v>33</v>
      </c>
      <c r="R396" s="32" t="s">
        <v>33</v>
      </c>
      <c r="S396" s="18"/>
      <c r="T396" s="5" t="s">
        <v>33</v>
      </c>
    </row>
    <row r="397" spans="5:20" ht="21">
      <c r="E397" s="21" t="s">
        <v>314</v>
      </c>
      <c r="F397" s="22"/>
      <c r="G397" s="7" t="s">
        <v>35</v>
      </c>
      <c r="H397" s="7" t="s">
        <v>5</v>
      </c>
      <c r="I397" s="30" t="s">
        <v>7</v>
      </c>
      <c r="J397" s="24"/>
      <c r="K397" s="22"/>
      <c r="L397" s="30" t="s">
        <v>9</v>
      </c>
      <c r="M397" s="22"/>
      <c r="N397" s="7" t="s">
        <v>11</v>
      </c>
      <c r="O397" s="7" t="s">
        <v>15</v>
      </c>
      <c r="P397" s="7" t="s">
        <v>17</v>
      </c>
      <c r="Q397" s="7" t="s">
        <v>21</v>
      </c>
      <c r="R397" s="30" t="s">
        <v>25</v>
      </c>
      <c r="S397" s="22"/>
      <c r="T397" s="7" t="s">
        <v>36</v>
      </c>
    </row>
    <row r="398" spans="5:20" ht="22.5">
      <c r="E398" s="6" t="s">
        <v>37</v>
      </c>
      <c r="F398" s="6" t="s">
        <v>315</v>
      </c>
      <c r="G398" s="8" t="s">
        <v>39</v>
      </c>
      <c r="H398" s="9" t="s">
        <v>316</v>
      </c>
      <c r="I398" s="23" t="s">
        <v>317</v>
      </c>
      <c r="J398" s="24"/>
      <c r="K398" s="22"/>
      <c r="L398" s="23" t="s">
        <v>318</v>
      </c>
      <c r="M398" s="22"/>
      <c r="N398" s="9" t="s">
        <v>319</v>
      </c>
      <c r="O398" s="9" t="s">
        <v>320</v>
      </c>
      <c r="P398" s="9" t="s">
        <v>321</v>
      </c>
      <c r="Q398" s="9" t="s">
        <v>267</v>
      </c>
      <c r="R398" s="23" t="s">
        <v>43</v>
      </c>
      <c r="S398" s="22"/>
      <c r="T398" s="8" t="s">
        <v>33</v>
      </c>
    </row>
    <row r="399" spans="5:20">
      <c r="E399" s="21" t="s">
        <v>322</v>
      </c>
      <c r="F399" s="25"/>
      <c r="G399" s="8" t="s">
        <v>42</v>
      </c>
      <c r="H399" s="9" t="s">
        <v>43</v>
      </c>
      <c r="I399" s="23" t="s">
        <v>43</v>
      </c>
      <c r="J399" s="24"/>
      <c r="K399" s="22"/>
      <c r="L399" s="23" t="s">
        <v>43</v>
      </c>
      <c r="M399" s="22"/>
      <c r="N399" s="9" t="s">
        <v>43</v>
      </c>
      <c r="O399" s="9" t="s">
        <v>43</v>
      </c>
      <c r="P399" s="9" t="s">
        <v>43</v>
      </c>
      <c r="Q399" s="9" t="s">
        <v>43</v>
      </c>
      <c r="R399" s="23" t="s">
        <v>107</v>
      </c>
      <c r="S399" s="22"/>
      <c r="T399" s="8" t="s">
        <v>33</v>
      </c>
    </row>
    <row r="400" spans="5:20">
      <c r="E400" s="26"/>
      <c r="F400" s="27"/>
      <c r="G400" s="8" t="s">
        <v>44</v>
      </c>
      <c r="H400" s="9" t="s">
        <v>33</v>
      </c>
      <c r="I400" s="23" t="s">
        <v>33</v>
      </c>
      <c r="J400" s="24"/>
      <c r="K400" s="22"/>
      <c r="L400" s="23" t="s">
        <v>33</v>
      </c>
      <c r="M400" s="22"/>
      <c r="N400" s="9" t="s">
        <v>33</v>
      </c>
      <c r="O400" s="9" t="s">
        <v>33</v>
      </c>
      <c r="P400" s="9" t="s">
        <v>33</v>
      </c>
      <c r="Q400" s="9" t="s">
        <v>33</v>
      </c>
      <c r="R400" s="23" t="s">
        <v>33</v>
      </c>
      <c r="S400" s="22"/>
      <c r="T400" s="8">
        <v>0</v>
      </c>
    </row>
    <row r="401" spans="5:20">
      <c r="E401" s="28"/>
      <c r="F401" s="29"/>
      <c r="G401" s="8" t="s">
        <v>45</v>
      </c>
      <c r="H401" s="9">
        <v>4</v>
      </c>
      <c r="I401" s="23">
        <v>4</v>
      </c>
      <c r="J401" s="24"/>
      <c r="K401" s="22"/>
      <c r="L401" s="23">
        <v>4</v>
      </c>
      <c r="M401" s="22"/>
      <c r="N401" s="9">
        <v>3</v>
      </c>
      <c r="O401" s="9">
        <v>3</v>
      </c>
      <c r="P401" s="9">
        <v>3</v>
      </c>
      <c r="Q401" s="9">
        <v>2</v>
      </c>
      <c r="R401" s="23">
        <v>2</v>
      </c>
      <c r="S401" s="22"/>
      <c r="T401" s="8">
        <v>22</v>
      </c>
    </row>
    <row r="402" spans="5:20">
      <c r="E402" s="6" t="s">
        <v>46</v>
      </c>
      <c r="F402" s="6"/>
      <c r="G402" s="8" t="s">
        <v>47</v>
      </c>
      <c r="H402" s="9">
        <v>5</v>
      </c>
      <c r="I402" s="23">
        <v>6</v>
      </c>
      <c r="J402" s="24"/>
      <c r="K402" s="22"/>
      <c r="L402" s="23">
        <v>8</v>
      </c>
      <c r="M402" s="22"/>
      <c r="N402" s="9">
        <v>6.5</v>
      </c>
      <c r="O402" s="9">
        <v>6.5</v>
      </c>
      <c r="P402" s="9"/>
      <c r="Q402" s="9">
        <v>7</v>
      </c>
      <c r="R402" s="23">
        <v>10</v>
      </c>
      <c r="S402" s="22"/>
      <c r="T402" s="8" t="s">
        <v>33</v>
      </c>
    </row>
    <row r="403" spans="5:20">
      <c r="E403" s="6" t="s">
        <v>48</v>
      </c>
      <c r="F403" s="6"/>
      <c r="G403" s="8" t="s">
        <v>49</v>
      </c>
      <c r="H403" s="9">
        <v>20</v>
      </c>
      <c r="I403" s="23">
        <v>24</v>
      </c>
      <c r="J403" s="24"/>
      <c r="K403" s="22"/>
      <c r="L403" s="23">
        <v>32</v>
      </c>
      <c r="M403" s="22"/>
      <c r="N403" s="9">
        <v>19.5</v>
      </c>
      <c r="O403" s="9">
        <v>19.5</v>
      </c>
      <c r="P403" s="9"/>
      <c r="Q403" s="9">
        <v>14</v>
      </c>
      <c r="R403" s="23">
        <v>20</v>
      </c>
      <c r="S403" s="22"/>
      <c r="T403" s="8">
        <v>149</v>
      </c>
    </row>
    <row r="404" spans="5:20">
      <c r="E404" s="21" t="s">
        <v>65</v>
      </c>
      <c r="F404" s="22"/>
      <c r="G404" s="8" t="s">
        <v>36</v>
      </c>
      <c r="H404" s="9">
        <v>46</v>
      </c>
      <c r="I404" s="23">
        <v>57</v>
      </c>
      <c r="J404" s="24"/>
      <c r="K404" s="22"/>
      <c r="L404" s="23">
        <v>79</v>
      </c>
      <c r="M404" s="22"/>
      <c r="N404" s="9">
        <v>63</v>
      </c>
      <c r="O404" s="9">
        <v>62</v>
      </c>
      <c r="P404" s="9">
        <v>26</v>
      </c>
      <c r="Q404" s="9">
        <v>34</v>
      </c>
      <c r="R404" s="23">
        <v>48</v>
      </c>
      <c r="S404" s="22"/>
      <c r="T404" s="8">
        <v>415</v>
      </c>
    </row>
    <row r="405" spans="5:20">
      <c r="E405" s="6" t="s">
        <v>51</v>
      </c>
      <c r="F405" s="6"/>
      <c r="G405" s="8" t="s">
        <v>52</v>
      </c>
      <c r="H405" s="9">
        <v>100</v>
      </c>
      <c r="I405" s="23">
        <v>100</v>
      </c>
      <c r="J405" s="24"/>
      <c r="K405" s="22"/>
      <c r="L405" s="23">
        <v>100</v>
      </c>
      <c r="M405" s="22"/>
      <c r="N405" s="9">
        <v>100</v>
      </c>
      <c r="O405" s="9">
        <v>100</v>
      </c>
      <c r="P405" s="9">
        <v>100</v>
      </c>
      <c r="Q405" s="9">
        <v>50</v>
      </c>
      <c r="R405" s="23">
        <v>50</v>
      </c>
      <c r="S405" s="22"/>
      <c r="T405" s="8">
        <v>700</v>
      </c>
    </row>
    <row r="406" spans="5:20">
      <c r="E406" s="21" t="s">
        <v>66</v>
      </c>
      <c r="F406" s="22"/>
      <c r="G406" s="8" t="s">
        <v>54</v>
      </c>
      <c r="H406" s="9" t="s">
        <v>55</v>
      </c>
      <c r="I406" s="23" t="s">
        <v>147</v>
      </c>
      <c r="J406" s="24"/>
      <c r="K406" s="22"/>
      <c r="L406" s="23" t="s">
        <v>135</v>
      </c>
      <c r="M406" s="22"/>
      <c r="N406" s="9" t="s">
        <v>76</v>
      </c>
      <c r="O406" s="9" t="s">
        <v>76</v>
      </c>
      <c r="P406" s="9"/>
      <c r="Q406" s="9" t="s">
        <v>109</v>
      </c>
      <c r="R406" s="23" t="s">
        <v>93</v>
      </c>
      <c r="S406" s="22"/>
      <c r="T406" s="8" t="s">
        <v>33</v>
      </c>
    </row>
    <row r="407" spans="5:20">
      <c r="E407" s="11" t="s">
        <v>56</v>
      </c>
      <c r="F407" s="11" t="s">
        <v>323</v>
      </c>
      <c r="G407" s="8" t="s">
        <v>58</v>
      </c>
      <c r="H407" s="9" t="s">
        <v>59</v>
      </c>
      <c r="I407" s="23" t="s">
        <v>59</v>
      </c>
      <c r="J407" s="24"/>
      <c r="K407" s="22"/>
      <c r="L407" s="23" t="s">
        <v>59</v>
      </c>
      <c r="M407" s="22"/>
      <c r="N407" s="9" t="s">
        <v>59</v>
      </c>
      <c r="O407" s="9" t="s">
        <v>59</v>
      </c>
      <c r="P407" s="9" t="s">
        <v>68</v>
      </c>
      <c r="Q407" s="9" t="s">
        <v>59</v>
      </c>
      <c r="R407" s="23" t="s">
        <v>59</v>
      </c>
      <c r="S407" s="22"/>
      <c r="T407" s="8" t="s">
        <v>33</v>
      </c>
    </row>
    <row r="408" spans="5:20">
      <c r="E408" s="12" t="s">
        <v>33</v>
      </c>
      <c r="F408" s="12" t="s">
        <v>33</v>
      </c>
      <c r="G408" s="12" t="s">
        <v>33</v>
      </c>
      <c r="H408" s="13" t="s">
        <v>33</v>
      </c>
      <c r="I408" s="20" t="s">
        <v>33</v>
      </c>
      <c r="J408" s="18"/>
      <c r="K408" s="18"/>
      <c r="L408" s="20" t="s">
        <v>33</v>
      </c>
      <c r="M408" s="18"/>
      <c r="N408" s="13" t="s">
        <v>33</v>
      </c>
      <c r="O408" s="13" t="s">
        <v>33</v>
      </c>
      <c r="P408" s="13" t="s">
        <v>33</v>
      </c>
      <c r="Q408" s="13" t="s">
        <v>33</v>
      </c>
      <c r="R408" s="20" t="s">
        <v>33</v>
      </c>
      <c r="S408" s="18"/>
      <c r="T408" s="13" t="s">
        <v>33</v>
      </c>
    </row>
    <row r="409" spans="5:20" ht="0" hidden="1" customHeight="1"/>
    <row r="410" spans="5:20" ht="0.6" customHeight="1"/>
    <row r="411" spans="5:20">
      <c r="E411" s="31" t="s">
        <v>31</v>
      </c>
      <c r="F411" s="22"/>
      <c r="G411" s="3" t="s">
        <v>32</v>
      </c>
      <c r="H411" s="5" t="s">
        <v>33</v>
      </c>
      <c r="I411" s="32" t="s">
        <v>33</v>
      </c>
      <c r="J411" s="18"/>
      <c r="K411" s="18"/>
      <c r="L411" s="32" t="s">
        <v>33</v>
      </c>
      <c r="M411" s="18"/>
      <c r="N411" s="5" t="s">
        <v>33</v>
      </c>
      <c r="O411" s="5" t="s">
        <v>33</v>
      </c>
      <c r="P411" s="5" t="s">
        <v>33</v>
      </c>
      <c r="Q411" s="5" t="s">
        <v>33</v>
      </c>
      <c r="R411" s="32" t="s">
        <v>33</v>
      </c>
      <c r="S411" s="18"/>
      <c r="T411" s="5" t="s">
        <v>33</v>
      </c>
    </row>
    <row r="412" spans="5:20" ht="21">
      <c r="E412" s="21" t="s">
        <v>324</v>
      </c>
      <c r="F412" s="22"/>
      <c r="G412" s="7" t="s">
        <v>35</v>
      </c>
      <c r="H412" s="7" t="s">
        <v>5</v>
      </c>
      <c r="I412" s="30" t="s">
        <v>7</v>
      </c>
      <c r="J412" s="24"/>
      <c r="K412" s="22"/>
      <c r="L412" s="30" t="s">
        <v>9</v>
      </c>
      <c r="M412" s="22"/>
      <c r="N412" s="7" t="s">
        <v>11</v>
      </c>
      <c r="O412" s="7" t="s">
        <v>15</v>
      </c>
      <c r="P412" s="7" t="s">
        <v>17</v>
      </c>
      <c r="Q412" s="7" t="s">
        <v>21</v>
      </c>
      <c r="R412" s="30" t="s">
        <v>25</v>
      </c>
      <c r="S412" s="22"/>
      <c r="T412" s="7" t="s">
        <v>36</v>
      </c>
    </row>
    <row r="413" spans="5:20" ht="22.5">
      <c r="E413" s="6" t="s">
        <v>37</v>
      </c>
      <c r="F413" s="6" t="s">
        <v>325</v>
      </c>
      <c r="G413" s="8" t="s">
        <v>39</v>
      </c>
      <c r="H413" s="9" t="s">
        <v>155</v>
      </c>
      <c r="I413" s="23" t="s">
        <v>154</v>
      </c>
      <c r="J413" s="24"/>
      <c r="K413" s="22"/>
      <c r="L413" s="23" t="s">
        <v>284</v>
      </c>
      <c r="M413" s="22"/>
      <c r="N413" s="9" t="s">
        <v>326</v>
      </c>
      <c r="O413" s="9" t="s">
        <v>327</v>
      </c>
      <c r="P413" s="9" t="s">
        <v>252</v>
      </c>
      <c r="Q413" s="9" t="s">
        <v>328</v>
      </c>
      <c r="R413" s="23" t="s">
        <v>43</v>
      </c>
      <c r="S413" s="22"/>
      <c r="T413" s="8" t="s">
        <v>33</v>
      </c>
    </row>
    <row r="414" spans="5:20">
      <c r="E414" s="21" t="s">
        <v>329</v>
      </c>
      <c r="F414" s="25"/>
      <c r="G414" s="8" t="s">
        <v>42</v>
      </c>
      <c r="H414" s="9" t="s">
        <v>43</v>
      </c>
      <c r="I414" s="23" t="s">
        <v>43</v>
      </c>
      <c r="J414" s="24"/>
      <c r="K414" s="22"/>
      <c r="L414" s="23" t="s">
        <v>43</v>
      </c>
      <c r="M414" s="22"/>
      <c r="N414" s="9" t="s">
        <v>43</v>
      </c>
      <c r="O414" s="9" t="s">
        <v>43</v>
      </c>
      <c r="P414" s="9" t="s">
        <v>43</v>
      </c>
      <c r="Q414" s="9" t="s">
        <v>43</v>
      </c>
      <c r="R414" s="23" t="s">
        <v>107</v>
      </c>
      <c r="S414" s="22"/>
      <c r="T414" s="8" t="s">
        <v>33</v>
      </c>
    </row>
    <row r="415" spans="5:20">
      <c r="E415" s="26"/>
      <c r="F415" s="27"/>
      <c r="G415" s="8" t="s">
        <v>44</v>
      </c>
      <c r="H415" s="9" t="s">
        <v>33</v>
      </c>
      <c r="I415" s="23" t="s">
        <v>33</v>
      </c>
      <c r="J415" s="24"/>
      <c r="K415" s="22"/>
      <c r="L415" s="23" t="s">
        <v>33</v>
      </c>
      <c r="M415" s="22"/>
      <c r="N415" s="9" t="s">
        <v>33</v>
      </c>
      <c r="O415" s="9" t="s">
        <v>33</v>
      </c>
      <c r="P415" s="9" t="s">
        <v>33</v>
      </c>
      <c r="Q415" s="9" t="s">
        <v>33</v>
      </c>
      <c r="R415" s="23" t="s">
        <v>33</v>
      </c>
      <c r="S415" s="22"/>
      <c r="T415" s="8">
        <v>0</v>
      </c>
    </row>
    <row r="416" spans="5:20">
      <c r="E416" s="28"/>
      <c r="F416" s="29"/>
      <c r="G416" s="8" t="s">
        <v>45</v>
      </c>
      <c r="H416" s="9">
        <v>4</v>
      </c>
      <c r="I416" s="23">
        <v>4</v>
      </c>
      <c r="J416" s="24"/>
      <c r="K416" s="22"/>
      <c r="L416" s="23">
        <v>4</v>
      </c>
      <c r="M416" s="22"/>
      <c r="N416" s="9">
        <v>3</v>
      </c>
      <c r="O416" s="9">
        <v>3</v>
      </c>
      <c r="P416" s="9">
        <v>3</v>
      </c>
      <c r="Q416" s="9">
        <v>2</v>
      </c>
      <c r="R416" s="23">
        <v>2</v>
      </c>
      <c r="S416" s="22"/>
      <c r="T416" s="8">
        <v>25</v>
      </c>
    </row>
    <row r="417" spans="5:20">
      <c r="E417" s="6" t="s">
        <v>46</v>
      </c>
      <c r="F417" s="6">
        <v>8.52</v>
      </c>
      <c r="G417" s="8" t="s">
        <v>47</v>
      </c>
      <c r="H417" s="9">
        <v>9</v>
      </c>
      <c r="I417" s="23">
        <v>7.5</v>
      </c>
      <c r="J417" s="24"/>
      <c r="K417" s="22"/>
      <c r="L417" s="23">
        <v>10</v>
      </c>
      <c r="M417" s="22"/>
      <c r="N417" s="9">
        <v>7</v>
      </c>
      <c r="O417" s="9">
        <v>8</v>
      </c>
      <c r="P417" s="9">
        <v>8</v>
      </c>
      <c r="Q417" s="9">
        <v>9</v>
      </c>
      <c r="R417" s="23">
        <v>10</v>
      </c>
      <c r="S417" s="22"/>
      <c r="T417" s="8" t="s">
        <v>33</v>
      </c>
    </row>
    <row r="418" spans="5:20">
      <c r="E418" s="6" t="s">
        <v>48</v>
      </c>
      <c r="F418" s="10">
        <v>8.08</v>
      </c>
      <c r="G418" s="8" t="s">
        <v>49</v>
      </c>
      <c r="H418" s="9">
        <v>36</v>
      </c>
      <c r="I418" s="23">
        <v>30</v>
      </c>
      <c r="J418" s="24"/>
      <c r="K418" s="22"/>
      <c r="L418" s="23">
        <v>40</v>
      </c>
      <c r="M418" s="22"/>
      <c r="N418" s="9">
        <v>21</v>
      </c>
      <c r="O418" s="9">
        <v>24</v>
      </c>
      <c r="P418" s="9">
        <v>24</v>
      </c>
      <c r="Q418" s="9">
        <v>18</v>
      </c>
      <c r="R418" s="23">
        <v>20</v>
      </c>
      <c r="S418" s="22"/>
      <c r="T418" s="8">
        <v>213</v>
      </c>
    </row>
    <row r="419" spans="5:20">
      <c r="E419" s="21" t="s">
        <v>50</v>
      </c>
      <c r="F419" s="22"/>
      <c r="G419" s="8" t="s">
        <v>36</v>
      </c>
      <c r="H419" s="9">
        <v>86</v>
      </c>
      <c r="I419" s="23">
        <v>74</v>
      </c>
      <c r="J419" s="24"/>
      <c r="K419" s="22"/>
      <c r="L419" s="23">
        <v>96</v>
      </c>
      <c r="M419" s="22"/>
      <c r="N419" s="9">
        <v>67</v>
      </c>
      <c r="O419" s="9">
        <v>77</v>
      </c>
      <c r="P419" s="9">
        <v>76</v>
      </c>
      <c r="Q419" s="9">
        <v>44</v>
      </c>
      <c r="R419" s="23">
        <v>48</v>
      </c>
      <c r="S419" s="22"/>
      <c r="T419" s="8">
        <v>568</v>
      </c>
    </row>
    <row r="420" spans="5:20">
      <c r="E420" s="6" t="s">
        <v>51</v>
      </c>
      <c r="F420" s="6"/>
      <c r="G420" s="8" t="s">
        <v>52</v>
      </c>
      <c r="H420" s="9">
        <v>100</v>
      </c>
      <c r="I420" s="23">
        <v>100</v>
      </c>
      <c r="J420" s="24"/>
      <c r="K420" s="22"/>
      <c r="L420" s="23">
        <v>100</v>
      </c>
      <c r="M420" s="22"/>
      <c r="N420" s="9">
        <v>100</v>
      </c>
      <c r="O420" s="9">
        <v>100</v>
      </c>
      <c r="P420" s="9">
        <v>100</v>
      </c>
      <c r="Q420" s="9">
        <v>50</v>
      </c>
      <c r="R420" s="23">
        <v>50</v>
      </c>
      <c r="S420" s="22"/>
      <c r="T420" s="8">
        <v>700</v>
      </c>
    </row>
    <row r="421" spans="5:20">
      <c r="E421" s="21" t="s">
        <v>170</v>
      </c>
      <c r="F421" s="22"/>
      <c r="G421" s="8" t="s">
        <v>54</v>
      </c>
      <c r="H421" s="9" t="s">
        <v>122</v>
      </c>
      <c r="I421" s="23" t="s">
        <v>108</v>
      </c>
      <c r="J421" s="24"/>
      <c r="K421" s="22"/>
      <c r="L421" s="23" t="s">
        <v>93</v>
      </c>
      <c r="M421" s="22"/>
      <c r="N421" s="9" t="s">
        <v>109</v>
      </c>
      <c r="O421" s="9" t="s">
        <v>135</v>
      </c>
      <c r="P421" s="9" t="s">
        <v>135</v>
      </c>
      <c r="Q421" s="9" t="s">
        <v>122</v>
      </c>
      <c r="R421" s="23" t="s">
        <v>93</v>
      </c>
      <c r="S421" s="22"/>
      <c r="T421" s="8" t="s">
        <v>33</v>
      </c>
    </row>
    <row r="422" spans="5:20">
      <c r="E422" s="11" t="s">
        <v>56</v>
      </c>
      <c r="F422" s="11" t="s">
        <v>330</v>
      </c>
      <c r="G422" s="8" t="s">
        <v>58</v>
      </c>
      <c r="H422" s="9" t="s">
        <v>59</v>
      </c>
      <c r="I422" s="23" t="s">
        <v>59</v>
      </c>
      <c r="J422" s="24"/>
      <c r="K422" s="22"/>
      <c r="L422" s="23" t="s">
        <v>59</v>
      </c>
      <c r="M422" s="22"/>
      <c r="N422" s="9" t="s">
        <v>59</v>
      </c>
      <c r="O422" s="9" t="s">
        <v>59</v>
      </c>
      <c r="P422" s="9" t="s">
        <v>59</v>
      </c>
      <c r="Q422" s="9" t="s">
        <v>59</v>
      </c>
      <c r="R422" s="23" t="s">
        <v>59</v>
      </c>
      <c r="S422" s="22"/>
      <c r="T422" s="8" t="s">
        <v>33</v>
      </c>
    </row>
    <row r="423" spans="5:20">
      <c r="E423" s="12" t="s">
        <v>33</v>
      </c>
      <c r="F423" s="12" t="s">
        <v>33</v>
      </c>
      <c r="G423" s="12" t="s">
        <v>33</v>
      </c>
      <c r="H423" s="13" t="s">
        <v>33</v>
      </c>
      <c r="I423" s="20" t="s">
        <v>33</v>
      </c>
      <c r="J423" s="18"/>
      <c r="K423" s="18"/>
      <c r="L423" s="20" t="s">
        <v>33</v>
      </c>
      <c r="M423" s="18"/>
      <c r="N423" s="13" t="s">
        <v>33</v>
      </c>
      <c r="O423" s="13" t="s">
        <v>33</v>
      </c>
      <c r="P423" s="13" t="s">
        <v>33</v>
      </c>
      <c r="Q423" s="13" t="s">
        <v>33</v>
      </c>
      <c r="R423" s="20" t="s">
        <v>33</v>
      </c>
      <c r="S423" s="18"/>
      <c r="T423" s="13" t="s">
        <v>33</v>
      </c>
    </row>
    <row r="424" spans="5:20" ht="0" hidden="1" customHeight="1"/>
    <row r="425" spans="5:20" ht="0.6" customHeight="1"/>
    <row r="426" spans="5:20">
      <c r="E426" s="31" t="s">
        <v>31</v>
      </c>
      <c r="F426" s="22"/>
      <c r="G426" s="3" t="s">
        <v>32</v>
      </c>
      <c r="H426" s="5" t="s">
        <v>33</v>
      </c>
      <c r="I426" s="32" t="s">
        <v>33</v>
      </c>
      <c r="J426" s="18"/>
      <c r="K426" s="18"/>
      <c r="L426" s="32" t="s">
        <v>33</v>
      </c>
      <c r="M426" s="18"/>
      <c r="N426" s="5" t="s">
        <v>33</v>
      </c>
      <c r="O426" s="5" t="s">
        <v>33</v>
      </c>
      <c r="P426" s="5" t="s">
        <v>33</v>
      </c>
      <c r="Q426" s="5" t="s">
        <v>33</v>
      </c>
      <c r="R426" s="32" t="s">
        <v>33</v>
      </c>
      <c r="S426" s="18"/>
      <c r="T426" s="5" t="s">
        <v>33</v>
      </c>
    </row>
    <row r="427" spans="5:20" ht="21">
      <c r="E427" s="21" t="s">
        <v>331</v>
      </c>
      <c r="F427" s="22"/>
      <c r="G427" s="7" t="s">
        <v>35</v>
      </c>
      <c r="H427" s="7" t="s">
        <v>5</v>
      </c>
      <c r="I427" s="30" t="s">
        <v>7</v>
      </c>
      <c r="J427" s="24"/>
      <c r="K427" s="22"/>
      <c r="L427" s="30" t="s">
        <v>9</v>
      </c>
      <c r="M427" s="22"/>
      <c r="N427" s="7" t="s">
        <v>11</v>
      </c>
      <c r="O427" s="7" t="s">
        <v>15</v>
      </c>
      <c r="P427" s="7" t="s">
        <v>17</v>
      </c>
      <c r="Q427" s="7" t="s">
        <v>21</v>
      </c>
      <c r="R427" s="30" t="s">
        <v>25</v>
      </c>
      <c r="S427" s="22"/>
      <c r="T427" s="7" t="s">
        <v>36</v>
      </c>
    </row>
    <row r="428" spans="5:20" ht="22.5">
      <c r="E428" s="6" t="s">
        <v>37</v>
      </c>
      <c r="F428" s="6" t="s">
        <v>332</v>
      </c>
      <c r="G428" s="8" t="s">
        <v>39</v>
      </c>
      <c r="H428" s="9" t="s">
        <v>333</v>
      </c>
      <c r="I428" s="23" t="s">
        <v>283</v>
      </c>
      <c r="J428" s="24"/>
      <c r="K428" s="22"/>
      <c r="L428" s="23" t="s">
        <v>334</v>
      </c>
      <c r="M428" s="22"/>
      <c r="N428" s="9" t="s">
        <v>335</v>
      </c>
      <c r="O428" s="9" t="s">
        <v>336</v>
      </c>
      <c r="P428" s="9" t="s">
        <v>337</v>
      </c>
      <c r="Q428" s="9" t="s">
        <v>338</v>
      </c>
      <c r="R428" s="23" t="s">
        <v>43</v>
      </c>
      <c r="S428" s="22"/>
      <c r="T428" s="8" t="s">
        <v>33</v>
      </c>
    </row>
    <row r="429" spans="5:20">
      <c r="E429" s="21" t="s">
        <v>339</v>
      </c>
      <c r="F429" s="25"/>
      <c r="G429" s="8" t="s">
        <v>42</v>
      </c>
      <c r="H429" s="9" t="s">
        <v>43</v>
      </c>
      <c r="I429" s="23" t="s">
        <v>43</v>
      </c>
      <c r="J429" s="24"/>
      <c r="K429" s="22"/>
      <c r="L429" s="23" t="s">
        <v>43</v>
      </c>
      <c r="M429" s="22"/>
      <c r="N429" s="9" t="s">
        <v>43</v>
      </c>
      <c r="O429" s="9" t="s">
        <v>43</v>
      </c>
      <c r="P429" s="9" t="s">
        <v>43</v>
      </c>
      <c r="Q429" s="9" t="s">
        <v>43</v>
      </c>
      <c r="R429" s="23" t="s">
        <v>107</v>
      </c>
      <c r="S429" s="22"/>
      <c r="T429" s="8" t="s">
        <v>33</v>
      </c>
    </row>
    <row r="430" spans="5:20">
      <c r="E430" s="26"/>
      <c r="F430" s="27"/>
      <c r="G430" s="8" t="s">
        <v>44</v>
      </c>
      <c r="H430" s="9" t="s">
        <v>33</v>
      </c>
      <c r="I430" s="23" t="s">
        <v>33</v>
      </c>
      <c r="J430" s="24"/>
      <c r="K430" s="22"/>
      <c r="L430" s="23" t="s">
        <v>33</v>
      </c>
      <c r="M430" s="22"/>
      <c r="N430" s="9" t="s">
        <v>33</v>
      </c>
      <c r="O430" s="9" t="s">
        <v>33</v>
      </c>
      <c r="P430" s="9" t="s">
        <v>33</v>
      </c>
      <c r="Q430" s="9" t="s">
        <v>33</v>
      </c>
      <c r="R430" s="23" t="s">
        <v>33</v>
      </c>
      <c r="S430" s="22"/>
      <c r="T430" s="8">
        <v>0</v>
      </c>
    </row>
    <row r="431" spans="5:20">
      <c r="E431" s="28"/>
      <c r="F431" s="29"/>
      <c r="G431" s="8" t="s">
        <v>45</v>
      </c>
      <c r="H431" s="9">
        <v>4</v>
      </c>
      <c r="I431" s="23">
        <v>4</v>
      </c>
      <c r="J431" s="24"/>
      <c r="K431" s="22"/>
      <c r="L431" s="23">
        <v>4</v>
      </c>
      <c r="M431" s="22"/>
      <c r="N431" s="9">
        <v>3</v>
      </c>
      <c r="O431" s="9">
        <v>3</v>
      </c>
      <c r="P431" s="9">
        <v>3</v>
      </c>
      <c r="Q431" s="9">
        <v>2</v>
      </c>
      <c r="R431" s="23">
        <v>2</v>
      </c>
      <c r="S431" s="22"/>
      <c r="T431" s="8">
        <v>25</v>
      </c>
    </row>
    <row r="432" spans="5:20">
      <c r="E432" s="6" t="s">
        <v>46</v>
      </c>
      <c r="F432" s="6">
        <v>8.2799999999999994</v>
      </c>
      <c r="G432" s="8" t="s">
        <v>47</v>
      </c>
      <c r="H432" s="9">
        <v>7</v>
      </c>
      <c r="I432" s="23">
        <v>8.5</v>
      </c>
      <c r="J432" s="24"/>
      <c r="K432" s="22"/>
      <c r="L432" s="23">
        <v>10</v>
      </c>
      <c r="M432" s="22"/>
      <c r="N432" s="9">
        <v>6.5</v>
      </c>
      <c r="O432" s="9">
        <v>8.5</v>
      </c>
      <c r="P432" s="9">
        <v>7</v>
      </c>
      <c r="Q432" s="9">
        <v>9.5</v>
      </c>
      <c r="R432" s="23">
        <v>10</v>
      </c>
      <c r="S432" s="22"/>
      <c r="T432" s="8" t="s">
        <v>33</v>
      </c>
    </row>
    <row r="433" spans="5:20">
      <c r="E433" s="6" t="s">
        <v>48</v>
      </c>
      <c r="F433" s="10">
        <v>8.23</v>
      </c>
      <c r="G433" s="8" t="s">
        <v>49</v>
      </c>
      <c r="H433" s="9">
        <v>28</v>
      </c>
      <c r="I433" s="23">
        <v>34</v>
      </c>
      <c r="J433" s="24"/>
      <c r="K433" s="22"/>
      <c r="L433" s="23">
        <v>40</v>
      </c>
      <c r="M433" s="22"/>
      <c r="N433" s="9">
        <v>19.5</v>
      </c>
      <c r="O433" s="9">
        <v>25.5</v>
      </c>
      <c r="P433" s="9">
        <v>21</v>
      </c>
      <c r="Q433" s="9">
        <v>19</v>
      </c>
      <c r="R433" s="23">
        <v>20</v>
      </c>
      <c r="S433" s="22"/>
      <c r="T433" s="8">
        <v>207</v>
      </c>
    </row>
    <row r="434" spans="5:20">
      <c r="E434" s="21" t="s">
        <v>50</v>
      </c>
      <c r="F434" s="22"/>
      <c r="G434" s="8" t="s">
        <v>36</v>
      </c>
      <c r="H434" s="9">
        <v>68</v>
      </c>
      <c r="I434" s="23">
        <v>80</v>
      </c>
      <c r="J434" s="24"/>
      <c r="K434" s="22"/>
      <c r="L434" s="23">
        <v>95</v>
      </c>
      <c r="M434" s="22"/>
      <c r="N434" s="9">
        <v>63</v>
      </c>
      <c r="O434" s="9">
        <v>84</v>
      </c>
      <c r="P434" s="9">
        <v>69</v>
      </c>
      <c r="Q434" s="9">
        <v>46</v>
      </c>
      <c r="R434" s="23">
        <v>48</v>
      </c>
      <c r="S434" s="22"/>
      <c r="T434" s="8">
        <v>553</v>
      </c>
    </row>
    <row r="435" spans="5:20">
      <c r="E435" s="6" t="s">
        <v>51</v>
      </c>
      <c r="F435" s="6"/>
      <c r="G435" s="8" t="s">
        <v>52</v>
      </c>
      <c r="H435" s="9">
        <v>100</v>
      </c>
      <c r="I435" s="23">
        <v>100</v>
      </c>
      <c r="J435" s="24"/>
      <c r="K435" s="22"/>
      <c r="L435" s="23">
        <v>100</v>
      </c>
      <c r="M435" s="22"/>
      <c r="N435" s="9">
        <v>100</v>
      </c>
      <c r="O435" s="9">
        <v>100</v>
      </c>
      <c r="P435" s="9">
        <v>100</v>
      </c>
      <c r="Q435" s="9">
        <v>50</v>
      </c>
      <c r="R435" s="23">
        <v>50</v>
      </c>
      <c r="S435" s="22"/>
      <c r="T435" s="8">
        <v>700</v>
      </c>
    </row>
    <row r="436" spans="5:20">
      <c r="E436" s="21" t="s">
        <v>159</v>
      </c>
      <c r="F436" s="22"/>
      <c r="G436" s="8" t="s">
        <v>54</v>
      </c>
      <c r="H436" s="9" t="s">
        <v>109</v>
      </c>
      <c r="I436" s="23" t="s">
        <v>95</v>
      </c>
      <c r="J436" s="24"/>
      <c r="K436" s="22"/>
      <c r="L436" s="23" t="s">
        <v>93</v>
      </c>
      <c r="M436" s="22"/>
      <c r="N436" s="9" t="s">
        <v>76</v>
      </c>
      <c r="O436" s="9" t="s">
        <v>95</v>
      </c>
      <c r="P436" s="9" t="s">
        <v>109</v>
      </c>
      <c r="Q436" s="9" t="s">
        <v>94</v>
      </c>
      <c r="R436" s="23" t="s">
        <v>93</v>
      </c>
      <c r="S436" s="22"/>
      <c r="T436" s="8" t="s">
        <v>33</v>
      </c>
    </row>
    <row r="437" spans="5:20">
      <c r="E437" s="11" t="s">
        <v>56</v>
      </c>
      <c r="F437" s="11" t="s">
        <v>340</v>
      </c>
      <c r="G437" s="8" t="s">
        <v>58</v>
      </c>
      <c r="H437" s="9" t="s">
        <v>59</v>
      </c>
      <c r="I437" s="23" t="s">
        <v>59</v>
      </c>
      <c r="J437" s="24"/>
      <c r="K437" s="22"/>
      <c r="L437" s="23" t="s">
        <v>59</v>
      </c>
      <c r="M437" s="22"/>
      <c r="N437" s="9" t="s">
        <v>59</v>
      </c>
      <c r="O437" s="9" t="s">
        <v>59</v>
      </c>
      <c r="P437" s="9" t="s">
        <v>59</v>
      </c>
      <c r="Q437" s="9" t="s">
        <v>59</v>
      </c>
      <c r="R437" s="23" t="s">
        <v>59</v>
      </c>
      <c r="S437" s="22"/>
      <c r="T437" s="8" t="s">
        <v>33</v>
      </c>
    </row>
    <row r="438" spans="5:20">
      <c r="E438" s="12" t="s">
        <v>33</v>
      </c>
      <c r="F438" s="12" t="s">
        <v>33</v>
      </c>
      <c r="G438" s="12" t="s">
        <v>33</v>
      </c>
      <c r="H438" s="13" t="s">
        <v>33</v>
      </c>
      <c r="I438" s="20" t="s">
        <v>33</v>
      </c>
      <c r="J438" s="18"/>
      <c r="K438" s="18"/>
      <c r="L438" s="20" t="s">
        <v>33</v>
      </c>
      <c r="M438" s="18"/>
      <c r="N438" s="13" t="s">
        <v>33</v>
      </c>
      <c r="O438" s="13" t="s">
        <v>33</v>
      </c>
      <c r="P438" s="13" t="s">
        <v>33</v>
      </c>
      <c r="Q438" s="13" t="s">
        <v>33</v>
      </c>
      <c r="R438" s="20" t="s">
        <v>33</v>
      </c>
      <c r="S438" s="18"/>
      <c r="T438" s="13" t="s">
        <v>33</v>
      </c>
    </row>
    <row r="439" spans="5:20" ht="0" hidden="1" customHeight="1"/>
    <row r="440" spans="5:20" ht="0.6" customHeight="1"/>
    <row r="441" spans="5:20">
      <c r="E441" s="31" t="s">
        <v>31</v>
      </c>
      <c r="F441" s="22"/>
      <c r="G441" s="3" t="s">
        <v>32</v>
      </c>
      <c r="H441" s="5" t="s">
        <v>33</v>
      </c>
      <c r="I441" s="32" t="s">
        <v>33</v>
      </c>
      <c r="J441" s="18"/>
      <c r="K441" s="18"/>
      <c r="L441" s="32" t="s">
        <v>33</v>
      </c>
      <c r="M441" s="18"/>
      <c r="N441" s="5" t="s">
        <v>33</v>
      </c>
      <c r="O441" s="5" t="s">
        <v>33</v>
      </c>
      <c r="P441" s="5" t="s">
        <v>33</v>
      </c>
      <c r="Q441" s="5" t="s">
        <v>33</v>
      </c>
      <c r="R441" s="32" t="s">
        <v>33</v>
      </c>
      <c r="S441" s="18"/>
      <c r="T441" s="5" t="s">
        <v>33</v>
      </c>
    </row>
    <row r="442" spans="5:20" ht="21">
      <c r="E442" s="21" t="s">
        <v>341</v>
      </c>
      <c r="F442" s="22"/>
      <c r="G442" s="7" t="s">
        <v>35</v>
      </c>
      <c r="H442" s="7" t="s">
        <v>5</v>
      </c>
      <c r="I442" s="30" t="s">
        <v>7</v>
      </c>
      <c r="J442" s="24"/>
      <c r="K442" s="22"/>
      <c r="L442" s="30" t="s">
        <v>9</v>
      </c>
      <c r="M442" s="22"/>
      <c r="N442" s="7" t="s">
        <v>11</v>
      </c>
      <c r="O442" s="7" t="s">
        <v>15</v>
      </c>
      <c r="P442" s="7" t="s">
        <v>17</v>
      </c>
      <c r="Q442" s="7" t="s">
        <v>21</v>
      </c>
      <c r="R442" s="30" t="s">
        <v>25</v>
      </c>
      <c r="S442" s="22"/>
      <c r="T442" s="7" t="s">
        <v>36</v>
      </c>
    </row>
    <row r="443" spans="5:20" ht="22.5">
      <c r="E443" s="6" t="s">
        <v>37</v>
      </c>
      <c r="F443" s="6" t="s">
        <v>342</v>
      </c>
      <c r="G443" s="8" t="s">
        <v>39</v>
      </c>
      <c r="H443" s="9" t="s">
        <v>343</v>
      </c>
      <c r="I443" s="23" t="s">
        <v>344</v>
      </c>
      <c r="J443" s="24"/>
      <c r="K443" s="22"/>
      <c r="L443" s="23" t="s">
        <v>345</v>
      </c>
      <c r="M443" s="22"/>
      <c r="N443" s="9" t="s">
        <v>346</v>
      </c>
      <c r="O443" s="9" t="s">
        <v>347</v>
      </c>
      <c r="P443" s="9" t="s">
        <v>348</v>
      </c>
      <c r="Q443" s="9" t="s">
        <v>349</v>
      </c>
      <c r="R443" s="23" t="s">
        <v>43</v>
      </c>
      <c r="S443" s="22"/>
      <c r="T443" s="8" t="s">
        <v>33</v>
      </c>
    </row>
    <row r="444" spans="5:20">
      <c r="E444" s="21" t="s">
        <v>350</v>
      </c>
      <c r="F444" s="25"/>
      <c r="G444" s="8" t="s">
        <v>42</v>
      </c>
      <c r="H444" s="9" t="s">
        <v>43</v>
      </c>
      <c r="I444" s="23" t="s">
        <v>43</v>
      </c>
      <c r="J444" s="24"/>
      <c r="K444" s="22"/>
      <c r="L444" s="23" t="s">
        <v>43</v>
      </c>
      <c r="M444" s="22"/>
      <c r="N444" s="9" t="s">
        <v>43</v>
      </c>
      <c r="O444" s="9" t="s">
        <v>43</v>
      </c>
      <c r="P444" s="9" t="s">
        <v>43</v>
      </c>
      <c r="Q444" s="9" t="s">
        <v>43</v>
      </c>
      <c r="R444" s="23" t="s">
        <v>107</v>
      </c>
      <c r="S444" s="22"/>
      <c r="T444" s="8" t="s">
        <v>33</v>
      </c>
    </row>
    <row r="445" spans="5:20">
      <c r="E445" s="26"/>
      <c r="F445" s="27"/>
      <c r="G445" s="8" t="s">
        <v>44</v>
      </c>
      <c r="H445" s="9" t="s">
        <v>33</v>
      </c>
      <c r="I445" s="23" t="s">
        <v>33</v>
      </c>
      <c r="J445" s="24"/>
      <c r="K445" s="22"/>
      <c r="L445" s="23" t="s">
        <v>33</v>
      </c>
      <c r="M445" s="22"/>
      <c r="N445" s="9" t="s">
        <v>33</v>
      </c>
      <c r="O445" s="9" t="s">
        <v>33</v>
      </c>
      <c r="P445" s="9" t="s">
        <v>33</v>
      </c>
      <c r="Q445" s="9" t="s">
        <v>33</v>
      </c>
      <c r="R445" s="23" t="s">
        <v>33</v>
      </c>
      <c r="S445" s="22"/>
      <c r="T445" s="8">
        <v>0</v>
      </c>
    </row>
    <row r="446" spans="5:20">
      <c r="E446" s="28"/>
      <c r="F446" s="29"/>
      <c r="G446" s="8" t="s">
        <v>45</v>
      </c>
      <c r="H446" s="9">
        <v>4</v>
      </c>
      <c r="I446" s="23">
        <v>4</v>
      </c>
      <c r="J446" s="24"/>
      <c r="K446" s="22"/>
      <c r="L446" s="23">
        <v>4</v>
      </c>
      <c r="M446" s="22"/>
      <c r="N446" s="9">
        <v>3</v>
      </c>
      <c r="O446" s="9">
        <v>3</v>
      </c>
      <c r="P446" s="9">
        <v>3</v>
      </c>
      <c r="Q446" s="9">
        <v>2</v>
      </c>
      <c r="R446" s="23">
        <v>2</v>
      </c>
      <c r="S446" s="22"/>
      <c r="T446" s="8">
        <v>18</v>
      </c>
    </row>
    <row r="447" spans="5:20">
      <c r="E447" s="6" t="s">
        <v>46</v>
      </c>
      <c r="F447" s="6"/>
      <c r="G447" s="8" t="s">
        <v>47</v>
      </c>
      <c r="H447" s="9"/>
      <c r="I447" s="23">
        <v>5</v>
      </c>
      <c r="J447" s="24"/>
      <c r="K447" s="22"/>
      <c r="L447" s="23">
        <v>7.5</v>
      </c>
      <c r="M447" s="22"/>
      <c r="N447" s="9">
        <v>6.5</v>
      </c>
      <c r="O447" s="9">
        <v>6.5</v>
      </c>
      <c r="P447" s="9"/>
      <c r="Q447" s="9">
        <v>7.5</v>
      </c>
      <c r="R447" s="23">
        <v>10</v>
      </c>
      <c r="S447" s="22"/>
      <c r="T447" s="8" t="s">
        <v>33</v>
      </c>
    </row>
    <row r="448" spans="5:20">
      <c r="E448" s="6" t="s">
        <v>48</v>
      </c>
      <c r="F448" s="6"/>
      <c r="G448" s="8" t="s">
        <v>49</v>
      </c>
      <c r="H448" s="9"/>
      <c r="I448" s="23">
        <v>20</v>
      </c>
      <c r="J448" s="24"/>
      <c r="K448" s="22"/>
      <c r="L448" s="23">
        <v>30</v>
      </c>
      <c r="M448" s="22"/>
      <c r="N448" s="9">
        <v>19.5</v>
      </c>
      <c r="O448" s="9">
        <v>19.5</v>
      </c>
      <c r="P448" s="9"/>
      <c r="Q448" s="9">
        <v>15</v>
      </c>
      <c r="R448" s="23">
        <v>20</v>
      </c>
      <c r="S448" s="22"/>
      <c r="T448" s="8">
        <v>124</v>
      </c>
    </row>
    <row r="449" spans="5:20">
      <c r="E449" s="21" t="s">
        <v>65</v>
      </c>
      <c r="F449" s="22"/>
      <c r="G449" s="8" t="s">
        <v>36</v>
      </c>
      <c r="H449" s="9">
        <v>39</v>
      </c>
      <c r="I449" s="23">
        <v>49</v>
      </c>
      <c r="J449" s="24"/>
      <c r="K449" s="22"/>
      <c r="L449" s="23">
        <v>71</v>
      </c>
      <c r="M449" s="22"/>
      <c r="N449" s="9">
        <v>62</v>
      </c>
      <c r="O449" s="9">
        <v>61</v>
      </c>
      <c r="P449" s="9">
        <v>32</v>
      </c>
      <c r="Q449" s="9">
        <v>35</v>
      </c>
      <c r="R449" s="23">
        <v>48</v>
      </c>
      <c r="S449" s="22"/>
      <c r="T449" s="8">
        <v>397</v>
      </c>
    </row>
    <row r="450" spans="5:20">
      <c r="E450" s="6" t="s">
        <v>51</v>
      </c>
      <c r="F450" s="6"/>
      <c r="G450" s="8" t="s">
        <v>52</v>
      </c>
      <c r="H450" s="9">
        <v>100</v>
      </c>
      <c r="I450" s="23">
        <v>100</v>
      </c>
      <c r="J450" s="24"/>
      <c r="K450" s="22"/>
      <c r="L450" s="23">
        <v>100</v>
      </c>
      <c r="M450" s="22"/>
      <c r="N450" s="9">
        <v>100</v>
      </c>
      <c r="O450" s="9">
        <v>100</v>
      </c>
      <c r="P450" s="9">
        <v>100</v>
      </c>
      <c r="Q450" s="9">
        <v>50</v>
      </c>
      <c r="R450" s="23">
        <v>50</v>
      </c>
      <c r="S450" s="22"/>
      <c r="T450" s="8">
        <v>700</v>
      </c>
    </row>
    <row r="451" spans="5:20">
      <c r="E451" s="21" t="s">
        <v>66</v>
      </c>
      <c r="F451" s="22"/>
      <c r="G451" s="8" t="s">
        <v>54</v>
      </c>
      <c r="H451" s="9"/>
      <c r="I451" s="23" t="s">
        <v>55</v>
      </c>
      <c r="J451" s="24"/>
      <c r="K451" s="22"/>
      <c r="L451" s="23" t="s">
        <v>108</v>
      </c>
      <c r="M451" s="22"/>
      <c r="N451" s="9" t="s">
        <v>76</v>
      </c>
      <c r="O451" s="9" t="s">
        <v>76</v>
      </c>
      <c r="P451" s="9"/>
      <c r="Q451" s="9" t="s">
        <v>108</v>
      </c>
      <c r="R451" s="23" t="s">
        <v>93</v>
      </c>
      <c r="S451" s="22"/>
      <c r="T451" s="8" t="s">
        <v>33</v>
      </c>
    </row>
    <row r="452" spans="5:20">
      <c r="E452" s="11" t="s">
        <v>56</v>
      </c>
      <c r="F452" s="11" t="s">
        <v>351</v>
      </c>
      <c r="G452" s="8" t="s">
        <v>58</v>
      </c>
      <c r="H452" s="9" t="s">
        <v>68</v>
      </c>
      <c r="I452" s="23" t="s">
        <v>59</v>
      </c>
      <c r="J452" s="24"/>
      <c r="K452" s="22"/>
      <c r="L452" s="23" t="s">
        <v>59</v>
      </c>
      <c r="M452" s="22"/>
      <c r="N452" s="9" t="s">
        <v>59</v>
      </c>
      <c r="O452" s="9" t="s">
        <v>59</v>
      </c>
      <c r="P452" s="9" t="s">
        <v>68</v>
      </c>
      <c r="Q452" s="9" t="s">
        <v>59</v>
      </c>
      <c r="R452" s="23" t="s">
        <v>59</v>
      </c>
      <c r="S452" s="22"/>
      <c r="T452" s="8" t="s">
        <v>33</v>
      </c>
    </row>
    <row r="453" spans="5:20">
      <c r="E453" s="12" t="s">
        <v>33</v>
      </c>
      <c r="F453" s="12" t="s">
        <v>33</v>
      </c>
      <c r="G453" s="12" t="s">
        <v>33</v>
      </c>
      <c r="H453" s="13" t="s">
        <v>33</v>
      </c>
      <c r="I453" s="20" t="s">
        <v>33</v>
      </c>
      <c r="J453" s="18"/>
      <c r="K453" s="18"/>
      <c r="L453" s="20" t="s">
        <v>33</v>
      </c>
      <c r="M453" s="18"/>
      <c r="N453" s="13" t="s">
        <v>33</v>
      </c>
      <c r="O453" s="13" t="s">
        <v>33</v>
      </c>
      <c r="P453" s="13" t="s">
        <v>33</v>
      </c>
      <c r="Q453" s="13" t="s">
        <v>33</v>
      </c>
      <c r="R453" s="20" t="s">
        <v>33</v>
      </c>
      <c r="S453" s="18"/>
      <c r="T453" s="13" t="s">
        <v>33</v>
      </c>
    </row>
    <row r="454" spans="5:20" ht="0.6" customHeight="1"/>
    <row r="455" spans="5:20">
      <c r="E455" s="31" t="s">
        <v>31</v>
      </c>
      <c r="F455" s="22"/>
      <c r="G455" s="3" t="s">
        <v>32</v>
      </c>
      <c r="H455" s="5" t="s">
        <v>33</v>
      </c>
      <c r="I455" s="32" t="s">
        <v>33</v>
      </c>
      <c r="J455" s="18"/>
      <c r="K455" s="18"/>
      <c r="L455" s="32" t="s">
        <v>33</v>
      </c>
      <c r="M455" s="18"/>
      <c r="N455" s="5" t="s">
        <v>33</v>
      </c>
      <c r="O455" s="5" t="s">
        <v>33</v>
      </c>
      <c r="P455" s="5" t="s">
        <v>33</v>
      </c>
      <c r="Q455" s="5" t="s">
        <v>33</v>
      </c>
      <c r="R455" s="32" t="s">
        <v>33</v>
      </c>
      <c r="S455" s="18"/>
      <c r="T455" s="5" t="s">
        <v>33</v>
      </c>
    </row>
    <row r="456" spans="5:20" ht="21">
      <c r="E456" s="21" t="s">
        <v>352</v>
      </c>
      <c r="F456" s="22"/>
      <c r="G456" s="7" t="s">
        <v>35</v>
      </c>
      <c r="H456" s="7" t="s">
        <v>5</v>
      </c>
      <c r="I456" s="30" t="s">
        <v>7</v>
      </c>
      <c r="J456" s="24"/>
      <c r="K456" s="22"/>
      <c r="L456" s="30" t="s">
        <v>9</v>
      </c>
      <c r="M456" s="22"/>
      <c r="N456" s="7" t="s">
        <v>11</v>
      </c>
      <c r="O456" s="7" t="s">
        <v>15</v>
      </c>
      <c r="P456" s="7" t="s">
        <v>17</v>
      </c>
      <c r="Q456" s="7" t="s">
        <v>21</v>
      </c>
      <c r="R456" s="30" t="s">
        <v>23</v>
      </c>
      <c r="S456" s="22"/>
      <c r="T456" s="7" t="s">
        <v>36</v>
      </c>
    </row>
    <row r="457" spans="5:20" ht="22.5">
      <c r="E457" s="6" t="s">
        <v>37</v>
      </c>
      <c r="F457" s="6" t="s">
        <v>353</v>
      </c>
      <c r="G457" s="8" t="s">
        <v>39</v>
      </c>
      <c r="H457" s="9" t="s">
        <v>354</v>
      </c>
      <c r="I457" s="23" t="s">
        <v>245</v>
      </c>
      <c r="J457" s="24"/>
      <c r="K457" s="22"/>
      <c r="L457" s="23" t="s">
        <v>355</v>
      </c>
      <c r="M457" s="22"/>
      <c r="N457" s="9" t="s">
        <v>356</v>
      </c>
      <c r="O457" s="9" t="s">
        <v>320</v>
      </c>
      <c r="P457" s="9" t="s">
        <v>357</v>
      </c>
      <c r="Q457" s="9" t="s">
        <v>358</v>
      </c>
      <c r="R457" s="23" t="s">
        <v>43</v>
      </c>
      <c r="S457" s="22"/>
      <c r="T457" s="8" t="s">
        <v>33</v>
      </c>
    </row>
    <row r="458" spans="5:20">
      <c r="E458" s="21" t="s">
        <v>359</v>
      </c>
      <c r="F458" s="25"/>
      <c r="G458" s="8" t="s">
        <v>42</v>
      </c>
      <c r="H458" s="9" t="s">
        <v>43</v>
      </c>
      <c r="I458" s="23" t="s">
        <v>43</v>
      </c>
      <c r="J458" s="24"/>
      <c r="K458" s="22"/>
      <c r="L458" s="23" t="s">
        <v>43</v>
      </c>
      <c r="M458" s="22"/>
      <c r="N458" s="9" t="s">
        <v>43</v>
      </c>
      <c r="O458" s="9" t="s">
        <v>43</v>
      </c>
      <c r="P458" s="9" t="s">
        <v>43</v>
      </c>
      <c r="Q458" s="9" t="s">
        <v>43</v>
      </c>
      <c r="R458" s="23" t="s">
        <v>360</v>
      </c>
      <c r="S458" s="22"/>
      <c r="T458" s="8" t="s">
        <v>33</v>
      </c>
    </row>
    <row r="459" spans="5:20">
      <c r="E459" s="26"/>
      <c r="F459" s="27"/>
      <c r="G459" s="8" t="s">
        <v>44</v>
      </c>
      <c r="H459" s="9" t="s">
        <v>33</v>
      </c>
      <c r="I459" s="23" t="s">
        <v>33</v>
      </c>
      <c r="J459" s="24"/>
      <c r="K459" s="22"/>
      <c r="L459" s="23" t="s">
        <v>33</v>
      </c>
      <c r="M459" s="22"/>
      <c r="N459" s="9" t="s">
        <v>33</v>
      </c>
      <c r="O459" s="9" t="s">
        <v>33</v>
      </c>
      <c r="P459" s="9" t="s">
        <v>33</v>
      </c>
      <c r="Q459" s="9" t="s">
        <v>33</v>
      </c>
      <c r="R459" s="23" t="s">
        <v>33</v>
      </c>
      <c r="S459" s="22"/>
      <c r="T459" s="8">
        <v>0</v>
      </c>
    </row>
    <row r="460" spans="5:20">
      <c r="E460" s="28"/>
      <c r="F460" s="29"/>
      <c r="G460" s="8" t="s">
        <v>45</v>
      </c>
      <c r="H460" s="9">
        <v>4</v>
      </c>
      <c r="I460" s="23">
        <v>4</v>
      </c>
      <c r="J460" s="24"/>
      <c r="K460" s="22"/>
      <c r="L460" s="23">
        <v>4</v>
      </c>
      <c r="M460" s="22"/>
      <c r="N460" s="9">
        <v>3</v>
      </c>
      <c r="O460" s="9">
        <v>3</v>
      </c>
      <c r="P460" s="9">
        <v>3</v>
      </c>
      <c r="Q460" s="9">
        <v>2</v>
      </c>
      <c r="R460" s="23">
        <v>2</v>
      </c>
      <c r="S460" s="22"/>
      <c r="T460" s="8">
        <v>25</v>
      </c>
    </row>
    <row r="461" spans="5:20">
      <c r="E461" s="6" t="s">
        <v>46</v>
      </c>
      <c r="F461" s="6">
        <v>7.2</v>
      </c>
      <c r="G461" s="8" t="s">
        <v>47</v>
      </c>
      <c r="H461" s="9">
        <v>5.5</v>
      </c>
      <c r="I461" s="23">
        <v>7.5</v>
      </c>
      <c r="J461" s="24"/>
      <c r="K461" s="22"/>
      <c r="L461" s="23">
        <v>9</v>
      </c>
      <c r="M461" s="22"/>
      <c r="N461" s="9">
        <v>7</v>
      </c>
      <c r="O461" s="9">
        <v>6.5</v>
      </c>
      <c r="P461" s="9">
        <v>5.5</v>
      </c>
      <c r="Q461" s="9">
        <v>8.5</v>
      </c>
      <c r="R461" s="23">
        <v>9</v>
      </c>
      <c r="S461" s="22"/>
      <c r="T461" s="8" t="s">
        <v>33</v>
      </c>
    </row>
    <row r="462" spans="5:20">
      <c r="E462" s="6" t="s">
        <v>48</v>
      </c>
      <c r="F462" s="10">
        <v>7.01</v>
      </c>
      <c r="G462" s="8" t="s">
        <v>49</v>
      </c>
      <c r="H462" s="9">
        <v>22</v>
      </c>
      <c r="I462" s="23">
        <v>30</v>
      </c>
      <c r="J462" s="24"/>
      <c r="K462" s="22"/>
      <c r="L462" s="23">
        <v>36</v>
      </c>
      <c r="M462" s="22"/>
      <c r="N462" s="9">
        <v>21</v>
      </c>
      <c r="O462" s="9">
        <v>19.5</v>
      </c>
      <c r="P462" s="9">
        <v>16.5</v>
      </c>
      <c r="Q462" s="9">
        <v>17</v>
      </c>
      <c r="R462" s="23">
        <v>18</v>
      </c>
      <c r="S462" s="22"/>
      <c r="T462" s="8">
        <v>180</v>
      </c>
    </row>
    <row r="463" spans="5:20">
      <c r="E463" s="21" t="s">
        <v>50</v>
      </c>
      <c r="F463" s="22"/>
      <c r="G463" s="8" t="s">
        <v>36</v>
      </c>
      <c r="H463" s="9">
        <v>52</v>
      </c>
      <c r="I463" s="23">
        <v>70</v>
      </c>
      <c r="J463" s="24"/>
      <c r="K463" s="22"/>
      <c r="L463" s="23">
        <v>86</v>
      </c>
      <c r="M463" s="22"/>
      <c r="N463" s="9">
        <v>67</v>
      </c>
      <c r="O463" s="9">
        <v>62</v>
      </c>
      <c r="P463" s="9">
        <v>50</v>
      </c>
      <c r="Q463" s="9">
        <v>40</v>
      </c>
      <c r="R463" s="23">
        <v>44</v>
      </c>
      <c r="S463" s="22"/>
      <c r="T463" s="8">
        <v>471</v>
      </c>
    </row>
    <row r="464" spans="5:20">
      <c r="E464" s="6" t="s">
        <v>51</v>
      </c>
      <c r="F464" s="6"/>
      <c r="G464" s="8" t="s">
        <v>52</v>
      </c>
      <c r="H464" s="9">
        <v>100</v>
      </c>
      <c r="I464" s="23">
        <v>100</v>
      </c>
      <c r="J464" s="24"/>
      <c r="K464" s="22"/>
      <c r="L464" s="23">
        <v>100</v>
      </c>
      <c r="M464" s="22"/>
      <c r="N464" s="9">
        <v>100</v>
      </c>
      <c r="O464" s="9">
        <v>100</v>
      </c>
      <c r="P464" s="9">
        <v>100</v>
      </c>
      <c r="Q464" s="9">
        <v>50</v>
      </c>
      <c r="R464" s="23">
        <v>50</v>
      </c>
      <c r="S464" s="22"/>
      <c r="T464" s="8">
        <v>700</v>
      </c>
    </row>
    <row r="465" spans="5:20">
      <c r="E465" s="21" t="s">
        <v>361</v>
      </c>
      <c r="F465" s="22"/>
      <c r="G465" s="8" t="s">
        <v>54</v>
      </c>
      <c r="H465" s="9" t="s">
        <v>123</v>
      </c>
      <c r="I465" s="23" t="s">
        <v>108</v>
      </c>
      <c r="J465" s="24"/>
      <c r="K465" s="22"/>
      <c r="L465" s="23" t="s">
        <v>122</v>
      </c>
      <c r="M465" s="22"/>
      <c r="N465" s="9" t="s">
        <v>109</v>
      </c>
      <c r="O465" s="9" t="s">
        <v>76</v>
      </c>
      <c r="P465" s="9" t="s">
        <v>123</v>
      </c>
      <c r="Q465" s="9" t="s">
        <v>95</v>
      </c>
      <c r="R465" s="23" t="s">
        <v>122</v>
      </c>
      <c r="S465" s="22"/>
      <c r="T465" s="8" t="s">
        <v>33</v>
      </c>
    </row>
    <row r="466" spans="5:20">
      <c r="E466" s="11" t="s">
        <v>56</v>
      </c>
      <c r="F466" s="11" t="s">
        <v>362</v>
      </c>
      <c r="G466" s="8" t="s">
        <v>58</v>
      </c>
      <c r="H466" s="9" t="s">
        <v>59</v>
      </c>
      <c r="I466" s="23" t="s">
        <v>59</v>
      </c>
      <c r="J466" s="24"/>
      <c r="K466" s="22"/>
      <c r="L466" s="23" t="s">
        <v>59</v>
      </c>
      <c r="M466" s="22"/>
      <c r="N466" s="9" t="s">
        <v>59</v>
      </c>
      <c r="O466" s="9" t="s">
        <v>59</v>
      </c>
      <c r="P466" s="9" t="s">
        <v>59</v>
      </c>
      <c r="Q466" s="9" t="s">
        <v>59</v>
      </c>
      <c r="R466" s="23" t="s">
        <v>59</v>
      </c>
      <c r="S466" s="22"/>
      <c r="T466" s="8" t="s">
        <v>33</v>
      </c>
    </row>
    <row r="467" spans="5:20">
      <c r="E467" s="12" t="s">
        <v>33</v>
      </c>
      <c r="F467" s="12" t="s">
        <v>33</v>
      </c>
      <c r="G467" s="12" t="s">
        <v>33</v>
      </c>
      <c r="H467" s="13" t="s">
        <v>33</v>
      </c>
      <c r="I467" s="20" t="s">
        <v>33</v>
      </c>
      <c r="J467" s="18"/>
      <c r="K467" s="18"/>
      <c r="L467" s="20" t="s">
        <v>33</v>
      </c>
      <c r="M467" s="18"/>
      <c r="N467" s="13" t="s">
        <v>33</v>
      </c>
      <c r="O467" s="13" t="s">
        <v>33</v>
      </c>
      <c r="P467" s="13" t="s">
        <v>33</v>
      </c>
      <c r="Q467" s="13" t="s">
        <v>33</v>
      </c>
      <c r="R467" s="20" t="s">
        <v>33</v>
      </c>
      <c r="S467" s="18"/>
      <c r="T467" s="13" t="s">
        <v>33</v>
      </c>
    </row>
    <row r="468" spans="5:20" ht="0" hidden="1" customHeight="1"/>
    <row r="469" spans="5:20" ht="0.6" customHeight="1"/>
    <row r="470" spans="5:20">
      <c r="E470" s="31" t="s">
        <v>31</v>
      </c>
      <c r="F470" s="22"/>
      <c r="G470" s="3" t="s">
        <v>32</v>
      </c>
      <c r="H470" s="5" t="s">
        <v>33</v>
      </c>
      <c r="I470" s="32" t="s">
        <v>33</v>
      </c>
      <c r="J470" s="18"/>
      <c r="K470" s="18"/>
      <c r="L470" s="32" t="s">
        <v>33</v>
      </c>
      <c r="M470" s="18"/>
      <c r="N470" s="5" t="s">
        <v>33</v>
      </c>
      <c r="O470" s="5" t="s">
        <v>33</v>
      </c>
      <c r="P470" s="5" t="s">
        <v>33</v>
      </c>
      <c r="Q470" s="5" t="s">
        <v>33</v>
      </c>
      <c r="R470" s="32" t="s">
        <v>33</v>
      </c>
      <c r="S470" s="18"/>
      <c r="T470" s="5" t="s">
        <v>33</v>
      </c>
    </row>
    <row r="471" spans="5:20" ht="21">
      <c r="E471" s="21" t="s">
        <v>363</v>
      </c>
      <c r="F471" s="22"/>
      <c r="G471" s="7" t="s">
        <v>35</v>
      </c>
      <c r="H471" s="7" t="s">
        <v>5</v>
      </c>
      <c r="I471" s="30" t="s">
        <v>7</v>
      </c>
      <c r="J471" s="24"/>
      <c r="K471" s="22"/>
      <c r="L471" s="30" t="s">
        <v>9</v>
      </c>
      <c r="M471" s="22"/>
      <c r="N471" s="7" t="s">
        <v>11</v>
      </c>
      <c r="O471" s="7" t="s">
        <v>15</v>
      </c>
      <c r="P471" s="7" t="s">
        <v>17</v>
      </c>
      <c r="Q471" s="7" t="s">
        <v>21</v>
      </c>
      <c r="R471" s="30" t="s">
        <v>25</v>
      </c>
      <c r="S471" s="22"/>
      <c r="T471" s="7" t="s">
        <v>36</v>
      </c>
    </row>
    <row r="472" spans="5:20" ht="22.5">
      <c r="E472" s="6" t="s">
        <v>37</v>
      </c>
      <c r="F472" s="6" t="s">
        <v>364</v>
      </c>
      <c r="G472" s="8" t="s">
        <v>39</v>
      </c>
      <c r="H472" s="9" t="s">
        <v>190</v>
      </c>
      <c r="I472" s="23" t="s">
        <v>344</v>
      </c>
      <c r="J472" s="24"/>
      <c r="K472" s="22"/>
      <c r="L472" s="23" t="s">
        <v>365</v>
      </c>
      <c r="M472" s="22"/>
      <c r="N472" s="9" t="s">
        <v>366</v>
      </c>
      <c r="O472" s="9" t="s">
        <v>367</v>
      </c>
      <c r="P472" s="9" t="s">
        <v>368</v>
      </c>
      <c r="Q472" s="9" t="s">
        <v>369</v>
      </c>
      <c r="R472" s="23" t="s">
        <v>43</v>
      </c>
      <c r="S472" s="22"/>
      <c r="T472" s="8" t="s">
        <v>33</v>
      </c>
    </row>
    <row r="473" spans="5:20">
      <c r="E473" s="21" t="s">
        <v>370</v>
      </c>
      <c r="F473" s="25"/>
      <c r="G473" s="8" t="s">
        <v>42</v>
      </c>
      <c r="H473" s="9" t="s">
        <v>43</v>
      </c>
      <c r="I473" s="23" t="s">
        <v>43</v>
      </c>
      <c r="J473" s="24"/>
      <c r="K473" s="22"/>
      <c r="L473" s="23" t="s">
        <v>43</v>
      </c>
      <c r="M473" s="22"/>
      <c r="N473" s="9" t="s">
        <v>43</v>
      </c>
      <c r="O473" s="9" t="s">
        <v>43</v>
      </c>
      <c r="P473" s="9" t="s">
        <v>43</v>
      </c>
      <c r="Q473" s="9" t="s">
        <v>43</v>
      </c>
      <c r="R473" s="23" t="s">
        <v>107</v>
      </c>
      <c r="S473" s="22"/>
      <c r="T473" s="8" t="s">
        <v>33</v>
      </c>
    </row>
    <row r="474" spans="5:20">
      <c r="E474" s="26"/>
      <c r="F474" s="27"/>
      <c r="G474" s="8" t="s">
        <v>44</v>
      </c>
      <c r="H474" s="9" t="s">
        <v>33</v>
      </c>
      <c r="I474" s="23" t="s">
        <v>33</v>
      </c>
      <c r="J474" s="24"/>
      <c r="K474" s="22"/>
      <c r="L474" s="23" t="s">
        <v>33</v>
      </c>
      <c r="M474" s="22"/>
      <c r="N474" s="9" t="s">
        <v>33</v>
      </c>
      <c r="O474" s="9" t="s">
        <v>33</v>
      </c>
      <c r="P474" s="9" t="s">
        <v>33</v>
      </c>
      <c r="Q474" s="9" t="s">
        <v>33</v>
      </c>
      <c r="R474" s="23" t="s">
        <v>33</v>
      </c>
      <c r="S474" s="22"/>
      <c r="T474" s="8">
        <v>0</v>
      </c>
    </row>
    <row r="475" spans="5:20">
      <c r="E475" s="28"/>
      <c r="F475" s="29"/>
      <c r="G475" s="8" t="s">
        <v>45</v>
      </c>
      <c r="H475" s="9">
        <v>4</v>
      </c>
      <c r="I475" s="23">
        <v>4</v>
      </c>
      <c r="J475" s="24"/>
      <c r="K475" s="22"/>
      <c r="L475" s="23">
        <v>4</v>
      </c>
      <c r="M475" s="22"/>
      <c r="N475" s="9">
        <v>3</v>
      </c>
      <c r="O475" s="9">
        <v>3</v>
      </c>
      <c r="P475" s="9">
        <v>3</v>
      </c>
      <c r="Q475" s="9">
        <v>2</v>
      </c>
      <c r="R475" s="23">
        <v>2</v>
      </c>
      <c r="S475" s="22"/>
      <c r="T475" s="8">
        <v>25</v>
      </c>
    </row>
    <row r="476" spans="5:20">
      <c r="E476" s="6" t="s">
        <v>46</v>
      </c>
      <c r="F476" s="6">
        <v>6.4</v>
      </c>
      <c r="G476" s="8" t="s">
        <v>47</v>
      </c>
      <c r="H476" s="9">
        <v>6.5</v>
      </c>
      <c r="I476" s="23">
        <v>5</v>
      </c>
      <c r="J476" s="24"/>
      <c r="K476" s="22"/>
      <c r="L476" s="23">
        <v>7</v>
      </c>
      <c r="M476" s="22"/>
      <c r="N476" s="9">
        <v>6</v>
      </c>
      <c r="O476" s="9">
        <v>6.5</v>
      </c>
      <c r="P476" s="9">
        <v>4.5</v>
      </c>
      <c r="Q476" s="9">
        <v>7.5</v>
      </c>
      <c r="R476" s="23">
        <v>10</v>
      </c>
      <c r="S476" s="22"/>
      <c r="T476" s="8" t="s">
        <v>33</v>
      </c>
    </row>
    <row r="477" spans="5:20">
      <c r="E477" s="6" t="s">
        <v>48</v>
      </c>
      <c r="F477" s="10">
        <v>6.49</v>
      </c>
      <c r="G477" s="8" t="s">
        <v>49</v>
      </c>
      <c r="H477" s="9">
        <v>26</v>
      </c>
      <c r="I477" s="23">
        <v>20</v>
      </c>
      <c r="J477" s="24"/>
      <c r="K477" s="22"/>
      <c r="L477" s="23">
        <v>28</v>
      </c>
      <c r="M477" s="22"/>
      <c r="N477" s="9">
        <v>18</v>
      </c>
      <c r="O477" s="9">
        <v>19.5</v>
      </c>
      <c r="P477" s="9">
        <v>13.5</v>
      </c>
      <c r="Q477" s="9">
        <v>15</v>
      </c>
      <c r="R477" s="23">
        <v>20</v>
      </c>
      <c r="S477" s="22"/>
      <c r="T477" s="8">
        <v>160</v>
      </c>
    </row>
    <row r="478" spans="5:20">
      <c r="E478" s="21" t="s">
        <v>50</v>
      </c>
      <c r="F478" s="22"/>
      <c r="G478" s="8" t="s">
        <v>36</v>
      </c>
      <c r="H478" s="9">
        <v>61</v>
      </c>
      <c r="I478" s="23">
        <v>49</v>
      </c>
      <c r="J478" s="24"/>
      <c r="K478" s="22"/>
      <c r="L478" s="23">
        <v>68</v>
      </c>
      <c r="M478" s="22"/>
      <c r="N478" s="9">
        <v>59</v>
      </c>
      <c r="O478" s="9">
        <v>62</v>
      </c>
      <c r="P478" s="9">
        <v>41</v>
      </c>
      <c r="Q478" s="9">
        <v>35</v>
      </c>
      <c r="R478" s="23">
        <v>48</v>
      </c>
      <c r="S478" s="22"/>
      <c r="T478" s="8">
        <v>423</v>
      </c>
    </row>
    <row r="479" spans="5:20">
      <c r="E479" s="6" t="s">
        <v>51</v>
      </c>
      <c r="F479" s="6"/>
      <c r="G479" s="8" t="s">
        <v>52</v>
      </c>
      <c r="H479" s="9">
        <v>100</v>
      </c>
      <c r="I479" s="23">
        <v>100</v>
      </c>
      <c r="J479" s="24"/>
      <c r="K479" s="22"/>
      <c r="L479" s="23">
        <v>100</v>
      </c>
      <c r="M479" s="22"/>
      <c r="N479" s="9">
        <v>100</v>
      </c>
      <c r="O479" s="9">
        <v>100</v>
      </c>
      <c r="P479" s="9">
        <v>100</v>
      </c>
      <c r="Q479" s="9">
        <v>50</v>
      </c>
      <c r="R479" s="23">
        <v>50</v>
      </c>
      <c r="S479" s="22"/>
      <c r="T479" s="8">
        <v>700</v>
      </c>
    </row>
    <row r="480" spans="5:20">
      <c r="E480" s="21" t="s">
        <v>53</v>
      </c>
      <c r="F480" s="22"/>
      <c r="G480" s="8" t="s">
        <v>54</v>
      </c>
      <c r="H480" s="9" t="s">
        <v>76</v>
      </c>
      <c r="I480" s="23" t="s">
        <v>55</v>
      </c>
      <c r="J480" s="24"/>
      <c r="K480" s="22"/>
      <c r="L480" s="23" t="s">
        <v>109</v>
      </c>
      <c r="M480" s="22"/>
      <c r="N480" s="9" t="s">
        <v>147</v>
      </c>
      <c r="O480" s="9" t="s">
        <v>76</v>
      </c>
      <c r="P480" s="9" t="s">
        <v>75</v>
      </c>
      <c r="Q480" s="9" t="s">
        <v>108</v>
      </c>
      <c r="R480" s="23" t="s">
        <v>93</v>
      </c>
      <c r="S480" s="22"/>
      <c r="T480" s="8" t="s">
        <v>33</v>
      </c>
    </row>
    <row r="481" spans="5:20">
      <c r="E481" s="11" t="s">
        <v>56</v>
      </c>
      <c r="F481" s="11" t="s">
        <v>371</v>
      </c>
      <c r="G481" s="8" t="s">
        <v>58</v>
      </c>
      <c r="H481" s="9" t="s">
        <v>59</v>
      </c>
      <c r="I481" s="23" t="s">
        <v>59</v>
      </c>
      <c r="J481" s="24"/>
      <c r="K481" s="22"/>
      <c r="L481" s="23" t="s">
        <v>59</v>
      </c>
      <c r="M481" s="22"/>
      <c r="N481" s="9" t="s">
        <v>59</v>
      </c>
      <c r="O481" s="9" t="s">
        <v>59</v>
      </c>
      <c r="P481" s="9" t="s">
        <v>59</v>
      </c>
      <c r="Q481" s="9" t="s">
        <v>59</v>
      </c>
      <c r="R481" s="23" t="s">
        <v>59</v>
      </c>
      <c r="S481" s="22"/>
      <c r="T481" s="8" t="s">
        <v>33</v>
      </c>
    </row>
    <row r="482" spans="5:20">
      <c r="E482" s="12" t="s">
        <v>33</v>
      </c>
      <c r="F482" s="12" t="s">
        <v>33</v>
      </c>
      <c r="G482" s="12" t="s">
        <v>33</v>
      </c>
      <c r="H482" s="13" t="s">
        <v>33</v>
      </c>
      <c r="I482" s="20" t="s">
        <v>33</v>
      </c>
      <c r="J482" s="18"/>
      <c r="K482" s="18"/>
      <c r="L482" s="20" t="s">
        <v>33</v>
      </c>
      <c r="M482" s="18"/>
      <c r="N482" s="13" t="s">
        <v>33</v>
      </c>
      <c r="O482" s="13" t="s">
        <v>33</v>
      </c>
      <c r="P482" s="13" t="s">
        <v>33</v>
      </c>
      <c r="Q482" s="13" t="s">
        <v>33</v>
      </c>
      <c r="R482" s="20" t="s">
        <v>33</v>
      </c>
      <c r="S482" s="18"/>
      <c r="T482" s="13" t="s">
        <v>33</v>
      </c>
    </row>
    <row r="483" spans="5:20" ht="0" hidden="1" customHeight="1"/>
    <row r="484" spans="5:20" ht="0.6" customHeight="1"/>
    <row r="485" spans="5:20">
      <c r="E485" s="31" t="s">
        <v>31</v>
      </c>
      <c r="F485" s="22"/>
      <c r="G485" s="3" t="s">
        <v>32</v>
      </c>
      <c r="H485" s="5" t="s">
        <v>33</v>
      </c>
      <c r="I485" s="32" t="s">
        <v>33</v>
      </c>
      <c r="J485" s="18"/>
      <c r="K485" s="18"/>
      <c r="L485" s="32" t="s">
        <v>33</v>
      </c>
      <c r="M485" s="18"/>
      <c r="N485" s="5" t="s">
        <v>33</v>
      </c>
      <c r="O485" s="5" t="s">
        <v>33</v>
      </c>
      <c r="P485" s="5" t="s">
        <v>33</v>
      </c>
      <c r="Q485" s="5" t="s">
        <v>33</v>
      </c>
      <c r="R485" s="32" t="s">
        <v>33</v>
      </c>
      <c r="S485" s="18"/>
      <c r="T485" s="5" t="s">
        <v>33</v>
      </c>
    </row>
    <row r="486" spans="5:20" ht="21">
      <c r="E486" s="21" t="s">
        <v>372</v>
      </c>
      <c r="F486" s="22"/>
      <c r="G486" s="7" t="s">
        <v>35</v>
      </c>
      <c r="H486" s="7" t="s">
        <v>5</v>
      </c>
      <c r="I486" s="30" t="s">
        <v>7</v>
      </c>
      <c r="J486" s="24"/>
      <c r="K486" s="22"/>
      <c r="L486" s="30" t="s">
        <v>9</v>
      </c>
      <c r="M486" s="22"/>
      <c r="N486" s="7" t="s">
        <v>11</v>
      </c>
      <c r="O486" s="7" t="s">
        <v>15</v>
      </c>
      <c r="P486" s="7" t="s">
        <v>17</v>
      </c>
      <c r="Q486" s="7" t="s">
        <v>21</v>
      </c>
      <c r="R486" s="30" t="s">
        <v>25</v>
      </c>
      <c r="S486" s="22"/>
      <c r="T486" s="7" t="s">
        <v>36</v>
      </c>
    </row>
    <row r="487" spans="5:20" ht="22.5">
      <c r="E487" s="6" t="s">
        <v>37</v>
      </c>
      <c r="F487" s="6" t="s">
        <v>373</v>
      </c>
      <c r="G487" s="8" t="s">
        <v>39</v>
      </c>
      <c r="H487" s="9" t="s">
        <v>374</v>
      </c>
      <c r="I487" s="23" t="s">
        <v>375</v>
      </c>
      <c r="J487" s="24"/>
      <c r="K487" s="22"/>
      <c r="L487" s="23" t="s">
        <v>376</v>
      </c>
      <c r="M487" s="22"/>
      <c r="N487" s="9" t="s">
        <v>264</v>
      </c>
      <c r="O487" s="9" t="s">
        <v>238</v>
      </c>
      <c r="P487" s="9" t="s">
        <v>377</v>
      </c>
      <c r="Q487" s="9" t="s">
        <v>378</v>
      </c>
      <c r="R487" s="23" t="s">
        <v>43</v>
      </c>
      <c r="S487" s="22"/>
      <c r="T487" s="8" t="s">
        <v>33</v>
      </c>
    </row>
    <row r="488" spans="5:20">
      <c r="E488" s="21" t="s">
        <v>379</v>
      </c>
      <c r="F488" s="25"/>
      <c r="G488" s="8" t="s">
        <v>42</v>
      </c>
      <c r="H488" s="9" t="s">
        <v>43</v>
      </c>
      <c r="I488" s="23" t="s">
        <v>43</v>
      </c>
      <c r="J488" s="24"/>
      <c r="K488" s="22"/>
      <c r="L488" s="23" t="s">
        <v>43</v>
      </c>
      <c r="M488" s="22"/>
      <c r="N488" s="9" t="s">
        <v>43</v>
      </c>
      <c r="O488" s="9" t="s">
        <v>43</v>
      </c>
      <c r="P488" s="9" t="s">
        <v>43</v>
      </c>
      <c r="Q488" s="9" t="s">
        <v>43</v>
      </c>
      <c r="R488" s="23" t="s">
        <v>107</v>
      </c>
      <c r="S488" s="22"/>
      <c r="T488" s="8" t="s">
        <v>33</v>
      </c>
    </row>
    <row r="489" spans="5:20">
      <c r="E489" s="26"/>
      <c r="F489" s="27"/>
      <c r="G489" s="8" t="s">
        <v>44</v>
      </c>
      <c r="H489" s="9" t="s">
        <v>33</v>
      </c>
      <c r="I489" s="23" t="s">
        <v>33</v>
      </c>
      <c r="J489" s="24"/>
      <c r="K489" s="22"/>
      <c r="L489" s="23" t="s">
        <v>33</v>
      </c>
      <c r="M489" s="22"/>
      <c r="N489" s="9" t="s">
        <v>33</v>
      </c>
      <c r="O489" s="9" t="s">
        <v>33</v>
      </c>
      <c r="P489" s="9">
        <v>2</v>
      </c>
      <c r="Q489" s="9" t="s">
        <v>33</v>
      </c>
      <c r="R489" s="23" t="s">
        <v>33</v>
      </c>
      <c r="S489" s="22"/>
      <c r="T489" s="8">
        <v>2</v>
      </c>
    </row>
    <row r="490" spans="5:20">
      <c r="E490" s="28"/>
      <c r="F490" s="29"/>
      <c r="G490" s="8" t="s">
        <v>45</v>
      </c>
      <c r="H490" s="9">
        <v>4</v>
      </c>
      <c r="I490" s="23">
        <v>4</v>
      </c>
      <c r="J490" s="24"/>
      <c r="K490" s="22"/>
      <c r="L490" s="23">
        <v>4</v>
      </c>
      <c r="M490" s="22"/>
      <c r="N490" s="9">
        <v>3</v>
      </c>
      <c r="O490" s="9">
        <v>3</v>
      </c>
      <c r="P490" s="9">
        <v>3</v>
      </c>
      <c r="Q490" s="9">
        <v>2</v>
      </c>
      <c r="R490" s="23">
        <v>2</v>
      </c>
      <c r="S490" s="22"/>
      <c r="T490" s="8">
        <v>25</v>
      </c>
    </row>
    <row r="491" spans="5:20">
      <c r="E491" s="6" t="s">
        <v>46</v>
      </c>
      <c r="F491" s="6">
        <v>6.28</v>
      </c>
      <c r="G491" s="8" t="s">
        <v>47</v>
      </c>
      <c r="H491" s="9">
        <v>5.5</v>
      </c>
      <c r="I491" s="23">
        <v>5</v>
      </c>
      <c r="J491" s="24"/>
      <c r="K491" s="22"/>
      <c r="L491" s="23">
        <v>7</v>
      </c>
      <c r="M491" s="22"/>
      <c r="N491" s="9">
        <v>6</v>
      </c>
      <c r="O491" s="9">
        <v>7.5</v>
      </c>
      <c r="P491" s="9">
        <v>4.5</v>
      </c>
      <c r="Q491" s="9">
        <v>6.5</v>
      </c>
      <c r="R491" s="23">
        <v>10</v>
      </c>
      <c r="S491" s="22"/>
      <c r="T491" s="8" t="s">
        <v>33</v>
      </c>
    </row>
    <row r="492" spans="5:20">
      <c r="E492" s="6" t="s">
        <v>48</v>
      </c>
      <c r="F492" s="10">
        <v>6.59</v>
      </c>
      <c r="G492" s="8" t="s">
        <v>49</v>
      </c>
      <c r="H492" s="9">
        <v>22</v>
      </c>
      <c r="I492" s="23">
        <v>20</v>
      </c>
      <c r="J492" s="24"/>
      <c r="K492" s="22"/>
      <c r="L492" s="23">
        <v>28</v>
      </c>
      <c r="M492" s="22"/>
      <c r="N492" s="9">
        <v>18</v>
      </c>
      <c r="O492" s="9">
        <v>22.5</v>
      </c>
      <c r="P492" s="9">
        <v>13.5</v>
      </c>
      <c r="Q492" s="9">
        <v>13</v>
      </c>
      <c r="R492" s="23">
        <v>20</v>
      </c>
      <c r="S492" s="22"/>
      <c r="T492" s="8">
        <v>157</v>
      </c>
    </row>
    <row r="493" spans="5:20">
      <c r="E493" s="21" t="s">
        <v>50</v>
      </c>
      <c r="F493" s="22"/>
      <c r="G493" s="8" t="s">
        <v>36</v>
      </c>
      <c r="H493" s="9">
        <v>54</v>
      </c>
      <c r="I493" s="23">
        <v>49</v>
      </c>
      <c r="J493" s="24"/>
      <c r="K493" s="22"/>
      <c r="L493" s="23">
        <v>68</v>
      </c>
      <c r="M493" s="22"/>
      <c r="N493" s="9">
        <v>55</v>
      </c>
      <c r="O493" s="9">
        <v>70</v>
      </c>
      <c r="P493" s="9">
        <v>40</v>
      </c>
      <c r="Q493" s="9">
        <v>32</v>
      </c>
      <c r="R493" s="23">
        <v>48</v>
      </c>
      <c r="S493" s="22"/>
      <c r="T493" s="8">
        <v>416</v>
      </c>
    </row>
    <row r="494" spans="5:20">
      <c r="E494" s="6" t="s">
        <v>51</v>
      </c>
      <c r="F494" s="6"/>
      <c r="G494" s="8" t="s">
        <v>52</v>
      </c>
      <c r="H494" s="9">
        <v>100</v>
      </c>
      <c r="I494" s="23">
        <v>100</v>
      </c>
      <c r="J494" s="24"/>
      <c r="K494" s="22"/>
      <c r="L494" s="23">
        <v>100</v>
      </c>
      <c r="M494" s="22"/>
      <c r="N494" s="9">
        <v>100</v>
      </c>
      <c r="O494" s="9">
        <v>100</v>
      </c>
      <c r="P494" s="9">
        <v>100</v>
      </c>
      <c r="Q494" s="9">
        <v>50</v>
      </c>
      <c r="R494" s="23">
        <v>50</v>
      </c>
      <c r="S494" s="22"/>
      <c r="T494" s="8">
        <v>700</v>
      </c>
    </row>
    <row r="495" spans="5:20">
      <c r="E495" s="21" t="s">
        <v>53</v>
      </c>
      <c r="F495" s="22"/>
      <c r="G495" s="8" t="s">
        <v>54</v>
      </c>
      <c r="H495" s="9" t="s">
        <v>123</v>
      </c>
      <c r="I495" s="23" t="s">
        <v>55</v>
      </c>
      <c r="J495" s="24"/>
      <c r="K495" s="22"/>
      <c r="L495" s="23" t="s">
        <v>109</v>
      </c>
      <c r="M495" s="22"/>
      <c r="N495" s="9" t="s">
        <v>147</v>
      </c>
      <c r="O495" s="9" t="s">
        <v>108</v>
      </c>
      <c r="P495" s="9" t="s">
        <v>75</v>
      </c>
      <c r="Q495" s="9" t="s">
        <v>76</v>
      </c>
      <c r="R495" s="23" t="s">
        <v>93</v>
      </c>
      <c r="S495" s="22"/>
      <c r="T495" s="8" t="s">
        <v>33</v>
      </c>
    </row>
    <row r="496" spans="5:20">
      <c r="E496" s="11" t="s">
        <v>56</v>
      </c>
      <c r="F496" s="11" t="s">
        <v>380</v>
      </c>
      <c r="G496" s="8" t="s">
        <v>58</v>
      </c>
      <c r="H496" s="9" t="s">
        <v>59</v>
      </c>
      <c r="I496" s="23" t="s">
        <v>59</v>
      </c>
      <c r="J496" s="24"/>
      <c r="K496" s="22"/>
      <c r="L496" s="23" t="s">
        <v>59</v>
      </c>
      <c r="M496" s="22"/>
      <c r="N496" s="9" t="s">
        <v>59</v>
      </c>
      <c r="O496" s="9" t="s">
        <v>59</v>
      </c>
      <c r="P496" s="9" t="s">
        <v>59</v>
      </c>
      <c r="Q496" s="9" t="s">
        <v>59</v>
      </c>
      <c r="R496" s="23" t="s">
        <v>59</v>
      </c>
      <c r="S496" s="22"/>
      <c r="T496" s="8" t="s">
        <v>33</v>
      </c>
    </row>
    <row r="497" spans="5:20">
      <c r="E497" s="12" t="s">
        <v>33</v>
      </c>
      <c r="F497" s="12" t="s">
        <v>33</v>
      </c>
      <c r="G497" s="12" t="s">
        <v>33</v>
      </c>
      <c r="H497" s="13" t="s">
        <v>33</v>
      </c>
      <c r="I497" s="20" t="s">
        <v>33</v>
      </c>
      <c r="J497" s="18"/>
      <c r="K497" s="18"/>
      <c r="L497" s="20" t="s">
        <v>33</v>
      </c>
      <c r="M497" s="18"/>
      <c r="N497" s="13" t="s">
        <v>33</v>
      </c>
      <c r="O497" s="13" t="s">
        <v>33</v>
      </c>
      <c r="P497" s="13" t="s">
        <v>33</v>
      </c>
      <c r="Q497" s="13" t="s">
        <v>33</v>
      </c>
      <c r="R497" s="20" t="s">
        <v>33</v>
      </c>
      <c r="S497" s="18"/>
      <c r="T497" s="13" t="s">
        <v>33</v>
      </c>
    </row>
    <row r="498" spans="5:20" ht="0" hidden="1" customHeight="1"/>
    <row r="499" spans="5:20" ht="0.6" customHeight="1"/>
    <row r="500" spans="5:20">
      <c r="E500" s="31" t="s">
        <v>31</v>
      </c>
      <c r="F500" s="22"/>
      <c r="G500" s="3" t="s">
        <v>32</v>
      </c>
      <c r="H500" s="5" t="s">
        <v>33</v>
      </c>
      <c r="I500" s="32" t="s">
        <v>33</v>
      </c>
      <c r="J500" s="18"/>
      <c r="K500" s="18"/>
      <c r="L500" s="32" t="s">
        <v>33</v>
      </c>
      <c r="M500" s="18"/>
      <c r="N500" s="5" t="s">
        <v>33</v>
      </c>
      <c r="O500" s="5" t="s">
        <v>33</v>
      </c>
      <c r="P500" s="5" t="s">
        <v>33</v>
      </c>
      <c r="Q500" s="5" t="s">
        <v>33</v>
      </c>
      <c r="R500" s="32" t="s">
        <v>33</v>
      </c>
      <c r="S500" s="18"/>
      <c r="T500" s="5" t="s">
        <v>33</v>
      </c>
    </row>
    <row r="501" spans="5:20" ht="21">
      <c r="E501" s="21" t="s">
        <v>381</v>
      </c>
      <c r="F501" s="22"/>
      <c r="G501" s="7" t="s">
        <v>35</v>
      </c>
      <c r="H501" s="7" t="s">
        <v>5</v>
      </c>
      <c r="I501" s="30" t="s">
        <v>7</v>
      </c>
      <c r="J501" s="24"/>
      <c r="K501" s="22"/>
      <c r="L501" s="30" t="s">
        <v>9</v>
      </c>
      <c r="M501" s="22"/>
      <c r="N501" s="7" t="s">
        <v>11</v>
      </c>
      <c r="O501" s="7" t="s">
        <v>15</v>
      </c>
      <c r="P501" s="7" t="s">
        <v>17</v>
      </c>
      <c r="Q501" s="7" t="s">
        <v>21</v>
      </c>
      <c r="R501" s="30" t="s">
        <v>27</v>
      </c>
      <c r="S501" s="22"/>
      <c r="T501" s="7" t="s">
        <v>36</v>
      </c>
    </row>
    <row r="502" spans="5:20" ht="22.5">
      <c r="E502" s="6" t="s">
        <v>37</v>
      </c>
      <c r="F502" s="6" t="s">
        <v>382</v>
      </c>
      <c r="G502" s="8" t="s">
        <v>39</v>
      </c>
      <c r="H502" s="9" t="s">
        <v>85</v>
      </c>
      <c r="I502" s="23" t="s">
        <v>187</v>
      </c>
      <c r="J502" s="24"/>
      <c r="K502" s="22"/>
      <c r="L502" s="23" t="s">
        <v>88</v>
      </c>
      <c r="M502" s="22"/>
      <c r="N502" s="9" t="s">
        <v>383</v>
      </c>
      <c r="O502" s="9" t="s">
        <v>309</v>
      </c>
      <c r="P502" s="9" t="s">
        <v>384</v>
      </c>
      <c r="Q502" s="9" t="s">
        <v>89</v>
      </c>
      <c r="R502" s="23" t="s">
        <v>43</v>
      </c>
      <c r="S502" s="22"/>
      <c r="T502" s="8" t="s">
        <v>33</v>
      </c>
    </row>
    <row r="503" spans="5:20">
      <c r="E503" s="21" t="s">
        <v>385</v>
      </c>
      <c r="F503" s="25"/>
      <c r="G503" s="8" t="s">
        <v>42</v>
      </c>
      <c r="H503" s="9" t="s">
        <v>43</v>
      </c>
      <c r="I503" s="23" t="s">
        <v>43</v>
      </c>
      <c r="J503" s="24"/>
      <c r="K503" s="22"/>
      <c r="L503" s="23" t="s">
        <v>43</v>
      </c>
      <c r="M503" s="22"/>
      <c r="N503" s="9" t="s">
        <v>43</v>
      </c>
      <c r="O503" s="9" t="s">
        <v>43</v>
      </c>
      <c r="P503" s="9" t="s">
        <v>43</v>
      </c>
      <c r="Q503" s="9" t="s">
        <v>43</v>
      </c>
      <c r="R503" s="23" t="s">
        <v>91</v>
      </c>
      <c r="S503" s="22"/>
      <c r="T503" s="8" t="s">
        <v>33</v>
      </c>
    </row>
    <row r="504" spans="5:20">
      <c r="E504" s="26"/>
      <c r="F504" s="27"/>
      <c r="G504" s="8" t="s">
        <v>44</v>
      </c>
      <c r="H504" s="9" t="s">
        <v>33</v>
      </c>
      <c r="I504" s="23" t="s">
        <v>33</v>
      </c>
      <c r="J504" s="24"/>
      <c r="K504" s="22"/>
      <c r="L504" s="23" t="s">
        <v>33</v>
      </c>
      <c r="M504" s="22"/>
      <c r="N504" s="9" t="s">
        <v>33</v>
      </c>
      <c r="O504" s="9" t="s">
        <v>33</v>
      </c>
      <c r="P504" s="9" t="s">
        <v>33</v>
      </c>
      <c r="Q504" s="9" t="s">
        <v>33</v>
      </c>
      <c r="R504" s="23" t="s">
        <v>33</v>
      </c>
      <c r="S504" s="22"/>
      <c r="T504" s="8">
        <v>0</v>
      </c>
    </row>
    <row r="505" spans="5:20">
      <c r="E505" s="28"/>
      <c r="F505" s="29"/>
      <c r="G505" s="8" t="s">
        <v>45</v>
      </c>
      <c r="H505" s="9">
        <v>4</v>
      </c>
      <c r="I505" s="23">
        <v>4</v>
      </c>
      <c r="J505" s="24"/>
      <c r="K505" s="22"/>
      <c r="L505" s="23">
        <v>4</v>
      </c>
      <c r="M505" s="22"/>
      <c r="N505" s="9">
        <v>3</v>
      </c>
      <c r="O505" s="9">
        <v>3</v>
      </c>
      <c r="P505" s="9">
        <v>3</v>
      </c>
      <c r="Q505" s="9">
        <v>2</v>
      </c>
      <c r="R505" s="23">
        <v>2</v>
      </c>
      <c r="S505" s="22"/>
      <c r="T505" s="8">
        <v>25</v>
      </c>
    </row>
    <row r="506" spans="5:20">
      <c r="E506" s="6" t="s">
        <v>46</v>
      </c>
      <c r="F506" s="6">
        <v>9.76</v>
      </c>
      <c r="G506" s="8" t="s">
        <v>47</v>
      </c>
      <c r="H506" s="9">
        <v>10</v>
      </c>
      <c r="I506" s="23">
        <v>10</v>
      </c>
      <c r="J506" s="24"/>
      <c r="K506" s="22"/>
      <c r="L506" s="23">
        <v>10</v>
      </c>
      <c r="M506" s="22"/>
      <c r="N506" s="9">
        <v>8.5</v>
      </c>
      <c r="O506" s="9">
        <v>10</v>
      </c>
      <c r="P506" s="9">
        <v>9.5</v>
      </c>
      <c r="Q506" s="9">
        <v>10</v>
      </c>
      <c r="R506" s="23">
        <v>10</v>
      </c>
      <c r="S506" s="22"/>
      <c r="T506" s="8" t="s">
        <v>33</v>
      </c>
    </row>
    <row r="507" spans="5:20">
      <c r="E507" s="6" t="s">
        <v>48</v>
      </c>
      <c r="F507" s="10">
        <v>9.66</v>
      </c>
      <c r="G507" s="8" t="s">
        <v>49</v>
      </c>
      <c r="H507" s="9">
        <v>40</v>
      </c>
      <c r="I507" s="23">
        <v>40</v>
      </c>
      <c r="J507" s="24"/>
      <c r="K507" s="22"/>
      <c r="L507" s="23">
        <v>40</v>
      </c>
      <c r="M507" s="22"/>
      <c r="N507" s="9">
        <v>25.5</v>
      </c>
      <c r="O507" s="9">
        <v>30</v>
      </c>
      <c r="P507" s="9">
        <v>28.5</v>
      </c>
      <c r="Q507" s="9">
        <v>20</v>
      </c>
      <c r="R507" s="23">
        <v>20</v>
      </c>
      <c r="S507" s="22"/>
      <c r="T507" s="8">
        <v>244</v>
      </c>
    </row>
    <row r="508" spans="5:20">
      <c r="E508" s="21" t="s">
        <v>50</v>
      </c>
      <c r="F508" s="22"/>
      <c r="G508" s="8" t="s">
        <v>36</v>
      </c>
      <c r="H508" s="9">
        <v>99</v>
      </c>
      <c r="I508" s="23">
        <v>98</v>
      </c>
      <c r="J508" s="24"/>
      <c r="K508" s="22"/>
      <c r="L508" s="23">
        <v>100</v>
      </c>
      <c r="M508" s="22"/>
      <c r="N508" s="9">
        <v>83</v>
      </c>
      <c r="O508" s="9">
        <v>95</v>
      </c>
      <c r="P508" s="9">
        <v>92</v>
      </c>
      <c r="Q508" s="9">
        <v>50</v>
      </c>
      <c r="R508" s="23">
        <v>50</v>
      </c>
      <c r="S508" s="22"/>
      <c r="T508" s="8">
        <v>667</v>
      </c>
    </row>
    <row r="509" spans="5:20">
      <c r="E509" s="6" t="s">
        <v>51</v>
      </c>
      <c r="F509" s="6"/>
      <c r="G509" s="8" t="s">
        <v>52</v>
      </c>
      <c r="H509" s="9">
        <v>100</v>
      </c>
      <c r="I509" s="23">
        <v>100</v>
      </c>
      <c r="J509" s="24"/>
      <c r="K509" s="22"/>
      <c r="L509" s="23">
        <v>100</v>
      </c>
      <c r="M509" s="22"/>
      <c r="N509" s="9">
        <v>100</v>
      </c>
      <c r="O509" s="9">
        <v>100</v>
      </c>
      <c r="P509" s="9">
        <v>100</v>
      </c>
      <c r="Q509" s="9">
        <v>50</v>
      </c>
      <c r="R509" s="23">
        <v>50</v>
      </c>
      <c r="S509" s="22"/>
      <c r="T509" s="8">
        <v>700</v>
      </c>
    </row>
    <row r="510" spans="5:20">
      <c r="E510" s="21" t="s">
        <v>92</v>
      </c>
      <c r="F510" s="22"/>
      <c r="G510" s="8" t="s">
        <v>54</v>
      </c>
      <c r="H510" s="9" t="s">
        <v>93</v>
      </c>
      <c r="I510" s="23" t="s">
        <v>93</v>
      </c>
      <c r="J510" s="24"/>
      <c r="K510" s="22"/>
      <c r="L510" s="23" t="s">
        <v>93</v>
      </c>
      <c r="M510" s="22"/>
      <c r="N510" s="9" t="s">
        <v>95</v>
      </c>
      <c r="O510" s="9" t="s">
        <v>93</v>
      </c>
      <c r="P510" s="9" t="s">
        <v>94</v>
      </c>
      <c r="Q510" s="9" t="s">
        <v>93</v>
      </c>
      <c r="R510" s="23" t="s">
        <v>93</v>
      </c>
      <c r="S510" s="22"/>
      <c r="T510" s="8" t="s">
        <v>33</v>
      </c>
    </row>
    <row r="511" spans="5:20">
      <c r="E511" s="11" t="s">
        <v>56</v>
      </c>
      <c r="F511" s="11" t="s">
        <v>386</v>
      </c>
      <c r="G511" s="8" t="s">
        <v>58</v>
      </c>
      <c r="H511" s="9" t="s">
        <v>59</v>
      </c>
      <c r="I511" s="23" t="s">
        <v>59</v>
      </c>
      <c r="J511" s="24"/>
      <c r="K511" s="22"/>
      <c r="L511" s="23" t="s">
        <v>59</v>
      </c>
      <c r="M511" s="22"/>
      <c r="N511" s="9" t="s">
        <v>59</v>
      </c>
      <c r="O511" s="9" t="s">
        <v>59</v>
      </c>
      <c r="P511" s="9" t="s">
        <v>59</v>
      </c>
      <c r="Q511" s="9" t="s">
        <v>59</v>
      </c>
      <c r="R511" s="23" t="s">
        <v>59</v>
      </c>
      <c r="S511" s="22"/>
      <c r="T511" s="8" t="s">
        <v>33</v>
      </c>
    </row>
    <row r="512" spans="5:20">
      <c r="E512" s="12" t="s">
        <v>33</v>
      </c>
      <c r="F512" s="12" t="s">
        <v>33</v>
      </c>
      <c r="G512" s="12" t="s">
        <v>33</v>
      </c>
      <c r="H512" s="13" t="s">
        <v>33</v>
      </c>
      <c r="I512" s="20" t="s">
        <v>33</v>
      </c>
      <c r="J512" s="18"/>
      <c r="K512" s="18"/>
      <c r="L512" s="20" t="s">
        <v>33</v>
      </c>
      <c r="M512" s="18"/>
      <c r="N512" s="13" t="s">
        <v>33</v>
      </c>
      <c r="O512" s="13" t="s">
        <v>33</v>
      </c>
      <c r="P512" s="13" t="s">
        <v>33</v>
      </c>
      <c r="Q512" s="13" t="s">
        <v>33</v>
      </c>
      <c r="R512" s="20" t="s">
        <v>33</v>
      </c>
      <c r="S512" s="18"/>
      <c r="T512" s="13" t="s">
        <v>33</v>
      </c>
    </row>
    <row r="513" spans="5:20" ht="0" hidden="1" customHeight="1"/>
    <row r="514" spans="5:20" ht="0.6" customHeight="1"/>
    <row r="515" spans="5:20">
      <c r="E515" s="31" t="s">
        <v>31</v>
      </c>
      <c r="F515" s="22"/>
      <c r="G515" s="3" t="s">
        <v>32</v>
      </c>
      <c r="H515" s="5" t="s">
        <v>33</v>
      </c>
      <c r="I515" s="32" t="s">
        <v>33</v>
      </c>
      <c r="J515" s="18"/>
      <c r="K515" s="18"/>
      <c r="L515" s="32" t="s">
        <v>33</v>
      </c>
      <c r="M515" s="18"/>
      <c r="N515" s="5" t="s">
        <v>33</v>
      </c>
      <c r="O515" s="5" t="s">
        <v>33</v>
      </c>
      <c r="P515" s="5" t="s">
        <v>33</v>
      </c>
      <c r="Q515" s="5" t="s">
        <v>33</v>
      </c>
      <c r="R515" s="32" t="s">
        <v>33</v>
      </c>
      <c r="S515" s="18"/>
      <c r="T515" s="5" t="s">
        <v>33</v>
      </c>
    </row>
    <row r="516" spans="5:20" ht="21">
      <c r="E516" s="21" t="s">
        <v>387</v>
      </c>
      <c r="F516" s="22"/>
      <c r="G516" s="7" t="s">
        <v>35</v>
      </c>
      <c r="H516" s="7" t="s">
        <v>5</v>
      </c>
      <c r="I516" s="30" t="s">
        <v>7</v>
      </c>
      <c r="J516" s="24"/>
      <c r="K516" s="22"/>
      <c r="L516" s="30" t="s">
        <v>9</v>
      </c>
      <c r="M516" s="22"/>
      <c r="N516" s="7" t="s">
        <v>11</v>
      </c>
      <c r="O516" s="7" t="s">
        <v>15</v>
      </c>
      <c r="P516" s="7" t="s">
        <v>17</v>
      </c>
      <c r="Q516" s="7" t="s">
        <v>21</v>
      </c>
      <c r="R516" s="30" t="s">
        <v>27</v>
      </c>
      <c r="S516" s="22"/>
      <c r="T516" s="7" t="s">
        <v>36</v>
      </c>
    </row>
    <row r="517" spans="5:20" ht="22.5">
      <c r="E517" s="6" t="s">
        <v>37</v>
      </c>
      <c r="F517" s="6" t="s">
        <v>388</v>
      </c>
      <c r="G517" s="8" t="s">
        <v>39</v>
      </c>
      <c r="H517" s="9" t="s">
        <v>389</v>
      </c>
      <c r="I517" s="23" t="s">
        <v>316</v>
      </c>
      <c r="J517" s="24"/>
      <c r="K517" s="22"/>
      <c r="L517" s="23" t="s">
        <v>254</v>
      </c>
      <c r="M517" s="22"/>
      <c r="N517" s="9" t="s">
        <v>390</v>
      </c>
      <c r="O517" s="9" t="s">
        <v>391</v>
      </c>
      <c r="P517" s="9" t="s">
        <v>392</v>
      </c>
      <c r="Q517" s="9" t="s">
        <v>393</v>
      </c>
      <c r="R517" s="23" t="s">
        <v>43</v>
      </c>
      <c r="S517" s="22"/>
      <c r="T517" s="8" t="s">
        <v>33</v>
      </c>
    </row>
    <row r="518" spans="5:20">
      <c r="E518" s="21" t="s">
        <v>394</v>
      </c>
      <c r="F518" s="25"/>
      <c r="G518" s="8" t="s">
        <v>42</v>
      </c>
      <c r="H518" s="9" t="s">
        <v>43</v>
      </c>
      <c r="I518" s="23" t="s">
        <v>43</v>
      </c>
      <c r="J518" s="24"/>
      <c r="K518" s="22"/>
      <c r="L518" s="23" t="s">
        <v>43</v>
      </c>
      <c r="M518" s="22"/>
      <c r="N518" s="9" t="s">
        <v>43</v>
      </c>
      <c r="O518" s="9" t="s">
        <v>43</v>
      </c>
      <c r="P518" s="9" t="s">
        <v>43</v>
      </c>
      <c r="Q518" s="9" t="s">
        <v>43</v>
      </c>
      <c r="R518" s="23" t="s">
        <v>107</v>
      </c>
      <c r="S518" s="22"/>
      <c r="T518" s="8" t="s">
        <v>33</v>
      </c>
    </row>
    <row r="519" spans="5:20">
      <c r="E519" s="26"/>
      <c r="F519" s="27"/>
      <c r="G519" s="8" t="s">
        <v>44</v>
      </c>
      <c r="H519" s="9" t="s">
        <v>33</v>
      </c>
      <c r="I519" s="23" t="s">
        <v>33</v>
      </c>
      <c r="J519" s="24"/>
      <c r="K519" s="22"/>
      <c r="L519" s="23" t="s">
        <v>33</v>
      </c>
      <c r="M519" s="22"/>
      <c r="N519" s="9" t="s">
        <v>33</v>
      </c>
      <c r="O519" s="9" t="s">
        <v>33</v>
      </c>
      <c r="P519" s="9" t="s">
        <v>33</v>
      </c>
      <c r="Q519" s="9" t="s">
        <v>33</v>
      </c>
      <c r="R519" s="23" t="s">
        <v>33</v>
      </c>
      <c r="S519" s="22"/>
      <c r="T519" s="8">
        <v>0</v>
      </c>
    </row>
    <row r="520" spans="5:20">
      <c r="E520" s="28"/>
      <c r="F520" s="29"/>
      <c r="G520" s="8" t="s">
        <v>45</v>
      </c>
      <c r="H520" s="9">
        <v>4</v>
      </c>
      <c r="I520" s="23">
        <v>4</v>
      </c>
      <c r="J520" s="24"/>
      <c r="K520" s="22"/>
      <c r="L520" s="23">
        <v>4</v>
      </c>
      <c r="M520" s="22"/>
      <c r="N520" s="9">
        <v>3</v>
      </c>
      <c r="O520" s="9">
        <v>3</v>
      </c>
      <c r="P520" s="9">
        <v>3</v>
      </c>
      <c r="Q520" s="9">
        <v>2</v>
      </c>
      <c r="R520" s="23">
        <v>2</v>
      </c>
      <c r="S520" s="22"/>
      <c r="T520" s="8">
        <v>18</v>
      </c>
    </row>
    <row r="521" spans="5:20">
      <c r="E521" s="6" t="s">
        <v>46</v>
      </c>
      <c r="F521" s="6"/>
      <c r="G521" s="8" t="s">
        <v>47</v>
      </c>
      <c r="H521" s="9"/>
      <c r="I521" s="23">
        <v>5</v>
      </c>
      <c r="J521" s="24"/>
      <c r="K521" s="22"/>
      <c r="L521" s="23">
        <v>8</v>
      </c>
      <c r="M521" s="22"/>
      <c r="N521" s="9">
        <v>7</v>
      </c>
      <c r="O521" s="9">
        <v>5.5</v>
      </c>
      <c r="P521" s="9"/>
      <c r="Q521" s="9">
        <v>8</v>
      </c>
      <c r="R521" s="23">
        <v>10</v>
      </c>
      <c r="S521" s="22"/>
      <c r="T521" s="8" t="s">
        <v>33</v>
      </c>
    </row>
    <row r="522" spans="5:20">
      <c r="E522" s="6" t="s">
        <v>48</v>
      </c>
      <c r="F522" s="6"/>
      <c r="G522" s="8" t="s">
        <v>49</v>
      </c>
      <c r="H522" s="9"/>
      <c r="I522" s="23">
        <v>20</v>
      </c>
      <c r="J522" s="24"/>
      <c r="K522" s="22"/>
      <c r="L522" s="23">
        <v>32</v>
      </c>
      <c r="M522" s="22"/>
      <c r="N522" s="9">
        <v>21</v>
      </c>
      <c r="O522" s="9">
        <v>16.5</v>
      </c>
      <c r="P522" s="9"/>
      <c r="Q522" s="9">
        <v>16</v>
      </c>
      <c r="R522" s="23">
        <v>20</v>
      </c>
      <c r="S522" s="22"/>
      <c r="T522" s="8">
        <v>125.5</v>
      </c>
    </row>
    <row r="523" spans="5:20">
      <c r="E523" s="21" t="s">
        <v>65</v>
      </c>
      <c r="F523" s="22"/>
      <c r="G523" s="8" t="s">
        <v>36</v>
      </c>
      <c r="H523" s="9">
        <v>38</v>
      </c>
      <c r="I523" s="23">
        <v>46</v>
      </c>
      <c r="J523" s="24"/>
      <c r="K523" s="22"/>
      <c r="L523" s="23">
        <v>75</v>
      </c>
      <c r="M523" s="22"/>
      <c r="N523" s="9">
        <v>66</v>
      </c>
      <c r="O523" s="9">
        <v>50</v>
      </c>
      <c r="P523" s="9">
        <v>30</v>
      </c>
      <c r="Q523" s="9">
        <v>38</v>
      </c>
      <c r="R523" s="23">
        <v>48</v>
      </c>
      <c r="S523" s="22"/>
      <c r="T523" s="8">
        <v>391</v>
      </c>
    </row>
    <row r="524" spans="5:20">
      <c r="E524" s="6" t="s">
        <v>51</v>
      </c>
      <c r="F524" s="6"/>
      <c r="G524" s="8" t="s">
        <v>52</v>
      </c>
      <c r="H524" s="9">
        <v>100</v>
      </c>
      <c r="I524" s="23">
        <v>100</v>
      </c>
      <c r="J524" s="24"/>
      <c r="K524" s="22"/>
      <c r="L524" s="23">
        <v>100</v>
      </c>
      <c r="M524" s="22"/>
      <c r="N524" s="9">
        <v>100</v>
      </c>
      <c r="O524" s="9">
        <v>100</v>
      </c>
      <c r="P524" s="9">
        <v>100</v>
      </c>
      <c r="Q524" s="9">
        <v>50</v>
      </c>
      <c r="R524" s="23">
        <v>50</v>
      </c>
      <c r="S524" s="22"/>
      <c r="T524" s="8">
        <v>700</v>
      </c>
    </row>
    <row r="525" spans="5:20">
      <c r="E525" s="21" t="s">
        <v>66</v>
      </c>
      <c r="F525" s="22"/>
      <c r="G525" s="8" t="s">
        <v>54</v>
      </c>
      <c r="H525" s="9"/>
      <c r="I525" s="23" t="s">
        <v>55</v>
      </c>
      <c r="J525" s="24"/>
      <c r="K525" s="22"/>
      <c r="L525" s="23" t="s">
        <v>135</v>
      </c>
      <c r="M525" s="22"/>
      <c r="N525" s="9" t="s">
        <v>109</v>
      </c>
      <c r="O525" s="9" t="s">
        <v>123</v>
      </c>
      <c r="P525" s="9"/>
      <c r="Q525" s="9" t="s">
        <v>135</v>
      </c>
      <c r="R525" s="23" t="s">
        <v>93</v>
      </c>
      <c r="S525" s="22"/>
      <c r="T525" s="8" t="s">
        <v>33</v>
      </c>
    </row>
    <row r="526" spans="5:20">
      <c r="E526" s="11" t="s">
        <v>56</v>
      </c>
      <c r="F526" s="11" t="s">
        <v>395</v>
      </c>
      <c r="G526" s="8" t="s">
        <v>58</v>
      </c>
      <c r="H526" s="9" t="s">
        <v>68</v>
      </c>
      <c r="I526" s="23" t="s">
        <v>59</v>
      </c>
      <c r="J526" s="24"/>
      <c r="K526" s="22"/>
      <c r="L526" s="23" t="s">
        <v>59</v>
      </c>
      <c r="M526" s="22"/>
      <c r="N526" s="9" t="s">
        <v>59</v>
      </c>
      <c r="O526" s="9" t="s">
        <v>59</v>
      </c>
      <c r="P526" s="9" t="s">
        <v>68</v>
      </c>
      <c r="Q526" s="9" t="s">
        <v>59</v>
      </c>
      <c r="R526" s="23" t="s">
        <v>59</v>
      </c>
      <c r="S526" s="22"/>
      <c r="T526" s="8" t="s">
        <v>33</v>
      </c>
    </row>
    <row r="527" spans="5:20">
      <c r="E527" s="12" t="s">
        <v>33</v>
      </c>
      <c r="F527" s="12" t="s">
        <v>33</v>
      </c>
      <c r="G527" s="12" t="s">
        <v>33</v>
      </c>
      <c r="H527" s="13" t="s">
        <v>33</v>
      </c>
      <c r="I527" s="20" t="s">
        <v>33</v>
      </c>
      <c r="J527" s="18"/>
      <c r="K527" s="18"/>
      <c r="L527" s="20" t="s">
        <v>33</v>
      </c>
      <c r="M527" s="18"/>
      <c r="N527" s="13" t="s">
        <v>33</v>
      </c>
      <c r="O527" s="13" t="s">
        <v>33</v>
      </c>
      <c r="P527" s="13" t="s">
        <v>33</v>
      </c>
      <c r="Q527" s="13" t="s">
        <v>33</v>
      </c>
      <c r="R527" s="20" t="s">
        <v>33</v>
      </c>
      <c r="S527" s="18"/>
      <c r="T527" s="13" t="s">
        <v>33</v>
      </c>
    </row>
    <row r="528" spans="5:20" ht="0" hidden="1" customHeight="1"/>
    <row r="529" spans="5:20" ht="0.6" customHeight="1"/>
    <row r="530" spans="5:20">
      <c r="E530" s="31" t="s">
        <v>31</v>
      </c>
      <c r="F530" s="22"/>
      <c r="G530" s="3" t="s">
        <v>32</v>
      </c>
      <c r="H530" s="5" t="s">
        <v>33</v>
      </c>
      <c r="I530" s="32" t="s">
        <v>33</v>
      </c>
      <c r="J530" s="18"/>
      <c r="K530" s="18"/>
      <c r="L530" s="32" t="s">
        <v>33</v>
      </c>
      <c r="M530" s="18"/>
      <c r="N530" s="5" t="s">
        <v>33</v>
      </c>
      <c r="O530" s="5" t="s">
        <v>33</v>
      </c>
      <c r="P530" s="5" t="s">
        <v>33</v>
      </c>
      <c r="Q530" s="5" t="s">
        <v>33</v>
      </c>
      <c r="R530" s="32" t="s">
        <v>33</v>
      </c>
      <c r="S530" s="18"/>
      <c r="T530" s="5" t="s">
        <v>33</v>
      </c>
    </row>
    <row r="531" spans="5:20" ht="21">
      <c r="E531" s="21" t="s">
        <v>396</v>
      </c>
      <c r="F531" s="22"/>
      <c r="G531" s="7" t="s">
        <v>35</v>
      </c>
      <c r="H531" s="7" t="s">
        <v>5</v>
      </c>
      <c r="I531" s="30" t="s">
        <v>7</v>
      </c>
      <c r="J531" s="24"/>
      <c r="K531" s="22"/>
      <c r="L531" s="30" t="s">
        <v>9</v>
      </c>
      <c r="M531" s="22"/>
      <c r="N531" s="7" t="s">
        <v>11</v>
      </c>
      <c r="O531" s="7" t="s">
        <v>15</v>
      </c>
      <c r="P531" s="7" t="s">
        <v>17</v>
      </c>
      <c r="Q531" s="7" t="s">
        <v>21</v>
      </c>
      <c r="R531" s="30" t="s">
        <v>27</v>
      </c>
      <c r="S531" s="22"/>
      <c r="T531" s="7" t="s">
        <v>36</v>
      </c>
    </row>
    <row r="532" spans="5:20" ht="22.5">
      <c r="E532" s="6" t="s">
        <v>37</v>
      </c>
      <c r="F532" s="6" t="s">
        <v>397</v>
      </c>
      <c r="G532" s="8" t="s">
        <v>39</v>
      </c>
      <c r="H532" s="9" t="s">
        <v>398</v>
      </c>
      <c r="I532" s="23" t="s">
        <v>191</v>
      </c>
      <c r="J532" s="24"/>
      <c r="K532" s="22"/>
      <c r="L532" s="23" t="s">
        <v>163</v>
      </c>
      <c r="M532" s="22"/>
      <c r="N532" s="9" t="s">
        <v>399</v>
      </c>
      <c r="O532" s="9" t="s">
        <v>174</v>
      </c>
      <c r="P532" s="9" t="s">
        <v>400</v>
      </c>
      <c r="Q532" s="9" t="s">
        <v>401</v>
      </c>
      <c r="R532" s="23" t="s">
        <v>43</v>
      </c>
      <c r="S532" s="22"/>
      <c r="T532" s="8" t="s">
        <v>33</v>
      </c>
    </row>
    <row r="533" spans="5:20">
      <c r="E533" s="21" t="s">
        <v>402</v>
      </c>
      <c r="F533" s="25"/>
      <c r="G533" s="8" t="s">
        <v>42</v>
      </c>
      <c r="H533" s="9" t="s">
        <v>43</v>
      </c>
      <c r="I533" s="23" t="s">
        <v>43</v>
      </c>
      <c r="J533" s="24"/>
      <c r="K533" s="22"/>
      <c r="L533" s="23" t="s">
        <v>43</v>
      </c>
      <c r="M533" s="22"/>
      <c r="N533" s="9" t="s">
        <v>43</v>
      </c>
      <c r="O533" s="9" t="s">
        <v>43</v>
      </c>
      <c r="P533" s="9" t="s">
        <v>43</v>
      </c>
      <c r="Q533" s="9" t="s">
        <v>43</v>
      </c>
      <c r="R533" s="23" t="s">
        <v>403</v>
      </c>
      <c r="S533" s="22"/>
      <c r="T533" s="8" t="s">
        <v>33</v>
      </c>
    </row>
    <row r="534" spans="5:20">
      <c r="E534" s="26"/>
      <c r="F534" s="27"/>
      <c r="G534" s="8" t="s">
        <v>44</v>
      </c>
      <c r="H534" s="9" t="s">
        <v>33</v>
      </c>
      <c r="I534" s="23" t="s">
        <v>33</v>
      </c>
      <c r="J534" s="24"/>
      <c r="K534" s="22"/>
      <c r="L534" s="23" t="s">
        <v>33</v>
      </c>
      <c r="M534" s="22"/>
      <c r="N534" s="9" t="s">
        <v>33</v>
      </c>
      <c r="O534" s="9" t="s">
        <v>33</v>
      </c>
      <c r="P534" s="9" t="s">
        <v>33</v>
      </c>
      <c r="Q534" s="9" t="s">
        <v>33</v>
      </c>
      <c r="R534" s="23" t="s">
        <v>33</v>
      </c>
      <c r="S534" s="22"/>
      <c r="T534" s="8">
        <v>0</v>
      </c>
    </row>
    <row r="535" spans="5:20">
      <c r="E535" s="28"/>
      <c r="F535" s="29"/>
      <c r="G535" s="8" t="s">
        <v>45</v>
      </c>
      <c r="H535" s="9">
        <v>4</v>
      </c>
      <c r="I535" s="23">
        <v>4</v>
      </c>
      <c r="J535" s="24"/>
      <c r="K535" s="22"/>
      <c r="L535" s="23">
        <v>4</v>
      </c>
      <c r="M535" s="22"/>
      <c r="N535" s="9">
        <v>3</v>
      </c>
      <c r="O535" s="9">
        <v>3</v>
      </c>
      <c r="P535" s="9">
        <v>3</v>
      </c>
      <c r="Q535" s="9">
        <v>2</v>
      </c>
      <c r="R535" s="23">
        <v>2</v>
      </c>
      <c r="S535" s="22"/>
      <c r="T535" s="8">
        <v>22</v>
      </c>
    </row>
    <row r="536" spans="5:20">
      <c r="E536" s="6" t="s">
        <v>46</v>
      </c>
      <c r="F536" s="6"/>
      <c r="G536" s="8" t="s">
        <v>47</v>
      </c>
      <c r="H536" s="9">
        <v>5.5</v>
      </c>
      <c r="I536" s="23">
        <v>4.5</v>
      </c>
      <c r="J536" s="24"/>
      <c r="K536" s="22"/>
      <c r="L536" s="23">
        <v>8.5</v>
      </c>
      <c r="M536" s="22"/>
      <c r="N536" s="9">
        <v>6</v>
      </c>
      <c r="O536" s="9">
        <v>7.5</v>
      </c>
      <c r="P536" s="9"/>
      <c r="Q536" s="9">
        <v>5.5</v>
      </c>
      <c r="R536" s="23">
        <v>7.5</v>
      </c>
      <c r="S536" s="22"/>
      <c r="T536" s="8" t="s">
        <v>33</v>
      </c>
    </row>
    <row r="537" spans="5:20">
      <c r="E537" s="6" t="s">
        <v>48</v>
      </c>
      <c r="F537" s="6"/>
      <c r="G537" s="8" t="s">
        <v>49</v>
      </c>
      <c r="H537" s="9">
        <v>22</v>
      </c>
      <c r="I537" s="23">
        <v>18</v>
      </c>
      <c r="J537" s="24"/>
      <c r="K537" s="22"/>
      <c r="L537" s="23">
        <v>34</v>
      </c>
      <c r="M537" s="22"/>
      <c r="N537" s="9">
        <v>18</v>
      </c>
      <c r="O537" s="9">
        <v>22.5</v>
      </c>
      <c r="P537" s="9"/>
      <c r="Q537" s="9">
        <v>11</v>
      </c>
      <c r="R537" s="23">
        <v>15</v>
      </c>
      <c r="S537" s="22"/>
      <c r="T537" s="8">
        <v>140.5</v>
      </c>
    </row>
    <row r="538" spans="5:20">
      <c r="E538" s="21" t="s">
        <v>65</v>
      </c>
      <c r="F538" s="22"/>
      <c r="G538" s="8" t="s">
        <v>36</v>
      </c>
      <c r="H538" s="9">
        <v>50</v>
      </c>
      <c r="I538" s="23">
        <v>43</v>
      </c>
      <c r="J538" s="24"/>
      <c r="K538" s="22"/>
      <c r="L538" s="23">
        <v>81</v>
      </c>
      <c r="M538" s="22"/>
      <c r="N538" s="9">
        <v>56</v>
      </c>
      <c r="O538" s="9">
        <v>70</v>
      </c>
      <c r="P538" s="9">
        <v>29</v>
      </c>
      <c r="Q538" s="9">
        <v>25</v>
      </c>
      <c r="R538" s="23">
        <v>35</v>
      </c>
      <c r="S538" s="22"/>
      <c r="T538" s="8">
        <v>389</v>
      </c>
    </row>
    <row r="539" spans="5:20">
      <c r="E539" s="6" t="s">
        <v>51</v>
      </c>
      <c r="F539" s="6"/>
      <c r="G539" s="8" t="s">
        <v>52</v>
      </c>
      <c r="H539" s="9">
        <v>100</v>
      </c>
      <c r="I539" s="23">
        <v>100</v>
      </c>
      <c r="J539" s="24"/>
      <c r="K539" s="22"/>
      <c r="L539" s="23">
        <v>100</v>
      </c>
      <c r="M539" s="22"/>
      <c r="N539" s="9">
        <v>100</v>
      </c>
      <c r="O539" s="9">
        <v>100</v>
      </c>
      <c r="P539" s="9">
        <v>100</v>
      </c>
      <c r="Q539" s="9">
        <v>50</v>
      </c>
      <c r="R539" s="23">
        <v>50</v>
      </c>
      <c r="S539" s="22"/>
      <c r="T539" s="8">
        <v>700</v>
      </c>
    </row>
    <row r="540" spans="5:20">
      <c r="E540" s="21" t="s">
        <v>66</v>
      </c>
      <c r="F540" s="22"/>
      <c r="G540" s="8" t="s">
        <v>54</v>
      </c>
      <c r="H540" s="9" t="s">
        <v>123</v>
      </c>
      <c r="I540" s="23" t="s">
        <v>75</v>
      </c>
      <c r="J540" s="24"/>
      <c r="K540" s="22"/>
      <c r="L540" s="23" t="s">
        <v>95</v>
      </c>
      <c r="M540" s="22"/>
      <c r="N540" s="9" t="s">
        <v>147</v>
      </c>
      <c r="O540" s="9" t="s">
        <v>108</v>
      </c>
      <c r="P540" s="9"/>
      <c r="Q540" s="9" t="s">
        <v>123</v>
      </c>
      <c r="R540" s="23" t="s">
        <v>108</v>
      </c>
      <c r="S540" s="22"/>
      <c r="T540" s="8" t="s">
        <v>33</v>
      </c>
    </row>
    <row r="541" spans="5:20">
      <c r="E541" s="11" t="s">
        <v>56</v>
      </c>
      <c r="F541" s="11" t="s">
        <v>404</v>
      </c>
      <c r="G541" s="8" t="s">
        <v>58</v>
      </c>
      <c r="H541" s="9" t="s">
        <v>59</v>
      </c>
      <c r="I541" s="23" t="s">
        <v>59</v>
      </c>
      <c r="J541" s="24"/>
      <c r="K541" s="22"/>
      <c r="L541" s="23" t="s">
        <v>59</v>
      </c>
      <c r="M541" s="22"/>
      <c r="N541" s="9" t="s">
        <v>59</v>
      </c>
      <c r="O541" s="9" t="s">
        <v>59</v>
      </c>
      <c r="P541" s="9" t="s">
        <v>68</v>
      </c>
      <c r="Q541" s="9" t="s">
        <v>59</v>
      </c>
      <c r="R541" s="23" t="s">
        <v>59</v>
      </c>
      <c r="S541" s="22"/>
      <c r="T541" s="8" t="s">
        <v>33</v>
      </c>
    </row>
    <row r="542" spans="5:20">
      <c r="E542" s="12" t="s">
        <v>33</v>
      </c>
      <c r="F542" s="12" t="s">
        <v>33</v>
      </c>
      <c r="G542" s="12" t="s">
        <v>33</v>
      </c>
      <c r="H542" s="13" t="s">
        <v>33</v>
      </c>
      <c r="I542" s="20" t="s">
        <v>33</v>
      </c>
      <c r="J542" s="18"/>
      <c r="K542" s="18"/>
      <c r="L542" s="20" t="s">
        <v>33</v>
      </c>
      <c r="M542" s="18"/>
      <c r="N542" s="13" t="s">
        <v>33</v>
      </c>
      <c r="O542" s="13" t="s">
        <v>33</v>
      </c>
      <c r="P542" s="13" t="s">
        <v>33</v>
      </c>
      <c r="Q542" s="13" t="s">
        <v>33</v>
      </c>
      <c r="R542" s="20" t="s">
        <v>33</v>
      </c>
      <c r="S542" s="18"/>
      <c r="T542" s="13" t="s">
        <v>33</v>
      </c>
    </row>
    <row r="543" spans="5:20" ht="0" hidden="1" customHeight="1"/>
    <row r="544" spans="5:20" ht="0.6" customHeight="1"/>
    <row r="545" spans="5:20">
      <c r="E545" s="31" t="s">
        <v>31</v>
      </c>
      <c r="F545" s="22"/>
      <c r="G545" s="3" t="s">
        <v>32</v>
      </c>
      <c r="H545" s="5" t="s">
        <v>33</v>
      </c>
      <c r="I545" s="32" t="s">
        <v>33</v>
      </c>
      <c r="J545" s="18"/>
      <c r="K545" s="18"/>
      <c r="L545" s="32" t="s">
        <v>33</v>
      </c>
      <c r="M545" s="18"/>
      <c r="N545" s="5" t="s">
        <v>33</v>
      </c>
      <c r="O545" s="5" t="s">
        <v>33</v>
      </c>
      <c r="P545" s="5" t="s">
        <v>33</v>
      </c>
      <c r="Q545" s="5" t="s">
        <v>33</v>
      </c>
      <c r="R545" s="32" t="s">
        <v>33</v>
      </c>
      <c r="S545" s="18"/>
      <c r="T545" s="5" t="s">
        <v>33</v>
      </c>
    </row>
    <row r="546" spans="5:20" ht="21">
      <c r="E546" s="21" t="s">
        <v>405</v>
      </c>
      <c r="F546" s="22"/>
      <c r="G546" s="7" t="s">
        <v>35</v>
      </c>
      <c r="H546" s="7" t="s">
        <v>5</v>
      </c>
      <c r="I546" s="30" t="s">
        <v>7</v>
      </c>
      <c r="J546" s="24"/>
      <c r="K546" s="22"/>
      <c r="L546" s="30" t="s">
        <v>9</v>
      </c>
      <c r="M546" s="22"/>
      <c r="N546" s="7" t="s">
        <v>11</v>
      </c>
      <c r="O546" s="7" t="s">
        <v>15</v>
      </c>
      <c r="P546" s="7" t="s">
        <v>17</v>
      </c>
      <c r="Q546" s="7" t="s">
        <v>21</v>
      </c>
      <c r="R546" s="30" t="s">
        <v>25</v>
      </c>
      <c r="S546" s="22"/>
      <c r="T546" s="7" t="s">
        <v>36</v>
      </c>
    </row>
    <row r="547" spans="5:20" ht="22.5">
      <c r="E547" s="6" t="s">
        <v>37</v>
      </c>
      <c r="F547" s="6" t="s">
        <v>406</v>
      </c>
      <c r="G547" s="8" t="s">
        <v>39</v>
      </c>
      <c r="H547" s="9" t="s">
        <v>407</v>
      </c>
      <c r="I547" s="23" t="s">
        <v>408</v>
      </c>
      <c r="J547" s="24"/>
      <c r="K547" s="22"/>
      <c r="L547" s="23" t="s">
        <v>88</v>
      </c>
      <c r="M547" s="22"/>
      <c r="N547" s="9" t="s">
        <v>310</v>
      </c>
      <c r="O547" s="9" t="s">
        <v>409</v>
      </c>
      <c r="P547" s="9" t="s">
        <v>131</v>
      </c>
      <c r="Q547" s="9" t="s">
        <v>201</v>
      </c>
      <c r="R547" s="23" t="s">
        <v>43</v>
      </c>
      <c r="S547" s="22"/>
      <c r="T547" s="8" t="s">
        <v>33</v>
      </c>
    </row>
    <row r="548" spans="5:20">
      <c r="E548" s="21" t="s">
        <v>410</v>
      </c>
      <c r="F548" s="25"/>
      <c r="G548" s="8" t="s">
        <v>42</v>
      </c>
      <c r="H548" s="9" t="s">
        <v>43</v>
      </c>
      <c r="I548" s="23" t="s">
        <v>43</v>
      </c>
      <c r="J548" s="24"/>
      <c r="K548" s="22"/>
      <c r="L548" s="23" t="s">
        <v>43</v>
      </c>
      <c r="M548" s="22"/>
      <c r="N548" s="9" t="s">
        <v>43</v>
      </c>
      <c r="O548" s="9" t="s">
        <v>43</v>
      </c>
      <c r="P548" s="9" t="s">
        <v>43</v>
      </c>
      <c r="Q548" s="9" t="s">
        <v>43</v>
      </c>
      <c r="R548" s="23" t="s">
        <v>107</v>
      </c>
      <c r="S548" s="22"/>
      <c r="T548" s="8" t="s">
        <v>33</v>
      </c>
    </row>
    <row r="549" spans="5:20">
      <c r="E549" s="26"/>
      <c r="F549" s="27"/>
      <c r="G549" s="8" t="s">
        <v>44</v>
      </c>
      <c r="H549" s="9" t="s">
        <v>33</v>
      </c>
      <c r="I549" s="23" t="s">
        <v>33</v>
      </c>
      <c r="J549" s="24"/>
      <c r="K549" s="22"/>
      <c r="L549" s="23" t="s">
        <v>33</v>
      </c>
      <c r="M549" s="22"/>
      <c r="N549" s="9" t="s">
        <v>33</v>
      </c>
      <c r="O549" s="9" t="s">
        <v>33</v>
      </c>
      <c r="P549" s="9" t="s">
        <v>33</v>
      </c>
      <c r="Q549" s="9" t="s">
        <v>33</v>
      </c>
      <c r="R549" s="23" t="s">
        <v>33</v>
      </c>
      <c r="S549" s="22"/>
      <c r="T549" s="8">
        <v>0</v>
      </c>
    </row>
    <row r="550" spans="5:20">
      <c r="E550" s="28"/>
      <c r="F550" s="29"/>
      <c r="G550" s="8" t="s">
        <v>45</v>
      </c>
      <c r="H550" s="9">
        <v>4</v>
      </c>
      <c r="I550" s="23">
        <v>4</v>
      </c>
      <c r="J550" s="24"/>
      <c r="K550" s="22"/>
      <c r="L550" s="23">
        <v>4</v>
      </c>
      <c r="M550" s="22"/>
      <c r="N550" s="9">
        <v>3</v>
      </c>
      <c r="O550" s="9">
        <v>3</v>
      </c>
      <c r="P550" s="9">
        <v>3</v>
      </c>
      <c r="Q550" s="9">
        <v>2</v>
      </c>
      <c r="R550" s="23">
        <v>2</v>
      </c>
      <c r="S550" s="22"/>
      <c r="T550" s="8">
        <v>25</v>
      </c>
    </row>
    <row r="551" spans="5:20">
      <c r="E551" s="6" t="s">
        <v>46</v>
      </c>
      <c r="F551" s="6">
        <v>9.16</v>
      </c>
      <c r="G551" s="8" t="s">
        <v>47</v>
      </c>
      <c r="H551" s="9">
        <v>9</v>
      </c>
      <c r="I551" s="23">
        <v>9.5</v>
      </c>
      <c r="J551" s="24"/>
      <c r="K551" s="22"/>
      <c r="L551" s="23">
        <v>10</v>
      </c>
      <c r="M551" s="22"/>
      <c r="N551" s="9">
        <v>8.5</v>
      </c>
      <c r="O551" s="9">
        <v>9</v>
      </c>
      <c r="P551" s="9">
        <v>7.5</v>
      </c>
      <c r="Q551" s="9">
        <v>10</v>
      </c>
      <c r="R551" s="23">
        <v>10</v>
      </c>
      <c r="S551" s="22"/>
      <c r="T551" s="8" t="s">
        <v>33</v>
      </c>
    </row>
    <row r="552" spans="5:20">
      <c r="E552" s="6" t="s">
        <v>48</v>
      </c>
      <c r="F552" s="10">
        <v>8.66</v>
      </c>
      <c r="G552" s="8" t="s">
        <v>49</v>
      </c>
      <c r="H552" s="9">
        <v>36</v>
      </c>
      <c r="I552" s="23">
        <v>38</v>
      </c>
      <c r="J552" s="24"/>
      <c r="K552" s="22"/>
      <c r="L552" s="23">
        <v>40</v>
      </c>
      <c r="M552" s="22"/>
      <c r="N552" s="9">
        <v>25.5</v>
      </c>
      <c r="O552" s="9">
        <v>27</v>
      </c>
      <c r="P552" s="9">
        <v>22.5</v>
      </c>
      <c r="Q552" s="9">
        <v>20</v>
      </c>
      <c r="R552" s="23">
        <v>20</v>
      </c>
      <c r="S552" s="22"/>
      <c r="T552" s="8">
        <v>229</v>
      </c>
    </row>
    <row r="553" spans="5:20">
      <c r="E553" s="21" t="s">
        <v>50</v>
      </c>
      <c r="F553" s="22"/>
      <c r="G553" s="8" t="s">
        <v>36</v>
      </c>
      <c r="H553" s="9">
        <v>86</v>
      </c>
      <c r="I553" s="23">
        <v>91</v>
      </c>
      <c r="J553" s="24"/>
      <c r="K553" s="22"/>
      <c r="L553" s="23">
        <v>100</v>
      </c>
      <c r="M553" s="22"/>
      <c r="N553" s="9">
        <v>80</v>
      </c>
      <c r="O553" s="9">
        <v>89</v>
      </c>
      <c r="P553" s="9">
        <v>74</v>
      </c>
      <c r="Q553" s="9">
        <v>49</v>
      </c>
      <c r="R553" s="23">
        <v>48</v>
      </c>
      <c r="S553" s="22"/>
      <c r="T553" s="8">
        <v>617</v>
      </c>
    </row>
    <row r="554" spans="5:20">
      <c r="E554" s="6" t="s">
        <v>51</v>
      </c>
      <c r="F554" s="6"/>
      <c r="G554" s="8" t="s">
        <v>52</v>
      </c>
      <c r="H554" s="9">
        <v>100</v>
      </c>
      <c r="I554" s="23">
        <v>100</v>
      </c>
      <c r="J554" s="24"/>
      <c r="K554" s="22"/>
      <c r="L554" s="23">
        <v>100</v>
      </c>
      <c r="M554" s="22"/>
      <c r="N554" s="9">
        <v>100</v>
      </c>
      <c r="O554" s="9">
        <v>100</v>
      </c>
      <c r="P554" s="9">
        <v>100</v>
      </c>
      <c r="Q554" s="9">
        <v>50</v>
      </c>
      <c r="R554" s="23">
        <v>50</v>
      </c>
      <c r="S554" s="22"/>
      <c r="T554" s="8">
        <v>700</v>
      </c>
    </row>
    <row r="555" spans="5:20">
      <c r="E555" s="21" t="s">
        <v>287</v>
      </c>
      <c r="F555" s="22"/>
      <c r="G555" s="8" t="s">
        <v>54</v>
      </c>
      <c r="H555" s="9" t="s">
        <v>122</v>
      </c>
      <c r="I555" s="23" t="s">
        <v>94</v>
      </c>
      <c r="J555" s="24"/>
      <c r="K555" s="22"/>
      <c r="L555" s="23" t="s">
        <v>93</v>
      </c>
      <c r="M555" s="22"/>
      <c r="N555" s="9" t="s">
        <v>95</v>
      </c>
      <c r="O555" s="9" t="s">
        <v>122</v>
      </c>
      <c r="P555" s="9" t="s">
        <v>108</v>
      </c>
      <c r="Q555" s="9" t="s">
        <v>93</v>
      </c>
      <c r="R555" s="23" t="s">
        <v>93</v>
      </c>
      <c r="S555" s="22"/>
      <c r="T555" s="8" t="s">
        <v>33</v>
      </c>
    </row>
    <row r="556" spans="5:20">
      <c r="E556" s="11" t="s">
        <v>56</v>
      </c>
      <c r="F556" s="11" t="s">
        <v>411</v>
      </c>
      <c r="G556" s="8" t="s">
        <v>58</v>
      </c>
      <c r="H556" s="9" t="s">
        <v>59</v>
      </c>
      <c r="I556" s="23" t="s">
        <v>59</v>
      </c>
      <c r="J556" s="24"/>
      <c r="K556" s="22"/>
      <c r="L556" s="23" t="s">
        <v>59</v>
      </c>
      <c r="M556" s="22"/>
      <c r="N556" s="9" t="s">
        <v>59</v>
      </c>
      <c r="O556" s="9" t="s">
        <v>59</v>
      </c>
      <c r="P556" s="9" t="s">
        <v>59</v>
      </c>
      <c r="Q556" s="9" t="s">
        <v>59</v>
      </c>
      <c r="R556" s="23" t="s">
        <v>59</v>
      </c>
      <c r="S556" s="22"/>
      <c r="T556" s="8" t="s">
        <v>33</v>
      </c>
    </row>
    <row r="557" spans="5:20">
      <c r="E557" s="12" t="s">
        <v>33</v>
      </c>
      <c r="F557" s="12" t="s">
        <v>33</v>
      </c>
      <c r="G557" s="12" t="s">
        <v>33</v>
      </c>
      <c r="H557" s="13" t="s">
        <v>33</v>
      </c>
      <c r="I557" s="20" t="s">
        <v>33</v>
      </c>
      <c r="J557" s="18"/>
      <c r="K557" s="18"/>
      <c r="L557" s="20" t="s">
        <v>33</v>
      </c>
      <c r="M557" s="18"/>
      <c r="N557" s="13" t="s">
        <v>33</v>
      </c>
      <c r="O557" s="13" t="s">
        <v>33</v>
      </c>
      <c r="P557" s="13" t="s">
        <v>33</v>
      </c>
      <c r="Q557" s="13" t="s">
        <v>33</v>
      </c>
      <c r="R557" s="20" t="s">
        <v>33</v>
      </c>
      <c r="S557" s="18"/>
      <c r="T557" s="13" t="s">
        <v>33</v>
      </c>
    </row>
    <row r="558" spans="5:20" ht="0" hidden="1" customHeight="1"/>
    <row r="559" spans="5:20" ht="0.6" customHeight="1"/>
    <row r="560" spans="5:20">
      <c r="E560" s="31" t="s">
        <v>31</v>
      </c>
      <c r="F560" s="22"/>
      <c r="G560" s="3" t="s">
        <v>32</v>
      </c>
      <c r="H560" s="5" t="s">
        <v>33</v>
      </c>
      <c r="I560" s="32" t="s">
        <v>33</v>
      </c>
      <c r="J560" s="18"/>
      <c r="K560" s="18"/>
      <c r="L560" s="32" t="s">
        <v>33</v>
      </c>
      <c r="M560" s="18"/>
      <c r="N560" s="5" t="s">
        <v>33</v>
      </c>
      <c r="O560" s="5" t="s">
        <v>33</v>
      </c>
      <c r="P560" s="5" t="s">
        <v>33</v>
      </c>
      <c r="Q560" s="5" t="s">
        <v>33</v>
      </c>
      <c r="R560" s="32" t="s">
        <v>33</v>
      </c>
      <c r="S560" s="18"/>
      <c r="T560" s="5" t="s">
        <v>33</v>
      </c>
    </row>
    <row r="561" spans="5:20" ht="21">
      <c r="E561" s="21" t="s">
        <v>412</v>
      </c>
      <c r="F561" s="22"/>
      <c r="G561" s="7" t="s">
        <v>35</v>
      </c>
      <c r="H561" s="7" t="s">
        <v>5</v>
      </c>
      <c r="I561" s="30" t="s">
        <v>7</v>
      </c>
      <c r="J561" s="24"/>
      <c r="K561" s="22"/>
      <c r="L561" s="30" t="s">
        <v>9</v>
      </c>
      <c r="M561" s="22"/>
      <c r="N561" s="7" t="s">
        <v>11</v>
      </c>
      <c r="O561" s="7" t="s">
        <v>15</v>
      </c>
      <c r="P561" s="7" t="s">
        <v>17</v>
      </c>
      <c r="Q561" s="7" t="s">
        <v>21</v>
      </c>
      <c r="R561" s="30" t="s">
        <v>27</v>
      </c>
      <c r="S561" s="22"/>
      <c r="T561" s="7" t="s">
        <v>36</v>
      </c>
    </row>
    <row r="562" spans="5:20" ht="22.5">
      <c r="E562" s="6" t="s">
        <v>37</v>
      </c>
      <c r="F562" s="6" t="s">
        <v>413</v>
      </c>
      <c r="G562" s="8" t="s">
        <v>39</v>
      </c>
      <c r="H562" s="9" t="s">
        <v>414</v>
      </c>
      <c r="I562" s="23" t="s">
        <v>415</v>
      </c>
      <c r="J562" s="24"/>
      <c r="K562" s="22"/>
      <c r="L562" s="23" t="s">
        <v>88</v>
      </c>
      <c r="M562" s="22"/>
      <c r="N562" s="9" t="s">
        <v>244</v>
      </c>
      <c r="O562" s="9" t="s">
        <v>416</v>
      </c>
      <c r="P562" s="9" t="s">
        <v>417</v>
      </c>
      <c r="Q562" s="9" t="s">
        <v>89</v>
      </c>
      <c r="R562" s="23" t="s">
        <v>43</v>
      </c>
      <c r="S562" s="22"/>
      <c r="T562" s="8" t="s">
        <v>33</v>
      </c>
    </row>
    <row r="563" spans="5:20">
      <c r="E563" s="21" t="s">
        <v>418</v>
      </c>
      <c r="F563" s="25"/>
      <c r="G563" s="8" t="s">
        <v>42</v>
      </c>
      <c r="H563" s="9" t="s">
        <v>43</v>
      </c>
      <c r="I563" s="23" t="s">
        <v>43</v>
      </c>
      <c r="J563" s="24"/>
      <c r="K563" s="22"/>
      <c r="L563" s="23" t="s">
        <v>43</v>
      </c>
      <c r="M563" s="22"/>
      <c r="N563" s="9" t="s">
        <v>43</v>
      </c>
      <c r="O563" s="9" t="s">
        <v>43</v>
      </c>
      <c r="P563" s="9" t="s">
        <v>43</v>
      </c>
      <c r="Q563" s="9" t="s">
        <v>43</v>
      </c>
      <c r="R563" s="23" t="s">
        <v>107</v>
      </c>
      <c r="S563" s="22"/>
      <c r="T563" s="8" t="s">
        <v>33</v>
      </c>
    </row>
    <row r="564" spans="5:20">
      <c r="E564" s="26"/>
      <c r="F564" s="27"/>
      <c r="G564" s="8" t="s">
        <v>44</v>
      </c>
      <c r="H564" s="9" t="s">
        <v>33</v>
      </c>
      <c r="I564" s="23" t="s">
        <v>33</v>
      </c>
      <c r="J564" s="24"/>
      <c r="K564" s="22"/>
      <c r="L564" s="23" t="s">
        <v>33</v>
      </c>
      <c r="M564" s="22"/>
      <c r="N564" s="9" t="s">
        <v>33</v>
      </c>
      <c r="O564" s="9" t="s">
        <v>33</v>
      </c>
      <c r="P564" s="9" t="s">
        <v>33</v>
      </c>
      <c r="Q564" s="9" t="s">
        <v>33</v>
      </c>
      <c r="R564" s="23" t="s">
        <v>33</v>
      </c>
      <c r="S564" s="22"/>
      <c r="T564" s="8">
        <v>0</v>
      </c>
    </row>
    <row r="565" spans="5:20">
      <c r="E565" s="28"/>
      <c r="F565" s="29"/>
      <c r="G565" s="8" t="s">
        <v>45</v>
      </c>
      <c r="H565" s="9">
        <v>4</v>
      </c>
      <c r="I565" s="23">
        <v>4</v>
      </c>
      <c r="J565" s="24"/>
      <c r="K565" s="22"/>
      <c r="L565" s="23">
        <v>4</v>
      </c>
      <c r="M565" s="22"/>
      <c r="N565" s="9">
        <v>3</v>
      </c>
      <c r="O565" s="9">
        <v>3</v>
      </c>
      <c r="P565" s="9">
        <v>3</v>
      </c>
      <c r="Q565" s="9">
        <v>2</v>
      </c>
      <c r="R565" s="23">
        <v>2</v>
      </c>
      <c r="S565" s="22"/>
      <c r="T565" s="8">
        <v>25</v>
      </c>
    </row>
    <row r="566" spans="5:20">
      <c r="E566" s="6" t="s">
        <v>46</v>
      </c>
      <c r="F566" s="6">
        <v>8.0399999999999991</v>
      </c>
      <c r="G566" s="8" t="s">
        <v>47</v>
      </c>
      <c r="H566" s="9">
        <v>6</v>
      </c>
      <c r="I566" s="23">
        <v>7</v>
      </c>
      <c r="J566" s="24"/>
      <c r="K566" s="22"/>
      <c r="L566" s="23">
        <v>10</v>
      </c>
      <c r="M566" s="22"/>
      <c r="N566" s="9">
        <v>7</v>
      </c>
      <c r="O566" s="9">
        <v>9</v>
      </c>
      <c r="P566" s="9">
        <v>7</v>
      </c>
      <c r="Q566" s="9">
        <v>10</v>
      </c>
      <c r="R566" s="23">
        <v>10</v>
      </c>
      <c r="S566" s="22"/>
      <c r="T566" s="8" t="s">
        <v>33</v>
      </c>
    </row>
    <row r="567" spans="5:20">
      <c r="E567" s="6" t="s">
        <v>48</v>
      </c>
      <c r="F567" s="10">
        <v>8.07</v>
      </c>
      <c r="G567" s="8" t="s">
        <v>49</v>
      </c>
      <c r="H567" s="9">
        <v>24</v>
      </c>
      <c r="I567" s="23">
        <v>28</v>
      </c>
      <c r="J567" s="24"/>
      <c r="K567" s="22"/>
      <c r="L567" s="23">
        <v>40</v>
      </c>
      <c r="M567" s="22"/>
      <c r="N567" s="9">
        <v>21</v>
      </c>
      <c r="O567" s="9">
        <v>27</v>
      </c>
      <c r="P567" s="9">
        <v>21</v>
      </c>
      <c r="Q567" s="9">
        <v>20</v>
      </c>
      <c r="R567" s="23">
        <v>20</v>
      </c>
      <c r="S567" s="22"/>
      <c r="T567" s="8">
        <v>201</v>
      </c>
    </row>
    <row r="568" spans="5:20">
      <c r="E568" s="21" t="s">
        <v>50</v>
      </c>
      <c r="F568" s="22"/>
      <c r="G568" s="8" t="s">
        <v>36</v>
      </c>
      <c r="H568" s="9">
        <v>57</v>
      </c>
      <c r="I568" s="23">
        <v>66</v>
      </c>
      <c r="J568" s="24"/>
      <c r="K568" s="22"/>
      <c r="L568" s="23">
        <v>100</v>
      </c>
      <c r="M568" s="22"/>
      <c r="N568" s="9">
        <v>68</v>
      </c>
      <c r="O568" s="9">
        <v>85</v>
      </c>
      <c r="P568" s="9">
        <v>69</v>
      </c>
      <c r="Q568" s="9">
        <v>50</v>
      </c>
      <c r="R568" s="23">
        <v>48</v>
      </c>
      <c r="S568" s="22"/>
      <c r="T568" s="8">
        <v>543</v>
      </c>
    </row>
    <row r="569" spans="5:20">
      <c r="E569" s="6" t="s">
        <v>51</v>
      </c>
      <c r="F569" s="6"/>
      <c r="G569" s="8" t="s">
        <v>52</v>
      </c>
      <c r="H569" s="9">
        <v>100</v>
      </c>
      <c r="I569" s="23">
        <v>100</v>
      </c>
      <c r="J569" s="24"/>
      <c r="K569" s="22"/>
      <c r="L569" s="23">
        <v>100</v>
      </c>
      <c r="M569" s="22"/>
      <c r="N569" s="9">
        <v>100</v>
      </c>
      <c r="O569" s="9">
        <v>100</v>
      </c>
      <c r="P569" s="9">
        <v>100</v>
      </c>
      <c r="Q569" s="9">
        <v>50</v>
      </c>
      <c r="R569" s="23">
        <v>50</v>
      </c>
      <c r="S569" s="22"/>
      <c r="T569" s="8">
        <v>700</v>
      </c>
    </row>
    <row r="570" spans="5:20">
      <c r="E570" s="21" t="s">
        <v>159</v>
      </c>
      <c r="F570" s="22"/>
      <c r="G570" s="8" t="s">
        <v>54</v>
      </c>
      <c r="H570" s="9" t="s">
        <v>147</v>
      </c>
      <c r="I570" s="23" t="s">
        <v>109</v>
      </c>
      <c r="J570" s="24"/>
      <c r="K570" s="22"/>
      <c r="L570" s="23" t="s">
        <v>93</v>
      </c>
      <c r="M570" s="22"/>
      <c r="N570" s="9" t="s">
        <v>109</v>
      </c>
      <c r="O570" s="9" t="s">
        <v>122</v>
      </c>
      <c r="P570" s="9" t="s">
        <v>109</v>
      </c>
      <c r="Q570" s="9" t="s">
        <v>93</v>
      </c>
      <c r="R570" s="23" t="s">
        <v>93</v>
      </c>
      <c r="S570" s="22"/>
      <c r="T570" s="8" t="s">
        <v>33</v>
      </c>
    </row>
    <row r="571" spans="5:20">
      <c r="E571" s="11" t="s">
        <v>56</v>
      </c>
      <c r="F571" s="11" t="s">
        <v>419</v>
      </c>
      <c r="G571" s="8" t="s">
        <v>58</v>
      </c>
      <c r="H571" s="9" t="s">
        <v>59</v>
      </c>
      <c r="I571" s="23" t="s">
        <v>59</v>
      </c>
      <c r="J571" s="24"/>
      <c r="K571" s="22"/>
      <c r="L571" s="23" t="s">
        <v>59</v>
      </c>
      <c r="M571" s="22"/>
      <c r="N571" s="9" t="s">
        <v>59</v>
      </c>
      <c r="O571" s="9" t="s">
        <v>59</v>
      </c>
      <c r="P571" s="9" t="s">
        <v>59</v>
      </c>
      <c r="Q571" s="9" t="s">
        <v>59</v>
      </c>
      <c r="R571" s="23" t="s">
        <v>59</v>
      </c>
      <c r="S571" s="22"/>
      <c r="T571" s="8" t="s">
        <v>33</v>
      </c>
    </row>
    <row r="572" spans="5:20">
      <c r="E572" s="12" t="s">
        <v>33</v>
      </c>
      <c r="F572" s="12" t="s">
        <v>33</v>
      </c>
      <c r="G572" s="12" t="s">
        <v>33</v>
      </c>
      <c r="H572" s="13" t="s">
        <v>33</v>
      </c>
      <c r="I572" s="20" t="s">
        <v>33</v>
      </c>
      <c r="J572" s="18"/>
      <c r="K572" s="18"/>
      <c r="L572" s="20" t="s">
        <v>33</v>
      </c>
      <c r="M572" s="18"/>
      <c r="N572" s="13" t="s">
        <v>33</v>
      </c>
      <c r="O572" s="13" t="s">
        <v>33</v>
      </c>
      <c r="P572" s="13" t="s">
        <v>33</v>
      </c>
      <c r="Q572" s="13" t="s">
        <v>33</v>
      </c>
      <c r="R572" s="20" t="s">
        <v>33</v>
      </c>
      <c r="S572" s="18"/>
      <c r="T572" s="13" t="s">
        <v>33</v>
      </c>
    </row>
    <row r="573" spans="5:20" ht="0" hidden="1" customHeight="1"/>
    <row r="574" spans="5:20" ht="0.6" customHeight="1"/>
    <row r="575" spans="5:20">
      <c r="E575" s="31" t="s">
        <v>31</v>
      </c>
      <c r="F575" s="22"/>
      <c r="G575" s="3" t="s">
        <v>32</v>
      </c>
      <c r="H575" s="5" t="s">
        <v>33</v>
      </c>
      <c r="I575" s="32" t="s">
        <v>33</v>
      </c>
      <c r="J575" s="18"/>
      <c r="K575" s="18"/>
      <c r="L575" s="32" t="s">
        <v>33</v>
      </c>
      <c r="M575" s="18"/>
      <c r="N575" s="5" t="s">
        <v>33</v>
      </c>
      <c r="O575" s="5" t="s">
        <v>33</v>
      </c>
      <c r="P575" s="5" t="s">
        <v>33</v>
      </c>
      <c r="Q575" s="5" t="s">
        <v>33</v>
      </c>
      <c r="R575" s="32" t="s">
        <v>33</v>
      </c>
      <c r="S575" s="18"/>
      <c r="T575" s="5" t="s">
        <v>33</v>
      </c>
    </row>
    <row r="576" spans="5:20" ht="21">
      <c r="E576" s="21" t="s">
        <v>420</v>
      </c>
      <c r="F576" s="22"/>
      <c r="G576" s="7" t="s">
        <v>35</v>
      </c>
      <c r="H576" s="7" t="s">
        <v>5</v>
      </c>
      <c r="I576" s="30" t="s">
        <v>7</v>
      </c>
      <c r="J576" s="24"/>
      <c r="K576" s="22"/>
      <c r="L576" s="30" t="s">
        <v>9</v>
      </c>
      <c r="M576" s="22"/>
      <c r="N576" s="7" t="s">
        <v>11</v>
      </c>
      <c r="O576" s="7" t="s">
        <v>15</v>
      </c>
      <c r="P576" s="7" t="s">
        <v>17</v>
      </c>
      <c r="Q576" s="7" t="s">
        <v>21</v>
      </c>
      <c r="R576" s="30" t="s">
        <v>27</v>
      </c>
      <c r="S576" s="22"/>
      <c r="T576" s="7" t="s">
        <v>36</v>
      </c>
    </row>
    <row r="577" spans="5:20" ht="22.5">
      <c r="E577" s="6" t="s">
        <v>37</v>
      </c>
      <c r="F577" s="6" t="s">
        <v>421</v>
      </c>
      <c r="G577" s="8" t="s">
        <v>39</v>
      </c>
      <c r="H577" s="9" t="s">
        <v>422</v>
      </c>
      <c r="I577" s="23" t="s">
        <v>423</v>
      </c>
      <c r="J577" s="24"/>
      <c r="K577" s="22"/>
      <c r="L577" s="23" t="s">
        <v>424</v>
      </c>
      <c r="M577" s="22"/>
      <c r="N577" s="9" t="s">
        <v>425</v>
      </c>
      <c r="O577" s="9" t="s">
        <v>426</v>
      </c>
      <c r="P577" s="9" t="s">
        <v>316</v>
      </c>
      <c r="Q577" s="9" t="s">
        <v>427</v>
      </c>
      <c r="R577" s="23" t="s">
        <v>43</v>
      </c>
      <c r="S577" s="22"/>
      <c r="T577" s="8" t="s">
        <v>33</v>
      </c>
    </row>
    <row r="578" spans="5:20">
      <c r="E578" s="21" t="s">
        <v>428</v>
      </c>
      <c r="F578" s="25"/>
      <c r="G578" s="8" t="s">
        <v>42</v>
      </c>
      <c r="H578" s="9" t="s">
        <v>43</v>
      </c>
      <c r="I578" s="23" t="s">
        <v>43</v>
      </c>
      <c r="J578" s="24"/>
      <c r="K578" s="22"/>
      <c r="L578" s="23" t="s">
        <v>43</v>
      </c>
      <c r="M578" s="22"/>
      <c r="N578" s="9" t="s">
        <v>43</v>
      </c>
      <c r="O578" s="9" t="s">
        <v>43</v>
      </c>
      <c r="P578" s="9" t="s">
        <v>43</v>
      </c>
      <c r="Q578" s="9" t="s">
        <v>43</v>
      </c>
      <c r="R578" s="23" t="s">
        <v>91</v>
      </c>
      <c r="S578" s="22"/>
      <c r="T578" s="8" t="s">
        <v>33</v>
      </c>
    </row>
    <row r="579" spans="5:20">
      <c r="E579" s="26"/>
      <c r="F579" s="27"/>
      <c r="G579" s="8" t="s">
        <v>44</v>
      </c>
      <c r="H579" s="9" t="s">
        <v>33</v>
      </c>
      <c r="I579" s="23" t="s">
        <v>33</v>
      </c>
      <c r="J579" s="24"/>
      <c r="K579" s="22"/>
      <c r="L579" s="23" t="s">
        <v>33</v>
      </c>
      <c r="M579" s="22"/>
      <c r="N579" s="9" t="s">
        <v>33</v>
      </c>
      <c r="O579" s="9" t="s">
        <v>33</v>
      </c>
      <c r="P579" s="9" t="s">
        <v>33</v>
      </c>
      <c r="Q579" s="9" t="s">
        <v>33</v>
      </c>
      <c r="R579" s="23" t="s">
        <v>33</v>
      </c>
      <c r="S579" s="22"/>
      <c r="T579" s="8">
        <v>0</v>
      </c>
    </row>
    <row r="580" spans="5:20">
      <c r="E580" s="28"/>
      <c r="F580" s="29"/>
      <c r="G580" s="8" t="s">
        <v>45</v>
      </c>
      <c r="H580" s="9">
        <v>4</v>
      </c>
      <c r="I580" s="23">
        <v>4</v>
      </c>
      <c r="J580" s="24"/>
      <c r="K580" s="22"/>
      <c r="L580" s="23">
        <v>4</v>
      </c>
      <c r="M580" s="22"/>
      <c r="N580" s="9">
        <v>3</v>
      </c>
      <c r="O580" s="9">
        <v>3</v>
      </c>
      <c r="P580" s="9">
        <v>3</v>
      </c>
      <c r="Q580" s="9">
        <v>2</v>
      </c>
      <c r="R580" s="23">
        <v>2</v>
      </c>
      <c r="S580" s="22"/>
      <c r="T580" s="8">
        <v>25</v>
      </c>
    </row>
    <row r="581" spans="5:20">
      <c r="E581" s="6" t="s">
        <v>46</v>
      </c>
      <c r="F581" s="6">
        <v>7.72</v>
      </c>
      <c r="G581" s="8" t="s">
        <v>47</v>
      </c>
      <c r="H581" s="9">
        <v>7</v>
      </c>
      <c r="I581" s="23">
        <v>6.5</v>
      </c>
      <c r="J581" s="24"/>
      <c r="K581" s="22"/>
      <c r="L581" s="23">
        <v>9.5</v>
      </c>
      <c r="M581" s="22"/>
      <c r="N581" s="9">
        <v>7</v>
      </c>
      <c r="O581" s="9">
        <v>9</v>
      </c>
      <c r="P581" s="9">
        <v>5</v>
      </c>
      <c r="Q581" s="9">
        <v>9</v>
      </c>
      <c r="R581" s="23">
        <v>10</v>
      </c>
      <c r="S581" s="22"/>
      <c r="T581" s="8" t="s">
        <v>33</v>
      </c>
    </row>
    <row r="582" spans="5:20">
      <c r="E582" s="6" t="s">
        <v>48</v>
      </c>
      <c r="F582" s="10">
        <v>7.24</v>
      </c>
      <c r="G582" s="8" t="s">
        <v>49</v>
      </c>
      <c r="H582" s="9">
        <v>28</v>
      </c>
      <c r="I582" s="23">
        <v>26</v>
      </c>
      <c r="J582" s="24"/>
      <c r="K582" s="22"/>
      <c r="L582" s="23">
        <v>38</v>
      </c>
      <c r="M582" s="22"/>
      <c r="N582" s="9">
        <v>21</v>
      </c>
      <c r="O582" s="9">
        <v>27</v>
      </c>
      <c r="P582" s="9">
        <v>15</v>
      </c>
      <c r="Q582" s="9">
        <v>18</v>
      </c>
      <c r="R582" s="23">
        <v>20</v>
      </c>
      <c r="S582" s="22"/>
      <c r="T582" s="8">
        <v>193</v>
      </c>
    </row>
    <row r="583" spans="5:20">
      <c r="E583" s="21" t="s">
        <v>50</v>
      </c>
      <c r="F583" s="22"/>
      <c r="G583" s="8" t="s">
        <v>36</v>
      </c>
      <c r="H583" s="9">
        <v>65</v>
      </c>
      <c r="I583" s="23">
        <v>64</v>
      </c>
      <c r="J583" s="24"/>
      <c r="K583" s="22"/>
      <c r="L583" s="23">
        <v>91</v>
      </c>
      <c r="M583" s="22"/>
      <c r="N583" s="9">
        <v>68</v>
      </c>
      <c r="O583" s="9">
        <v>85</v>
      </c>
      <c r="P583" s="9">
        <v>46</v>
      </c>
      <c r="Q583" s="9">
        <v>43</v>
      </c>
      <c r="R583" s="23">
        <v>50</v>
      </c>
      <c r="S583" s="22"/>
      <c r="T583" s="8">
        <v>512</v>
      </c>
    </row>
    <row r="584" spans="5:20">
      <c r="E584" s="6" t="s">
        <v>51</v>
      </c>
      <c r="F584" s="6"/>
      <c r="G584" s="8" t="s">
        <v>52</v>
      </c>
      <c r="H584" s="9">
        <v>100</v>
      </c>
      <c r="I584" s="23">
        <v>100</v>
      </c>
      <c r="J584" s="24"/>
      <c r="K584" s="22"/>
      <c r="L584" s="23">
        <v>100</v>
      </c>
      <c r="M584" s="22"/>
      <c r="N584" s="9">
        <v>100</v>
      </c>
      <c r="O584" s="9">
        <v>100</v>
      </c>
      <c r="P584" s="9">
        <v>100</v>
      </c>
      <c r="Q584" s="9">
        <v>50</v>
      </c>
      <c r="R584" s="23">
        <v>50</v>
      </c>
      <c r="S584" s="22"/>
      <c r="T584" s="8">
        <v>700</v>
      </c>
    </row>
    <row r="585" spans="5:20">
      <c r="E585" s="21" t="s">
        <v>121</v>
      </c>
      <c r="F585" s="22"/>
      <c r="G585" s="8" t="s">
        <v>54</v>
      </c>
      <c r="H585" s="9" t="s">
        <v>109</v>
      </c>
      <c r="I585" s="23" t="s">
        <v>76</v>
      </c>
      <c r="J585" s="24"/>
      <c r="K585" s="22"/>
      <c r="L585" s="23" t="s">
        <v>94</v>
      </c>
      <c r="M585" s="22"/>
      <c r="N585" s="9" t="s">
        <v>109</v>
      </c>
      <c r="O585" s="9" t="s">
        <v>122</v>
      </c>
      <c r="P585" s="9" t="s">
        <v>55</v>
      </c>
      <c r="Q585" s="9" t="s">
        <v>122</v>
      </c>
      <c r="R585" s="23" t="s">
        <v>93</v>
      </c>
      <c r="S585" s="22"/>
      <c r="T585" s="8" t="s">
        <v>33</v>
      </c>
    </row>
    <row r="586" spans="5:20">
      <c r="E586" s="11" t="s">
        <v>56</v>
      </c>
      <c r="F586" s="11" t="s">
        <v>429</v>
      </c>
      <c r="G586" s="8" t="s">
        <v>58</v>
      </c>
      <c r="H586" s="9" t="s">
        <v>59</v>
      </c>
      <c r="I586" s="23" t="s">
        <v>59</v>
      </c>
      <c r="J586" s="24"/>
      <c r="K586" s="22"/>
      <c r="L586" s="23" t="s">
        <v>59</v>
      </c>
      <c r="M586" s="22"/>
      <c r="N586" s="9" t="s">
        <v>59</v>
      </c>
      <c r="O586" s="9" t="s">
        <v>59</v>
      </c>
      <c r="P586" s="9" t="s">
        <v>59</v>
      </c>
      <c r="Q586" s="9" t="s">
        <v>59</v>
      </c>
      <c r="R586" s="23" t="s">
        <v>59</v>
      </c>
      <c r="S586" s="22"/>
      <c r="T586" s="8" t="s">
        <v>33</v>
      </c>
    </row>
    <row r="587" spans="5:20">
      <c r="E587" s="12" t="s">
        <v>33</v>
      </c>
      <c r="F587" s="12" t="s">
        <v>33</v>
      </c>
      <c r="G587" s="12" t="s">
        <v>33</v>
      </c>
      <c r="H587" s="13" t="s">
        <v>33</v>
      </c>
      <c r="I587" s="20" t="s">
        <v>33</v>
      </c>
      <c r="J587" s="18"/>
      <c r="K587" s="18"/>
      <c r="L587" s="20" t="s">
        <v>33</v>
      </c>
      <c r="M587" s="18"/>
      <c r="N587" s="13" t="s">
        <v>33</v>
      </c>
      <c r="O587" s="13" t="s">
        <v>33</v>
      </c>
      <c r="P587" s="13" t="s">
        <v>33</v>
      </c>
      <c r="Q587" s="13" t="s">
        <v>33</v>
      </c>
      <c r="R587" s="20" t="s">
        <v>33</v>
      </c>
      <c r="S587" s="18"/>
      <c r="T587" s="13" t="s">
        <v>33</v>
      </c>
    </row>
    <row r="588" spans="5:20" ht="0.6" customHeight="1"/>
    <row r="589" spans="5:20">
      <c r="E589" s="31" t="s">
        <v>31</v>
      </c>
      <c r="F589" s="22"/>
      <c r="G589" s="3" t="s">
        <v>32</v>
      </c>
      <c r="H589" s="5" t="s">
        <v>33</v>
      </c>
      <c r="I589" s="32" t="s">
        <v>33</v>
      </c>
      <c r="J589" s="18"/>
      <c r="K589" s="18"/>
      <c r="L589" s="32" t="s">
        <v>33</v>
      </c>
      <c r="M589" s="18"/>
      <c r="N589" s="5" t="s">
        <v>33</v>
      </c>
      <c r="O589" s="5" t="s">
        <v>33</v>
      </c>
      <c r="P589" s="5" t="s">
        <v>33</v>
      </c>
      <c r="Q589" s="5" t="s">
        <v>33</v>
      </c>
      <c r="R589" s="32" t="s">
        <v>33</v>
      </c>
      <c r="S589" s="18"/>
      <c r="T589" s="5" t="s">
        <v>33</v>
      </c>
    </row>
    <row r="590" spans="5:20" ht="21">
      <c r="E590" s="21" t="s">
        <v>430</v>
      </c>
      <c r="F590" s="22"/>
      <c r="G590" s="7" t="s">
        <v>35</v>
      </c>
      <c r="H590" s="7" t="s">
        <v>5</v>
      </c>
      <c r="I590" s="30" t="s">
        <v>7</v>
      </c>
      <c r="J590" s="24"/>
      <c r="K590" s="22"/>
      <c r="L590" s="30" t="s">
        <v>9</v>
      </c>
      <c r="M590" s="22"/>
      <c r="N590" s="7" t="s">
        <v>11</v>
      </c>
      <c r="O590" s="7" t="s">
        <v>15</v>
      </c>
      <c r="P590" s="7" t="s">
        <v>17</v>
      </c>
      <c r="Q590" s="7" t="s">
        <v>21</v>
      </c>
      <c r="R590" s="30" t="s">
        <v>27</v>
      </c>
      <c r="S590" s="22"/>
      <c r="T590" s="7" t="s">
        <v>36</v>
      </c>
    </row>
    <row r="591" spans="5:20" ht="22.5">
      <c r="E591" s="6" t="s">
        <v>37</v>
      </c>
      <c r="F591" s="6" t="s">
        <v>431</v>
      </c>
      <c r="G591" s="8" t="s">
        <v>39</v>
      </c>
      <c r="H591" s="9" t="s">
        <v>236</v>
      </c>
      <c r="I591" s="23" t="s">
        <v>154</v>
      </c>
      <c r="J591" s="24"/>
      <c r="K591" s="22"/>
      <c r="L591" s="23" t="s">
        <v>432</v>
      </c>
      <c r="M591" s="22"/>
      <c r="N591" s="9" t="s">
        <v>433</v>
      </c>
      <c r="O591" s="9" t="s">
        <v>434</v>
      </c>
      <c r="P591" s="9" t="s">
        <v>347</v>
      </c>
      <c r="Q591" s="9" t="s">
        <v>435</v>
      </c>
      <c r="R591" s="23" t="s">
        <v>43</v>
      </c>
      <c r="S591" s="22"/>
      <c r="T591" s="8" t="s">
        <v>33</v>
      </c>
    </row>
    <row r="592" spans="5:20">
      <c r="E592" s="21" t="s">
        <v>436</v>
      </c>
      <c r="F592" s="25"/>
      <c r="G592" s="8" t="s">
        <v>42</v>
      </c>
      <c r="H592" s="9" t="s">
        <v>43</v>
      </c>
      <c r="I592" s="23" t="s">
        <v>43</v>
      </c>
      <c r="J592" s="24"/>
      <c r="K592" s="22"/>
      <c r="L592" s="23" t="s">
        <v>43</v>
      </c>
      <c r="M592" s="22"/>
      <c r="N592" s="9" t="s">
        <v>43</v>
      </c>
      <c r="O592" s="9" t="s">
        <v>43</v>
      </c>
      <c r="P592" s="9" t="s">
        <v>43</v>
      </c>
      <c r="Q592" s="9" t="s">
        <v>43</v>
      </c>
      <c r="R592" s="23" t="s">
        <v>107</v>
      </c>
      <c r="S592" s="22"/>
      <c r="T592" s="8" t="s">
        <v>33</v>
      </c>
    </row>
    <row r="593" spans="5:20">
      <c r="E593" s="26"/>
      <c r="F593" s="27"/>
      <c r="G593" s="8" t="s">
        <v>44</v>
      </c>
      <c r="H593" s="9" t="s">
        <v>33</v>
      </c>
      <c r="I593" s="23" t="s">
        <v>33</v>
      </c>
      <c r="J593" s="24"/>
      <c r="K593" s="22"/>
      <c r="L593" s="23" t="s">
        <v>33</v>
      </c>
      <c r="M593" s="22"/>
      <c r="N593" s="9" t="s">
        <v>33</v>
      </c>
      <c r="O593" s="9" t="s">
        <v>33</v>
      </c>
      <c r="P593" s="9" t="s">
        <v>33</v>
      </c>
      <c r="Q593" s="9" t="s">
        <v>33</v>
      </c>
      <c r="R593" s="23" t="s">
        <v>33</v>
      </c>
      <c r="S593" s="22"/>
      <c r="T593" s="8">
        <v>0</v>
      </c>
    </row>
    <row r="594" spans="5:20">
      <c r="E594" s="28"/>
      <c r="F594" s="29"/>
      <c r="G594" s="8" t="s">
        <v>45</v>
      </c>
      <c r="H594" s="9">
        <v>4</v>
      </c>
      <c r="I594" s="23">
        <v>4</v>
      </c>
      <c r="J594" s="24"/>
      <c r="K594" s="22"/>
      <c r="L594" s="23">
        <v>4</v>
      </c>
      <c r="M594" s="22"/>
      <c r="N594" s="9">
        <v>3</v>
      </c>
      <c r="O594" s="9">
        <v>3</v>
      </c>
      <c r="P594" s="9">
        <v>3</v>
      </c>
      <c r="Q594" s="9">
        <v>2</v>
      </c>
      <c r="R594" s="23">
        <v>2</v>
      </c>
      <c r="S594" s="22"/>
      <c r="T594" s="8">
        <v>25</v>
      </c>
    </row>
    <row r="595" spans="5:20">
      <c r="E595" s="6" t="s">
        <v>46</v>
      </c>
      <c r="F595" s="6">
        <v>8.3000000000000007</v>
      </c>
      <c r="G595" s="8" t="s">
        <v>47</v>
      </c>
      <c r="H595" s="9">
        <v>8</v>
      </c>
      <c r="I595" s="23">
        <v>7.5</v>
      </c>
      <c r="J595" s="24"/>
      <c r="K595" s="22"/>
      <c r="L595" s="23">
        <v>9</v>
      </c>
      <c r="M595" s="22"/>
      <c r="N595" s="9">
        <v>7.5</v>
      </c>
      <c r="O595" s="9">
        <v>9.5</v>
      </c>
      <c r="P595" s="9">
        <v>6.5</v>
      </c>
      <c r="Q595" s="9">
        <v>9.5</v>
      </c>
      <c r="R595" s="23">
        <v>10</v>
      </c>
      <c r="S595" s="22"/>
      <c r="T595" s="8" t="s">
        <v>33</v>
      </c>
    </row>
    <row r="596" spans="5:20">
      <c r="E596" s="6" t="s">
        <v>48</v>
      </c>
      <c r="F596" s="10">
        <v>8.1999999999999993</v>
      </c>
      <c r="G596" s="8" t="s">
        <v>49</v>
      </c>
      <c r="H596" s="9">
        <v>32</v>
      </c>
      <c r="I596" s="23">
        <v>30</v>
      </c>
      <c r="J596" s="24"/>
      <c r="K596" s="22"/>
      <c r="L596" s="23">
        <v>36</v>
      </c>
      <c r="M596" s="22"/>
      <c r="N596" s="9">
        <v>22.5</v>
      </c>
      <c r="O596" s="9">
        <v>28.5</v>
      </c>
      <c r="P596" s="9">
        <v>19.5</v>
      </c>
      <c r="Q596" s="9">
        <v>19</v>
      </c>
      <c r="R596" s="23">
        <v>20</v>
      </c>
      <c r="S596" s="22"/>
      <c r="T596" s="8">
        <v>207.5</v>
      </c>
    </row>
    <row r="597" spans="5:20">
      <c r="E597" s="21" t="s">
        <v>50</v>
      </c>
      <c r="F597" s="22"/>
      <c r="G597" s="8" t="s">
        <v>36</v>
      </c>
      <c r="H597" s="9">
        <v>75</v>
      </c>
      <c r="I597" s="23">
        <v>74</v>
      </c>
      <c r="J597" s="24"/>
      <c r="K597" s="22"/>
      <c r="L597" s="23">
        <v>88</v>
      </c>
      <c r="M597" s="22"/>
      <c r="N597" s="9">
        <v>71</v>
      </c>
      <c r="O597" s="9">
        <v>90</v>
      </c>
      <c r="P597" s="9">
        <v>61</v>
      </c>
      <c r="Q597" s="9">
        <v>46</v>
      </c>
      <c r="R597" s="23">
        <v>48</v>
      </c>
      <c r="S597" s="22"/>
      <c r="T597" s="8">
        <v>553</v>
      </c>
    </row>
    <row r="598" spans="5:20">
      <c r="E598" s="6" t="s">
        <v>51</v>
      </c>
      <c r="F598" s="6"/>
      <c r="G598" s="8" t="s">
        <v>52</v>
      </c>
      <c r="H598" s="9">
        <v>100</v>
      </c>
      <c r="I598" s="23">
        <v>100</v>
      </c>
      <c r="J598" s="24"/>
      <c r="K598" s="22"/>
      <c r="L598" s="23">
        <v>100</v>
      </c>
      <c r="M598" s="22"/>
      <c r="N598" s="9">
        <v>100</v>
      </c>
      <c r="O598" s="9">
        <v>100</v>
      </c>
      <c r="P598" s="9">
        <v>100</v>
      </c>
      <c r="Q598" s="9">
        <v>50</v>
      </c>
      <c r="R598" s="23">
        <v>50</v>
      </c>
      <c r="S598" s="22"/>
      <c r="T598" s="8">
        <v>700</v>
      </c>
    </row>
    <row r="599" spans="5:20">
      <c r="E599" s="21" t="s">
        <v>159</v>
      </c>
      <c r="F599" s="22"/>
      <c r="G599" s="8" t="s">
        <v>54</v>
      </c>
      <c r="H599" s="9" t="s">
        <v>135</v>
      </c>
      <c r="I599" s="23" t="s">
        <v>108</v>
      </c>
      <c r="J599" s="24"/>
      <c r="K599" s="22"/>
      <c r="L599" s="23" t="s">
        <v>122</v>
      </c>
      <c r="M599" s="22"/>
      <c r="N599" s="9" t="s">
        <v>108</v>
      </c>
      <c r="O599" s="9" t="s">
        <v>94</v>
      </c>
      <c r="P599" s="9" t="s">
        <v>76</v>
      </c>
      <c r="Q599" s="9" t="s">
        <v>94</v>
      </c>
      <c r="R599" s="23" t="s">
        <v>93</v>
      </c>
      <c r="S599" s="22"/>
      <c r="T599" s="8" t="s">
        <v>33</v>
      </c>
    </row>
    <row r="600" spans="5:20">
      <c r="E600" s="11" t="s">
        <v>56</v>
      </c>
      <c r="F600" s="11" t="s">
        <v>437</v>
      </c>
      <c r="G600" s="8" t="s">
        <v>58</v>
      </c>
      <c r="H600" s="9" t="s">
        <v>59</v>
      </c>
      <c r="I600" s="23" t="s">
        <v>59</v>
      </c>
      <c r="J600" s="24"/>
      <c r="K600" s="22"/>
      <c r="L600" s="23" t="s">
        <v>59</v>
      </c>
      <c r="M600" s="22"/>
      <c r="N600" s="9" t="s">
        <v>59</v>
      </c>
      <c r="O600" s="9" t="s">
        <v>59</v>
      </c>
      <c r="P600" s="9" t="s">
        <v>59</v>
      </c>
      <c r="Q600" s="9" t="s">
        <v>59</v>
      </c>
      <c r="R600" s="23" t="s">
        <v>59</v>
      </c>
      <c r="S600" s="22"/>
      <c r="T600" s="8" t="s">
        <v>33</v>
      </c>
    </row>
    <row r="601" spans="5:20">
      <c r="E601" s="12" t="s">
        <v>33</v>
      </c>
      <c r="F601" s="12" t="s">
        <v>33</v>
      </c>
      <c r="G601" s="12" t="s">
        <v>33</v>
      </c>
      <c r="H601" s="13" t="s">
        <v>33</v>
      </c>
      <c r="I601" s="20" t="s">
        <v>33</v>
      </c>
      <c r="J601" s="18"/>
      <c r="K601" s="18"/>
      <c r="L601" s="20" t="s">
        <v>33</v>
      </c>
      <c r="M601" s="18"/>
      <c r="N601" s="13" t="s">
        <v>33</v>
      </c>
      <c r="O601" s="13" t="s">
        <v>33</v>
      </c>
      <c r="P601" s="13" t="s">
        <v>33</v>
      </c>
      <c r="Q601" s="13" t="s">
        <v>33</v>
      </c>
      <c r="R601" s="20" t="s">
        <v>33</v>
      </c>
      <c r="S601" s="18"/>
      <c r="T601" s="13" t="s">
        <v>33</v>
      </c>
    </row>
    <row r="602" spans="5:20" ht="0" hidden="1" customHeight="1"/>
    <row r="603" spans="5:20" ht="0.6" customHeight="1"/>
    <row r="604" spans="5:20">
      <c r="E604" s="31" t="s">
        <v>31</v>
      </c>
      <c r="F604" s="22"/>
      <c r="G604" s="3" t="s">
        <v>32</v>
      </c>
      <c r="H604" s="5" t="s">
        <v>33</v>
      </c>
      <c r="I604" s="32" t="s">
        <v>33</v>
      </c>
      <c r="J604" s="18"/>
      <c r="K604" s="18"/>
      <c r="L604" s="32" t="s">
        <v>33</v>
      </c>
      <c r="M604" s="18"/>
      <c r="N604" s="5" t="s">
        <v>33</v>
      </c>
      <c r="O604" s="5" t="s">
        <v>33</v>
      </c>
      <c r="P604" s="5" t="s">
        <v>33</v>
      </c>
      <c r="Q604" s="5" t="s">
        <v>33</v>
      </c>
      <c r="R604" s="32" t="s">
        <v>33</v>
      </c>
      <c r="S604" s="18"/>
      <c r="T604" s="5" t="s">
        <v>33</v>
      </c>
    </row>
    <row r="605" spans="5:20" ht="21">
      <c r="E605" s="21" t="s">
        <v>438</v>
      </c>
      <c r="F605" s="22"/>
      <c r="G605" s="7" t="s">
        <v>35</v>
      </c>
      <c r="H605" s="7" t="s">
        <v>5</v>
      </c>
      <c r="I605" s="30" t="s">
        <v>7</v>
      </c>
      <c r="J605" s="24"/>
      <c r="K605" s="22"/>
      <c r="L605" s="30" t="s">
        <v>9</v>
      </c>
      <c r="M605" s="22"/>
      <c r="N605" s="7" t="s">
        <v>11</v>
      </c>
      <c r="O605" s="7" t="s">
        <v>15</v>
      </c>
      <c r="P605" s="7" t="s">
        <v>17</v>
      </c>
      <c r="Q605" s="7" t="s">
        <v>21</v>
      </c>
      <c r="R605" s="30" t="s">
        <v>27</v>
      </c>
      <c r="S605" s="22"/>
      <c r="T605" s="7" t="s">
        <v>36</v>
      </c>
    </row>
    <row r="606" spans="5:20" ht="22.5">
      <c r="E606" s="6" t="s">
        <v>37</v>
      </c>
      <c r="F606" s="6" t="s">
        <v>439</v>
      </c>
      <c r="G606" s="8" t="s">
        <v>39</v>
      </c>
      <c r="H606" s="9" t="s">
        <v>86</v>
      </c>
      <c r="I606" s="23" t="s">
        <v>187</v>
      </c>
      <c r="J606" s="24"/>
      <c r="K606" s="22"/>
      <c r="L606" s="23" t="s">
        <v>88</v>
      </c>
      <c r="M606" s="22"/>
      <c r="N606" s="9" t="s">
        <v>440</v>
      </c>
      <c r="O606" s="9" t="s">
        <v>187</v>
      </c>
      <c r="P606" s="9" t="s">
        <v>441</v>
      </c>
      <c r="Q606" s="9" t="s">
        <v>89</v>
      </c>
      <c r="R606" s="23" t="s">
        <v>43</v>
      </c>
      <c r="S606" s="22"/>
      <c r="T606" s="8" t="s">
        <v>33</v>
      </c>
    </row>
    <row r="607" spans="5:20">
      <c r="E607" s="21" t="s">
        <v>442</v>
      </c>
      <c r="F607" s="25"/>
      <c r="G607" s="8" t="s">
        <v>42</v>
      </c>
      <c r="H607" s="9" t="s">
        <v>43</v>
      </c>
      <c r="I607" s="23" t="s">
        <v>43</v>
      </c>
      <c r="J607" s="24"/>
      <c r="K607" s="22"/>
      <c r="L607" s="23" t="s">
        <v>43</v>
      </c>
      <c r="M607" s="22"/>
      <c r="N607" s="9" t="s">
        <v>43</v>
      </c>
      <c r="O607" s="9" t="s">
        <v>43</v>
      </c>
      <c r="P607" s="9" t="s">
        <v>43</v>
      </c>
      <c r="Q607" s="9" t="s">
        <v>43</v>
      </c>
      <c r="R607" s="23" t="s">
        <v>91</v>
      </c>
      <c r="S607" s="22"/>
      <c r="T607" s="8" t="s">
        <v>33</v>
      </c>
    </row>
    <row r="608" spans="5:20">
      <c r="E608" s="26"/>
      <c r="F608" s="27"/>
      <c r="G608" s="8" t="s">
        <v>44</v>
      </c>
      <c r="H608" s="9" t="s">
        <v>33</v>
      </c>
      <c r="I608" s="23" t="s">
        <v>33</v>
      </c>
      <c r="J608" s="24"/>
      <c r="K608" s="22"/>
      <c r="L608" s="23" t="s">
        <v>33</v>
      </c>
      <c r="M608" s="22"/>
      <c r="N608" s="9" t="s">
        <v>33</v>
      </c>
      <c r="O608" s="9" t="s">
        <v>33</v>
      </c>
      <c r="P608" s="9" t="s">
        <v>33</v>
      </c>
      <c r="Q608" s="9" t="s">
        <v>33</v>
      </c>
      <c r="R608" s="23" t="s">
        <v>33</v>
      </c>
      <c r="S608" s="22"/>
      <c r="T608" s="8">
        <v>0</v>
      </c>
    </row>
    <row r="609" spans="5:20">
      <c r="E609" s="28"/>
      <c r="F609" s="29"/>
      <c r="G609" s="8" t="s">
        <v>45</v>
      </c>
      <c r="H609" s="9">
        <v>4</v>
      </c>
      <c r="I609" s="23">
        <v>4</v>
      </c>
      <c r="J609" s="24"/>
      <c r="K609" s="22"/>
      <c r="L609" s="23">
        <v>4</v>
      </c>
      <c r="M609" s="22"/>
      <c r="N609" s="9">
        <v>3</v>
      </c>
      <c r="O609" s="9">
        <v>3</v>
      </c>
      <c r="P609" s="9">
        <v>3</v>
      </c>
      <c r="Q609" s="9">
        <v>2</v>
      </c>
      <c r="R609" s="23">
        <v>2</v>
      </c>
      <c r="S609" s="22"/>
      <c r="T609" s="8">
        <v>25</v>
      </c>
    </row>
    <row r="610" spans="5:20">
      <c r="E610" s="6" t="s">
        <v>46</v>
      </c>
      <c r="F610" s="6">
        <v>9.5</v>
      </c>
      <c r="G610" s="8" t="s">
        <v>47</v>
      </c>
      <c r="H610" s="9">
        <v>9.5</v>
      </c>
      <c r="I610" s="23">
        <v>10</v>
      </c>
      <c r="J610" s="24"/>
      <c r="K610" s="22"/>
      <c r="L610" s="23">
        <v>10</v>
      </c>
      <c r="M610" s="22"/>
      <c r="N610" s="9">
        <v>8</v>
      </c>
      <c r="O610" s="9">
        <v>10</v>
      </c>
      <c r="P610" s="9">
        <v>8.5</v>
      </c>
      <c r="Q610" s="9">
        <v>10</v>
      </c>
      <c r="R610" s="23">
        <v>10</v>
      </c>
      <c r="S610" s="22"/>
      <c r="T610" s="8" t="s">
        <v>33</v>
      </c>
    </row>
    <row r="611" spans="5:20">
      <c r="E611" s="6" t="s">
        <v>48</v>
      </c>
      <c r="F611" s="10">
        <v>9.1300000000000008</v>
      </c>
      <c r="G611" s="8" t="s">
        <v>49</v>
      </c>
      <c r="H611" s="9">
        <v>38</v>
      </c>
      <c r="I611" s="23">
        <v>40</v>
      </c>
      <c r="J611" s="24"/>
      <c r="K611" s="22"/>
      <c r="L611" s="23">
        <v>40</v>
      </c>
      <c r="M611" s="22"/>
      <c r="N611" s="9">
        <v>24</v>
      </c>
      <c r="O611" s="9">
        <v>30</v>
      </c>
      <c r="P611" s="9">
        <v>25.5</v>
      </c>
      <c r="Q611" s="9">
        <v>20</v>
      </c>
      <c r="R611" s="23">
        <v>20</v>
      </c>
      <c r="S611" s="22"/>
      <c r="T611" s="8">
        <v>237.5</v>
      </c>
    </row>
    <row r="612" spans="5:20">
      <c r="E612" s="21" t="s">
        <v>50</v>
      </c>
      <c r="F612" s="22"/>
      <c r="G612" s="8" t="s">
        <v>36</v>
      </c>
      <c r="H612" s="9">
        <v>94</v>
      </c>
      <c r="I612" s="23">
        <v>98</v>
      </c>
      <c r="J612" s="24"/>
      <c r="K612" s="22"/>
      <c r="L612" s="23">
        <v>100</v>
      </c>
      <c r="M612" s="22"/>
      <c r="N612" s="9">
        <v>78</v>
      </c>
      <c r="O612" s="9">
        <v>98</v>
      </c>
      <c r="P612" s="9">
        <v>84</v>
      </c>
      <c r="Q612" s="9">
        <v>50</v>
      </c>
      <c r="R612" s="23">
        <v>50</v>
      </c>
      <c r="S612" s="22"/>
      <c r="T612" s="8">
        <v>652</v>
      </c>
    </row>
    <row r="613" spans="5:20">
      <c r="E613" s="6" t="s">
        <v>51</v>
      </c>
      <c r="F613" s="6"/>
      <c r="G613" s="8" t="s">
        <v>52</v>
      </c>
      <c r="H613" s="9">
        <v>100</v>
      </c>
      <c r="I613" s="23">
        <v>100</v>
      </c>
      <c r="J613" s="24"/>
      <c r="K613" s="22"/>
      <c r="L613" s="23">
        <v>100</v>
      </c>
      <c r="M613" s="22"/>
      <c r="N613" s="9">
        <v>100</v>
      </c>
      <c r="O613" s="9">
        <v>100</v>
      </c>
      <c r="P613" s="9">
        <v>100</v>
      </c>
      <c r="Q613" s="9">
        <v>50</v>
      </c>
      <c r="R613" s="23">
        <v>50</v>
      </c>
      <c r="S613" s="22"/>
      <c r="T613" s="8">
        <v>700</v>
      </c>
    </row>
    <row r="614" spans="5:20">
      <c r="E614" s="21" t="s">
        <v>92</v>
      </c>
      <c r="F614" s="22"/>
      <c r="G614" s="8" t="s">
        <v>54</v>
      </c>
      <c r="H614" s="9" t="s">
        <v>94</v>
      </c>
      <c r="I614" s="23" t="s">
        <v>93</v>
      </c>
      <c r="J614" s="24"/>
      <c r="K614" s="22"/>
      <c r="L614" s="23" t="s">
        <v>93</v>
      </c>
      <c r="M614" s="22"/>
      <c r="N614" s="9" t="s">
        <v>135</v>
      </c>
      <c r="O614" s="9" t="s">
        <v>93</v>
      </c>
      <c r="P614" s="9" t="s">
        <v>95</v>
      </c>
      <c r="Q614" s="9" t="s">
        <v>93</v>
      </c>
      <c r="R614" s="23" t="s">
        <v>93</v>
      </c>
      <c r="S614" s="22"/>
      <c r="T614" s="8" t="s">
        <v>33</v>
      </c>
    </row>
    <row r="615" spans="5:20">
      <c r="E615" s="11" t="s">
        <v>56</v>
      </c>
      <c r="F615" s="11" t="s">
        <v>443</v>
      </c>
      <c r="G615" s="8" t="s">
        <v>58</v>
      </c>
      <c r="H615" s="9" t="s">
        <v>59</v>
      </c>
      <c r="I615" s="23" t="s">
        <v>59</v>
      </c>
      <c r="J615" s="24"/>
      <c r="K615" s="22"/>
      <c r="L615" s="23" t="s">
        <v>59</v>
      </c>
      <c r="M615" s="22"/>
      <c r="N615" s="9" t="s">
        <v>59</v>
      </c>
      <c r="O615" s="9" t="s">
        <v>59</v>
      </c>
      <c r="P615" s="9" t="s">
        <v>59</v>
      </c>
      <c r="Q615" s="9" t="s">
        <v>59</v>
      </c>
      <c r="R615" s="23" t="s">
        <v>59</v>
      </c>
      <c r="S615" s="22"/>
      <c r="T615" s="8" t="s">
        <v>33</v>
      </c>
    </row>
    <row r="616" spans="5:20">
      <c r="E616" s="12" t="s">
        <v>33</v>
      </c>
      <c r="F616" s="12" t="s">
        <v>33</v>
      </c>
      <c r="G616" s="12" t="s">
        <v>33</v>
      </c>
      <c r="H616" s="13" t="s">
        <v>33</v>
      </c>
      <c r="I616" s="20" t="s">
        <v>33</v>
      </c>
      <c r="J616" s="18"/>
      <c r="K616" s="18"/>
      <c r="L616" s="20" t="s">
        <v>33</v>
      </c>
      <c r="M616" s="18"/>
      <c r="N616" s="13" t="s">
        <v>33</v>
      </c>
      <c r="O616" s="13" t="s">
        <v>33</v>
      </c>
      <c r="P616" s="13" t="s">
        <v>33</v>
      </c>
      <c r="Q616" s="13" t="s">
        <v>33</v>
      </c>
      <c r="R616" s="20" t="s">
        <v>33</v>
      </c>
      <c r="S616" s="18"/>
      <c r="T616" s="13" t="s">
        <v>33</v>
      </c>
    </row>
    <row r="617" spans="5:20" ht="0" hidden="1" customHeight="1"/>
    <row r="618" spans="5:20" ht="0.6" customHeight="1"/>
    <row r="619" spans="5:20">
      <c r="E619" s="31" t="s">
        <v>31</v>
      </c>
      <c r="F619" s="22"/>
      <c r="G619" s="3" t="s">
        <v>32</v>
      </c>
      <c r="H619" s="5" t="s">
        <v>33</v>
      </c>
      <c r="I619" s="32" t="s">
        <v>33</v>
      </c>
      <c r="J619" s="18"/>
      <c r="K619" s="18"/>
      <c r="L619" s="32" t="s">
        <v>33</v>
      </c>
      <c r="M619" s="18"/>
      <c r="N619" s="5" t="s">
        <v>33</v>
      </c>
      <c r="O619" s="5" t="s">
        <v>33</v>
      </c>
      <c r="P619" s="5" t="s">
        <v>33</v>
      </c>
      <c r="Q619" s="5" t="s">
        <v>33</v>
      </c>
      <c r="R619" s="32" t="s">
        <v>33</v>
      </c>
      <c r="S619" s="18"/>
      <c r="T619" s="5" t="s">
        <v>33</v>
      </c>
    </row>
    <row r="620" spans="5:20" ht="21">
      <c r="E620" s="21" t="s">
        <v>444</v>
      </c>
      <c r="F620" s="22"/>
      <c r="G620" s="7" t="s">
        <v>35</v>
      </c>
      <c r="H620" s="7" t="s">
        <v>5</v>
      </c>
      <c r="I620" s="30" t="s">
        <v>7</v>
      </c>
      <c r="J620" s="24"/>
      <c r="K620" s="22"/>
      <c r="L620" s="30" t="s">
        <v>9</v>
      </c>
      <c r="M620" s="22"/>
      <c r="N620" s="7" t="s">
        <v>11</v>
      </c>
      <c r="O620" s="7" t="s">
        <v>15</v>
      </c>
      <c r="P620" s="7" t="s">
        <v>17</v>
      </c>
      <c r="Q620" s="7" t="s">
        <v>21</v>
      </c>
      <c r="R620" s="30" t="s">
        <v>29</v>
      </c>
      <c r="S620" s="22"/>
      <c r="T620" s="7" t="s">
        <v>36</v>
      </c>
    </row>
    <row r="621" spans="5:20" ht="22.5">
      <c r="E621" s="6" t="s">
        <v>37</v>
      </c>
      <c r="F621" s="6" t="s">
        <v>445</v>
      </c>
      <c r="G621" s="8" t="s">
        <v>39</v>
      </c>
      <c r="H621" s="9" t="s">
        <v>446</v>
      </c>
      <c r="I621" s="23" t="s">
        <v>447</v>
      </c>
      <c r="J621" s="24"/>
      <c r="K621" s="22"/>
      <c r="L621" s="23" t="s">
        <v>448</v>
      </c>
      <c r="M621" s="22"/>
      <c r="N621" s="9" t="s">
        <v>449</v>
      </c>
      <c r="O621" s="9" t="s">
        <v>450</v>
      </c>
      <c r="P621" s="9" t="s">
        <v>451</v>
      </c>
      <c r="Q621" s="9" t="s">
        <v>452</v>
      </c>
      <c r="R621" s="23" t="s">
        <v>43</v>
      </c>
      <c r="S621" s="22"/>
      <c r="T621" s="8" t="s">
        <v>33</v>
      </c>
    </row>
    <row r="622" spans="5:20">
      <c r="E622" s="21" t="s">
        <v>453</v>
      </c>
      <c r="F622" s="25"/>
      <c r="G622" s="8" t="s">
        <v>42</v>
      </c>
      <c r="H622" s="9" t="s">
        <v>43</v>
      </c>
      <c r="I622" s="23" t="s">
        <v>43</v>
      </c>
      <c r="J622" s="24"/>
      <c r="K622" s="22"/>
      <c r="L622" s="23" t="s">
        <v>43</v>
      </c>
      <c r="M622" s="22"/>
      <c r="N622" s="9" t="s">
        <v>43</v>
      </c>
      <c r="O622" s="9" t="s">
        <v>43</v>
      </c>
      <c r="P622" s="9" t="s">
        <v>43</v>
      </c>
      <c r="Q622" s="9" t="s">
        <v>43</v>
      </c>
      <c r="R622" s="23" t="s">
        <v>360</v>
      </c>
      <c r="S622" s="22"/>
      <c r="T622" s="8" t="s">
        <v>33</v>
      </c>
    </row>
    <row r="623" spans="5:20">
      <c r="E623" s="26"/>
      <c r="F623" s="27"/>
      <c r="G623" s="8" t="s">
        <v>44</v>
      </c>
      <c r="H623" s="9" t="s">
        <v>33</v>
      </c>
      <c r="I623" s="23" t="s">
        <v>33</v>
      </c>
      <c r="J623" s="24"/>
      <c r="K623" s="22"/>
      <c r="L623" s="23" t="s">
        <v>33</v>
      </c>
      <c r="M623" s="22"/>
      <c r="N623" s="9" t="s">
        <v>33</v>
      </c>
      <c r="O623" s="9" t="s">
        <v>33</v>
      </c>
      <c r="P623" s="9" t="s">
        <v>33</v>
      </c>
      <c r="Q623" s="9" t="s">
        <v>33</v>
      </c>
      <c r="R623" s="23" t="s">
        <v>33</v>
      </c>
      <c r="S623" s="22"/>
      <c r="T623" s="8">
        <v>0</v>
      </c>
    </row>
    <row r="624" spans="5:20">
      <c r="E624" s="28"/>
      <c r="F624" s="29"/>
      <c r="G624" s="8" t="s">
        <v>45</v>
      </c>
      <c r="H624" s="9">
        <v>4</v>
      </c>
      <c r="I624" s="23">
        <v>4</v>
      </c>
      <c r="J624" s="24"/>
      <c r="K624" s="22"/>
      <c r="L624" s="23">
        <v>4</v>
      </c>
      <c r="M624" s="22"/>
      <c r="N624" s="9">
        <v>3</v>
      </c>
      <c r="O624" s="9">
        <v>3</v>
      </c>
      <c r="P624" s="9">
        <v>3</v>
      </c>
      <c r="Q624" s="9">
        <v>2</v>
      </c>
      <c r="R624" s="23">
        <v>2</v>
      </c>
      <c r="S624" s="22"/>
      <c r="T624" s="8">
        <v>22</v>
      </c>
    </row>
    <row r="625" spans="5:20">
      <c r="E625" s="6" t="s">
        <v>46</v>
      </c>
      <c r="F625" s="6"/>
      <c r="G625" s="8" t="s">
        <v>47</v>
      </c>
      <c r="H625" s="9">
        <v>5.5</v>
      </c>
      <c r="I625" s="23">
        <v>5.5</v>
      </c>
      <c r="J625" s="24"/>
      <c r="K625" s="22"/>
      <c r="L625" s="23">
        <v>8</v>
      </c>
      <c r="M625" s="22"/>
      <c r="N625" s="9">
        <v>7.5</v>
      </c>
      <c r="O625" s="9">
        <v>7</v>
      </c>
      <c r="P625" s="9"/>
      <c r="Q625" s="9">
        <v>7</v>
      </c>
      <c r="R625" s="23">
        <v>9</v>
      </c>
      <c r="S625" s="22"/>
      <c r="T625" s="8" t="s">
        <v>33</v>
      </c>
    </row>
    <row r="626" spans="5:20">
      <c r="E626" s="6" t="s">
        <v>48</v>
      </c>
      <c r="F626" s="6"/>
      <c r="G626" s="8" t="s">
        <v>49</v>
      </c>
      <c r="H626" s="9">
        <v>22</v>
      </c>
      <c r="I626" s="23">
        <v>22</v>
      </c>
      <c r="J626" s="24"/>
      <c r="K626" s="22"/>
      <c r="L626" s="23">
        <v>32</v>
      </c>
      <c r="M626" s="22"/>
      <c r="N626" s="9">
        <v>22.5</v>
      </c>
      <c r="O626" s="9">
        <v>21</v>
      </c>
      <c r="P626" s="9"/>
      <c r="Q626" s="9">
        <v>14</v>
      </c>
      <c r="R626" s="23">
        <v>18</v>
      </c>
      <c r="S626" s="22"/>
      <c r="T626" s="8">
        <v>151.5</v>
      </c>
    </row>
    <row r="627" spans="5:20">
      <c r="E627" s="21" t="s">
        <v>65</v>
      </c>
      <c r="F627" s="22"/>
      <c r="G627" s="8" t="s">
        <v>36</v>
      </c>
      <c r="H627" s="9">
        <v>53</v>
      </c>
      <c r="I627" s="23">
        <v>54</v>
      </c>
      <c r="J627" s="24"/>
      <c r="K627" s="22"/>
      <c r="L627" s="23">
        <v>77</v>
      </c>
      <c r="M627" s="22"/>
      <c r="N627" s="9">
        <v>70</v>
      </c>
      <c r="O627" s="9">
        <v>69</v>
      </c>
      <c r="P627" s="9">
        <v>26</v>
      </c>
      <c r="Q627" s="9">
        <v>33</v>
      </c>
      <c r="R627" s="23">
        <v>44</v>
      </c>
      <c r="S627" s="22"/>
      <c r="T627" s="8">
        <v>426</v>
      </c>
    </row>
    <row r="628" spans="5:20">
      <c r="E628" s="6" t="s">
        <v>51</v>
      </c>
      <c r="F628" s="6"/>
      <c r="G628" s="8" t="s">
        <v>52</v>
      </c>
      <c r="H628" s="9">
        <v>100</v>
      </c>
      <c r="I628" s="23">
        <v>100</v>
      </c>
      <c r="J628" s="24"/>
      <c r="K628" s="22"/>
      <c r="L628" s="23">
        <v>100</v>
      </c>
      <c r="M628" s="22"/>
      <c r="N628" s="9">
        <v>100</v>
      </c>
      <c r="O628" s="9">
        <v>100</v>
      </c>
      <c r="P628" s="9">
        <v>100</v>
      </c>
      <c r="Q628" s="9">
        <v>50</v>
      </c>
      <c r="R628" s="23">
        <v>50</v>
      </c>
      <c r="S628" s="22"/>
      <c r="T628" s="8">
        <v>700</v>
      </c>
    </row>
    <row r="629" spans="5:20">
      <c r="E629" s="21" t="s">
        <v>66</v>
      </c>
      <c r="F629" s="22"/>
      <c r="G629" s="8" t="s">
        <v>54</v>
      </c>
      <c r="H629" s="9" t="s">
        <v>123</v>
      </c>
      <c r="I629" s="23" t="s">
        <v>123</v>
      </c>
      <c r="J629" s="24"/>
      <c r="K629" s="22"/>
      <c r="L629" s="23" t="s">
        <v>135</v>
      </c>
      <c r="M629" s="22"/>
      <c r="N629" s="9" t="s">
        <v>108</v>
      </c>
      <c r="O629" s="9" t="s">
        <v>109</v>
      </c>
      <c r="P629" s="9"/>
      <c r="Q629" s="9" t="s">
        <v>109</v>
      </c>
      <c r="R629" s="23" t="s">
        <v>122</v>
      </c>
      <c r="S629" s="22"/>
      <c r="T629" s="8" t="s">
        <v>33</v>
      </c>
    </row>
    <row r="630" spans="5:20">
      <c r="E630" s="11" t="s">
        <v>56</v>
      </c>
      <c r="F630" s="11" t="s">
        <v>454</v>
      </c>
      <c r="G630" s="8" t="s">
        <v>58</v>
      </c>
      <c r="H630" s="9" t="s">
        <v>59</v>
      </c>
      <c r="I630" s="23" t="s">
        <v>59</v>
      </c>
      <c r="J630" s="24"/>
      <c r="K630" s="22"/>
      <c r="L630" s="23" t="s">
        <v>59</v>
      </c>
      <c r="M630" s="22"/>
      <c r="N630" s="9" t="s">
        <v>59</v>
      </c>
      <c r="O630" s="9" t="s">
        <v>59</v>
      </c>
      <c r="P630" s="9" t="s">
        <v>68</v>
      </c>
      <c r="Q630" s="9" t="s">
        <v>59</v>
      </c>
      <c r="R630" s="23" t="s">
        <v>59</v>
      </c>
      <c r="S630" s="22"/>
      <c r="T630" s="8" t="s">
        <v>33</v>
      </c>
    </row>
    <row r="631" spans="5:20">
      <c r="E631" s="12" t="s">
        <v>33</v>
      </c>
      <c r="F631" s="12" t="s">
        <v>33</v>
      </c>
      <c r="G631" s="12" t="s">
        <v>33</v>
      </c>
      <c r="H631" s="13" t="s">
        <v>33</v>
      </c>
      <c r="I631" s="20" t="s">
        <v>33</v>
      </c>
      <c r="J631" s="18"/>
      <c r="K631" s="18"/>
      <c r="L631" s="20" t="s">
        <v>33</v>
      </c>
      <c r="M631" s="18"/>
      <c r="N631" s="13" t="s">
        <v>33</v>
      </c>
      <c r="O631" s="13" t="s">
        <v>33</v>
      </c>
      <c r="P631" s="13" t="s">
        <v>33</v>
      </c>
      <c r="Q631" s="13" t="s">
        <v>33</v>
      </c>
      <c r="R631" s="20" t="s">
        <v>33</v>
      </c>
      <c r="S631" s="18"/>
      <c r="T631" s="13" t="s">
        <v>33</v>
      </c>
    </row>
    <row r="632" spans="5:20" ht="0" hidden="1" customHeight="1"/>
    <row r="633" spans="5:20" ht="0.6" customHeight="1"/>
    <row r="634" spans="5:20">
      <c r="E634" s="31" t="s">
        <v>31</v>
      </c>
      <c r="F634" s="22"/>
      <c r="G634" s="3" t="s">
        <v>32</v>
      </c>
      <c r="H634" s="5" t="s">
        <v>33</v>
      </c>
      <c r="I634" s="32" t="s">
        <v>33</v>
      </c>
      <c r="J634" s="18"/>
      <c r="K634" s="18"/>
      <c r="L634" s="32" t="s">
        <v>33</v>
      </c>
      <c r="M634" s="18"/>
      <c r="N634" s="5" t="s">
        <v>33</v>
      </c>
      <c r="O634" s="5" t="s">
        <v>33</v>
      </c>
      <c r="P634" s="5" t="s">
        <v>33</v>
      </c>
      <c r="Q634" s="5" t="s">
        <v>33</v>
      </c>
      <c r="R634" s="32" t="s">
        <v>33</v>
      </c>
      <c r="S634" s="18"/>
      <c r="T634" s="5" t="s">
        <v>33</v>
      </c>
    </row>
    <row r="635" spans="5:20" ht="21">
      <c r="E635" s="21" t="s">
        <v>455</v>
      </c>
      <c r="F635" s="22"/>
      <c r="G635" s="7" t="s">
        <v>35</v>
      </c>
      <c r="H635" s="7" t="s">
        <v>5</v>
      </c>
      <c r="I635" s="30" t="s">
        <v>7</v>
      </c>
      <c r="J635" s="24"/>
      <c r="K635" s="22"/>
      <c r="L635" s="30" t="s">
        <v>9</v>
      </c>
      <c r="M635" s="22"/>
      <c r="N635" s="7" t="s">
        <v>11</v>
      </c>
      <c r="O635" s="7" t="s">
        <v>13</v>
      </c>
      <c r="P635" s="7" t="s">
        <v>17</v>
      </c>
      <c r="Q635" s="7" t="s">
        <v>19</v>
      </c>
      <c r="R635" s="30" t="s">
        <v>21</v>
      </c>
      <c r="S635" s="22"/>
      <c r="T635" s="7" t="s">
        <v>36</v>
      </c>
    </row>
    <row r="636" spans="5:20" ht="22.5">
      <c r="E636" s="6" t="s">
        <v>37</v>
      </c>
      <c r="F636" s="6" t="s">
        <v>456</v>
      </c>
      <c r="G636" s="8" t="s">
        <v>39</v>
      </c>
      <c r="H636" s="9" t="s">
        <v>327</v>
      </c>
      <c r="I636" s="23" t="s">
        <v>311</v>
      </c>
      <c r="J636" s="24"/>
      <c r="K636" s="22"/>
      <c r="L636" s="23" t="s">
        <v>457</v>
      </c>
      <c r="M636" s="22"/>
      <c r="N636" s="9" t="s">
        <v>458</v>
      </c>
      <c r="O636" s="9" t="s">
        <v>273</v>
      </c>
      <c r="P636" s="9" t="s">
        <v>127</v>
      </c>
      <c r="Q636" s="9" t="s">
        <v>43</v>
      </c>
      <c r="R636" s="23" t="s">
        <v>157</v>
      </c>
      <c r="S636" s="22"/>
      <c r="T636" s="8" t="s">
        <v>33</v>
      </c>
    </row>
    <row r="637" spans="5:20">
      <c r="E637" s="21" t="s">
        <v>459</v>
      </c>
      <c r="F637" s="25"/>
      <c r="G637" s="8" t="s">
        <v>42</v>
      </c>
      <c r="H637" s="9" t="s">
        <v>43</v>
      </c>
      <c r="I637" s="23" t="s">
        <v>43</v>
      </c>
      <c r="J637" s="24"/>
      <c r="K637" s="22"/>
      <c r="L637" s="23" t="s">
        <v>43</v>
      </c>
      <c r="M637" s="22"/>
      <c r="N637" s="9" t="s">
        <v>43</v>
      </c>
      <c r="O637" s="9" t="s">
        <v>43</v>
      </c>
      <c r="P637" s="9" t="s">
        <v>43</v>
      </c>
      <c r="Q637" s="9" t="s">
        <v>91</v>
      </c>
      <c r="R637" s="23" t="s">
        <v>43</v>
      </c>
      <c r="S637" s="22"/>
      <c r="T637" s="8" t="s">
        <v>33</v>
      </c>
    </row>
    <row r="638" spans="5:20">
      <c r="E638" s="26"/>
      <c r="F638" s="27"/>
      <c r="G638" s="8" t="s">
        <v>44</v>
      </c>
      <c r="H638" s="9" t="s">
        <v>33</v>
      </c>
      <c r="I638" s="23" t="s">
        <v>33</v>
      </c>
      <c r="J638" s="24"/>
      <c r="K638" s="22"/>
      <c r="L638" s="23" t="s">
        <v>33</v>
      </c>
      <c r="M638" s="22"/>
      <c r="N638" s="9" t="s">
        <v>33</v>
      </c>
      <c r="O638" s="9" t="s">
        <v>33</v>
      </c>
      <c r="P638" s="9" t="s">
        <v>33</v>
      </c>
      <c r="Q638" s="9" t="s">
        <v>33</v>
      </c>
      <c r="R638" s="23" t="s">
        <v>33</v>
      </c>
      <c r="S638" s="22"/>
      <c r="T638" s="8">
        <v>0</v>
      </c>
    </row>
    <row r="639" spans="5:20">
      <c r="E639" s="28"/>
      <c r="F639" s="29"/>
      <c r="G639" s="8" t="s">
        <v>45</v>
      </c>
      <c r="H639" s="9">
        <v>4</v>
      </c>
      <c r="I639" s="23">
        <v>4</v>
      </c>
      <c r="J639" s="24"/>
      <c r="K639" s="22"/>
      <c r="L639" s="23">
        <v>4</v>
      </c>
      <c r="M639" s="22"/>
      <c r="N639" s="9">
        <v>3</v>
      </c>
      <c r="O639" s="9">
        <v>3</v>
      </c>
      <c r="P639" s="9">
        <v>3</v>
      </c>
      <c r="Q639" s="9">
        <v>2</v>
      </c>
      <c r="R639" s="23">
        <v>2</v>
      </c>
      <c r="S639" s="22"/>
      <c r="T639" s="8">
        <v>25</v>
      </c>
    </row>
    <row r="640" spans="5:20">
      <c r="E640" s="6" t="s">
        <v>46</v>
      </c>
      <c r="F640" s="6">
        <v>8.32</v>
      </c>
      <c r="G640" s="8" t="s">
        <v>47</v>
      </c>
      <c r="H640" s="9">
        <v>8</v>
      </c>
      <c r="I640" s="23">
        <v>8</v>
      </c>
      <c r="J640" s="24"/>
      <c r="K640" s="22"/>
      <c r="L640" s="23">
        <v>9</v>
      </c>
      <c r="M640" s="22"/>
      <c r="N640" s="9">
        <v>8</v>
      </c>
      <c r="O640" s="9">
        <v>9.5</v>
      </c>
      <c r="P640" s="9">
        <v>5.5</v>
      </c>
      <c r="Q640" s="9">
        <v>10</v>
      </c>
      <c r="R640" s="23">
        <v>9.5</v>
      </c>
      <c r="S640" s="22"/>
      <c r="T640" s="8" t="s">
        <v>33</v>
      </c>
    </row>
    <row r="641" spans="5:20">
      <c r="E641" s="6" t="s">
        <v>48</v>
      </c>
      <c r="F641" s="10">
        <v>8.31</v>
      </c>
      <c r="G641" s="8" t="s">
        <v>49</v>
      </c>
      <c r="H641" s="9">
        <v>32</v>
      </c>
      <c r="I641" s="23">
        <v>32</v>
      </c>
      <c r="J641" s="24"/>
      <c r="K641" s="22"/>
      <c r="L641" s="23">
        <v>36</v>
      </c>
      <c r="M641" s="22"/>
      <c r="N641" s="9">
        <v>24</v>
      </c>
      <c r="O641" s="9">
        <v>28.5</v>
      </c>
      <c r="P641" s="9">
        <v>16.5</v>
      </c>
      <c r="Q641" s="9">
        <v>20</v>
      </c>
      <c r="R641" s="23">
        <v>19</v>
      </c>
      <c r="S641" s="22"/>
      <c r="T641" s="8">
        <v>208</v>
      </c>
    </row>
    <row r="642" spans="5:20">
      <c r="E642" s="21" t="s">
        <v>50</v>
      </c>
      <c r="F642" s="22"/>
      <c r="G642" s="8" t="s">
        <v>36</v>
      </c>
      <c r="H642" s="9">
        <v>77</v>
      </c>
      <c r="I642" s="23">
        <v>76</v>
      </c>
      <c r="J642" s="24"/>
      <c r="K642" s="22"/>
      <c r="L642" s="23">
        <v>87</v>
      </c>
      <c r="M642" s="22"/>
      <c r="N642" s="9">
        <v>75</v>
      </c>
      <c r="O642" s="9">
        <v>93</v>
      </c>
      <c r="P642" s="9">
        <v>52</v>
      </c>
      <c r="Q642" s="9">
        <v>50</v>
      </c>
      <c r="R642" s="23">
        <v>45</v>
      </c>
      <c r="S642" s="22"/>
      <c r="T642" s="8">
        <v>555</v>
      </c>
    </row>
    <row r="643" spans="5:20">
      <c r="E643" s="6" t="s">
        <v>51</v>
      </c>
      <c r="F643" s="6"/>
      <c r="G643" s="8" t="s">
        <v>52</v>
      </c>
      <c r="H643" s="9">
        <v>100</v>
      </c>
      <c r="I643" s="23">
        <v>100</v>
      </c>
      <c r="J643" s="24"/>
      <c r="K643" s="22"/>
      <c r="L643" s="23">
        <v>100</v>
      </c>
      <c r="M643" s="22"/>
      <c r="N643" s="9">
        <v>100</v>
      </c>
      <c r="O643" s="9">
        <v>100</v>
      </c>
      <c r="P643" s="9">
        <v>100</v>
      </c>
      <c r="Q643" s="9">
        <v>50</v>
      </c>
      <c r="R643" s="23">
        <v>50</v>
      </c>
      <c r="S643" s="22"/>
      <c r="T643" s="8">
        <v>700</v>
      </c>
    </row>
    <row r="644" spans="5:20">
      <c r="E644" s="21" t="s">
        <v>159</v>
      </c>
      <c r="F644" s="22"/>
      <c r="G644" s="8" t="s">
        <v>54</v>
      </c>
      <c r="H644" s="9" t="s">
        <v>135</v>
      </c>
      <c r="I644" s="23" t="s">
        <v>135</v>
      </c>
      <c r="J644" s="24"/>
      <c r="K644" s="22"/>
      <c r="L644" s="23" t="s">
        <v>122</v>
      </c>
      <c r="M644" s="22"/>
      <c r="N644" s="9" t="s">
        <v>135</v>
      </c>
      <c r="O644" s="9" t="s">
        <v>94</v>
      </c>
      <c r="P644" s="9" t="s">
        <v>123</v>
      </c>
      <c r="Q644" s="9" t="s">
        <v>93</v>
      </c>
      <c r="R644" s="23" t="s">
        <v>94</v>
      </c>
      <c r="S644" s="22"/>
      <c r="T644" s="8" t="s">
        <v>33</v>
      </c>
    </row>
    <row r="645" spans="5:20">
      <c r="E645" s="11" t="s">
        <v>56</v>
      </c>
      <c r="F645" s="11" t="s">
        <v>460</v>
      </c>
      <c r="G645" s="8" t="s">
        <v>58</v>
      </c>
      <c r="H645" s="9" t="s">
        <v>59</v>
      </c>
      <c r="I645" s="23" t="s">
        <v>59</v>
      </c>
      <c r="J645" s="24"/>
      <c r="K645" s="22"/>
      <c r="L645" s="23" t="s">
        <v>59</v>
      </c>
      <c r="M645" s="22"/>
      <c r="N645" s="9" t="s">
        <v>59</v>
      </c>
      <c r="O645" s="9" t="s">
        <v>59</v>
      </c>
      <c r="P645" s="9" t="s">
        <v>59</v>
      </c>
      <c r="Q645" s="9" t="s">
        <v>59</v>
      </c>
      <c r="R645" s="23" t="s">
        <v>59</v>
      </c>
      <c r="S645" s="22"/>
      <c r="T645" s="8" t="s">
        <v>33</v>
      </c>
    </row>
    <row r="646" spans="5:20">
      <c r="E646" s="12" t="s">
        <v>33</v>
      </c>
      <c r="F646" s="12" t="s">
        <v>33</v>
      </c>
      <c r="G646" s="12" t="s">
        <v>33</v>
      </c>
      <c r="H646" s="13" t="s">
        <v>33</v>
      </c>
      <c r="I646" s="20" t="s">
        <v>33</v>
      </c>
      <c r="J646" s="18"/>
      <c r="K646" s="18"/>
      <c r="L646" s="20" t="s">
        <v>33</v>
      </c>
      <c r="M646" s="18"/>
      <c r="N646" s="13" t="s">
        <v>33</v>
      </c>
      <c r="O646" s="13" t="s">
        <v>33</v>
      </c>
      <c r="P646" s="13" t="s">
        <v>33</v>
      </c>
      <c r="Q646" s="13" t="s">
        <v>33</v>
      </c>
      <c r="R646" s="20" t="s">
        <v>33</v>
      </c>
      <c r="S646" s="18"/>
      <c r="T646" s="13" t="s">
        <v>33</v>
      </c>
    </row>
    <row r="647" spans="5:20" ht="0" hidden="1" customHeight="1"/>
    <row r="648" spans="5:20" ht="0.6" customHeight="1"/>
    <row r="649" spans="5:20">
      <c r="E649" s="31" t="s">
        <v>31</v>
      </c>
      <c r="F649" s="22"/>
      <c r="G649" s="3" t="s">
        <v>32</v>
      </c>
      <c r="H649" s="5" t="s">
        <v>33</v>
      </c>
      <c r="I649" s="32" t="s">
        <v>33</v>
      </c>
      <c r="J649" s="18"/>
      <c r="K649" s="18"/>
      <c r="L649" s="32" t="s">
        <v>33</v>
      </c>
      <c r="M649" s="18"/>
      <c r="N649" s="5" t="s">
        <v>33</v>
      </c>
      <c r="O649" s="5" t="s">
        <v>33</v>
      </c>
      <c r="P649" s="5" t="s">
        <v>33</v>
      </c>
      <c r="Q649" s="5" t="s">
        <v>33</v>
      </c>
      <c r="R649" s="32" t="s">
        <v>33</v>
      </c>
      <c r="S649" s="18"/>
      <c r="T649" s="5" t="s">
        <v>33</v>
      </c>
    </row>
    <row r="650" spans="5:20" ht="21">
      <c r="E650" s="21" t="s">
        <v>461</v>
      </c>
      <c r="F650" s="22"/>
      <c r="G650" s="7" t="s">
        <v>35</v>
      </c>
      <c r="H650" s="7" t="s">
        <v>5</v>
      </c>
      <c r="I650" s="30" t="s">
        <v>7</v>
      </c>
      <c r="J650" s="24"/>
      <c r="K650" s="22"/>
      <c r="L650" s="30" t="s">
        <v>9</v>
      </c>
      <c r="M650" s="22"/>
      <c r="N650" s="7" t="s">
        <v>11</v>
      </c>
      <c r="O650" s="7" t="s">
        <v>15</v>
      </c>
      <c r="P650" s="7" t="s">
        <v>17</v>
      </c>
      <c r="Q650" s="7" t="s">
        <v>21</v>
      </c>
      <c r="R650" s="30" t="s">
        <v>27</v>
      </c>
      <c r="S650" s="22"/>
      <c r="T650" s="7" t="s">
        <v>36</v>
      </c>
    </row>
    <row r="651" spans="5:20" ht="22.5">
      <c r="E651" s="6" t="s">
        <v>37</v>
      </c>
      <c r="F651" s="6" t="s">
        <v>462</v>
      </c>
      <c r="G651" s="8" t="s">
        <v>39</v>
      </c>
      <c r="H651" s="9" t="s">
        <v>399</v>
      </c>
      <c r="I651" s="23" t="s">
        <v>463</v>
      </c>
      <c r="J651" s="24"/>
      <c r="K651" s="22"/>
      <c r="L651" s="23" t="s">
        <v>464</v>
      </c>
      <c r="M651" s="22"/>
      <c r="N651" s="9" t="s">
        <v>465</v>
      </c>
      <c r="O651" s="9" t="s">
        <v>466</v>
      </c>
      <c r="P651" s="9" t="s">
        <v>391</v>
      </c>
      <c r="Q651" s="9" t="s">
        <v>467</v>
      </c>
      <c r="R651" s="23" t="s">
        <v>43</v>
      </c>
      <c r="S651" s="22"/>
      <c r="T651" s="8" t="s">
        <v>33</v>
      </c>
    </row>
    <row r="652" spans="5:20">
      <c r="E652" s="21" t="s">
        <v>468</v>
      </c>
      <c r="F652" s="25"/>
      <c r="G652" s="8" t="s">
        <v>42</v>
      </c>
      <c r="H652" s="9" t="s">
        <v>43</v>
      </c>
      <c r="I652" s="23" t="s">
        <v>43</v>
      </c>
      <c r="J652" s="24"/>
      <c r="K652" s="22"/>
      <c r="L652" s="23" t="s">
        <v>43</v>
      </c>
      <c r="M652" s="22"/>
      <c r="N652" s="9" t="s">
        <v>43</v>
      </c>
      <c r="O652" s="9" t="s">
        <v>43</v>
      </c>
      <c r="P652" s="9" t="s">
        <v>43</v>
      </c>
      <c r="Q652" s="9" t="s">
        <v>43</v>
      </c>
      <c r="R652" s="23" t="s">
        <v>91</v>
      </c>
      <c r="S652" s="22"/>
      <c r="T652" s="8" t="s">
        <v>33</v>
      </c>
    </row>
    <row r="653" spans="5:20">
      <c r="E653" s="26"/>
      <c r="F653" s="27"/>
      <c r="G653" s="8" t="s">
        <v>44</v>
      </c>
      <c r="H653" s="9" t="s">
        <v>33</v>
      </c>
      <c r="I653" s="23" t="s">
        <v>33</v>
      </c>
      <c r="J653" s="24"/>
      <c r="K653" s="22"/>
      <c r="L653" s="23" t="s">
        <v>33</v>
      </c>
      <c r="M653" s="22"/>
      <c r="N653" s="9" t="s">
        <v>33</v>
      </c>
      <c r="O653" s="9" t="s">
        <v>33</v>
      </c>
      <c r="P653" s="9" t="s">
        <v>33</v>
      </c>
      <c r="Q653" s="9" t="s">
        <v>33</v>
      </c>
      <c r="R653" s="23" t="s">
        <v>33</v>
      </c>
      <c r="S653" s="22"/>
      <c r="T653" s="8">
        <v>0</v>
      </c>
    </row>
    <row r="654" spans="5:20">
      <c r="E654" s="28"/>
      <c r="F654" s="29"/>
      <c r="G654" s="8" t="s">
        <v>45</v>
      </c>
      <c r="H654" s="9">
        <v>4</v>
      </c>
      <c r="I654" s="23">
        <v>4</v>
      </c>
      <c r="J654" s="24"/>
      <c r="K654" s="22"/>
      <c r="L654" s="23">
        <v>4</v>
      </c>
      <c r="M654" s="22"/>
      <c r="N654" s="9">
        <v>3</v>
      </c>
      <c r="O654" s="9">
        <v>3</v>
      </c>
      <c r="P654" s="9">
        <v>3</v>
      </c>
      <c r="Q654" s="9">
        <v>2</v>
      </c>
      <c r="R654" s="23">
        <v>2</v>
      </c>
      <c r="S654" s="22"/>
      <c r="T654" s="8">
        <v>25</v>
      </c>
    </row>
    <row r="655" spans="5:20">
      <c r="E655" s="6" t="s">
        <v>46</v>
      </c>
      <c r="F655" s="6">
        <v>7.58</v>
      </c>
      <c r="G655" s="8" t="s">
        <v>47</v>
      </c>
      <c r="H655" s="9">
        <v>6</v>
      </c>
      <c r="I655" s="23">
        <v>8</v>
      </c>
      <c r="J655" s="24"/>
      <c r="K655" s="22"/>
      <c r="L655" s="23">
        <v>7.5</v>
      </c>
      <c r="M655" s="22"/>
      <c r="N655" s="9">
        <v>7</v>
      </c>
      <c r="O655" s="9">
        <v>9</v>
      </c>
      <c r="P655" s="9">
        <v>5.5</v>
      </c>
      <c r="Q655" s="9">
        <v>9.5</v>
      </c>
      <c r="R655" s="23">
        <v>10</v>
      </c>
      <c r="S655" s="22"/>
      <c r="T655" s="8" t="s">
        <v>33</v>
      </c>
    </row>
    <row r="656" spans="5:20">
      <c r="E656" s="6" t="s">
        <v>48</v>
      </c>
      <c r="F656" s="10">
        <v>7.57</v>
      </c>
      <c r="G656" s="8" t="s">
        <v>49</v>
      </c>
      <c r="H656" s="9">
        <v>24</v>
      </c>
      <c r="I656" s="23">
        <v>32</v>
      </c>
      <c r="J656" s="24"/>
      <c r="K656" s="22"/>
      <c r="L656" s="23">
        <v>30</v>
      </c>
      <c r="M656" s="22"/>
      <c r="N656" s="9">
        <v>21</v>
      </c>
      <c r="O656" s="9">
        <v>27</v>
      </c>
      <c r="P656" s="9">
        <v>16.5</v>
      </c>
      <c r="Q656" s="9">
        <v>19</v>
      </c>
      <c r="R656" s="23">
        <v>20</v>
      </c>
      <c r="S656" s="22"/>
      <c r="T656" s="8">
        <v>189.5</v>
      </c>
    </row>
    <row r="657" spans="5:20">
      <c r="E657" s="21" t="s">
        <v>50</v>
      </c>
      <c r="F657" s="22"/>
      <c r="G657" s="8" t="s">
        <v>36</v>
      </c>
      <c r="H657" s="9">
        <v>56</v>
      </c>
      <c r="I657" s="23">
        <v>75</v>
      </c>
      <c r="J657" s="24"/>
      <c r="K657" s="22"/>
      <c r="L657" s="23">
        <v>72</v>
      </c>
      <c r="M657" s="22"/>
      <c r="N657" s="9">
        <v>68</v>
      </c>
      <c r="O657" s="9">
        <v>87</v>
      </c>
      <c r="P657" s="9">
        <v>50</v>
      </c>
      <c r="Q657" s="9">
        <v>45</v>
      </c>
      <c r="R657" s="23">
        <v>50</v>
      </c>
      <c r="S657" s="22"/>
      <c r="T657" s="8">
        <v>503</v>
      </c>
    </row>
    <row r="658" spans="5:20">
      <c r="E658" s="6" t="s">
        <v>51</v>
      </c>
      <c r="F658" s="6"/>
      <c r="G658" s="8" t="s">
        <v>52</v>
      </c>
      <c r="H658" s="9">
        <v>100</v>
      </c>
      <c r="I658" s="23">
        <v>100</v>
      </c>
      <c r="J658" s="24"/>
      <c r="K658" s="22"/>
      <c r="L658" s="23">
        <v>100</v>
      </c>
      <c r="M658" s="22"/>
      <c r="N658" s="9">
        <v>100</v>
      </c>
      <c r="O658" s="9">
        <v>100</v>
      </c>
      <c r="P658" s="9">
        <v>100</v>
      </c>
      <c r="Q658" s="9">
        <v>50</v>
      </c>
      <c r="R658" s="23">
        <v>50</v>
      </c>
      <c r="S658" s="22"/>
      <c r="T658" s="8">
        <v>700</v>
      </c>
    </row>
    <row r="659" spans="5:20">
      <c r="E659" s="21" t="s">
        <v>121</v>
      </c>
      <c r="F659" s="22"/>
      <c r="G659" s="8" t="s">
        <v>54</v>
      </c>
      <c r="H659" s="9" t="s">
        <v>147</v>
      </c>
      <c r="I659" s="23" t="s">
        <v>135</v>
      </c>
      <c r="J659" s="24"/>
      <c r="K659" s="22"/>
      <c r="L659" s="23" t="s">
        <v>108</v>
      </c>
      <c r="M659" s="22"/>
      <c r="N659" s="9" t="s">
        <v>109</v>
      </c>
      <c r="O659" s="9" t="s">
        <v>122</v>
      </c>
      <c r="P659" s="9" t="s">
        <v>123</v>
      </c>
      <c r="Q659" s="9" t="s">
        <v>94</v>
      </c>
      <c r="R659" s="23" t="s">
        <v>93</v>
      </c>
      <c r="S659" s="22"/>
      <c r="T659" s="8" t="s">
        <v>33</v>
      </c>
    </row>
    <row r="660" spans="5:20">
      <c r="E660" s="11" t="s">
        <v>56</v>
      </c>
      <c r="F660" s="11" t="s">
        <v>469</v>
      </c>
      <c r="G660" s="8" t="s">
        <v>58</v>
      </c>
      <c r="H660" s="9" t="s">
        <v>59</v>
      </c>
      <c r="I660" s="23" t="s">
        <v>59</v>
      </c>
      <c r="J660" s="24"/>
      <c r="K660" s="22"/>
      <c r="L660" s="23" t="s">
        <v>59</v>
      </c>
      <c r="M660" s="22"/>
      <c r="N660" s="9" t="s">
        <v>59</v>
      </c>
      <c r="O660" s="9" t="s">
        <v>59</v>
      </c>
      <c r="P660" s="9" t="s">
        <v>59</v>
      </c>
      <c r="Q660" s="9" t="s">
        <v>59</v>
      </c>
      <c r="R660" s="23" t="s">
        <v>59</v>
      </c>
      <c r="S660" s="22"/>
      <c r="T660" s="8" t="s">
        <v>33</v>
      </c>
    </row>
    <row r="661" spans="5:20">
      <c r="E661" s="12" t="s">
        <v>33</v>
      </c>
      <c r="F661" s="12" t="s">
        <v>33</v>
      </c>
      <c r="G661" s="12" t="s">
        <v>33</v>
      </c>
      <c r="H661" s="13" t="s">
        <v>33</v>
      </c>
      <c r="I661" s="20" t="s">
        <v>33</v>
      </c>
      <c r="J661" s="18"/>
      <c r="K661" s="18"/>
      <c r="L661" s="20" t="s">
        <v>33</v>
      </c>
      <c r="M661" s="18"/>
      <c r="N661" s="13" t="s">
        <v>33</v>
      </c>
      <c r="O661" s="13" t="s">
        <v>33</v>
      </c>
      <c r="P661" s="13" t="s">
        <v>33</v>
      </c>
      <c r="Q661" s="13" t="s">
        <v>33</v>
      </c>
      <c r="R661" s="20" t="s">
        <v>33</v>
      </c>
      <c r="S661" s="18"/>
      <c r="T661" s="13" t="s">
        <v>33</v>
      </c>
    </row>
    <row r="662" spans="5:20" ht="0" hidden="1" customHeight="1"/>
    <row r="663" spans="5:20" ht="0.6" customHeight="1"/>
    <row r="664" spans="5:20">
      <c r="E664" s="31" t="s">
        <v>31</v>
      </c>
      <c r="F664" s="22"/>
      <c r="G664" s="3" t="s">
        <v>32</v>
      </c>
      <c r="H664" s="5" t="s">
        <v>33</v>
      </c>
      <c r="I664" s="32" t="s">
        <v>33</v>
      </c>
      <c r="J664" s="18"/>
      <c r="K664" s="18"/>
      <c r="L664" s="32" t="s">
        <v>33</v>
      </c>
      <c r="M664" s="18"/>
      <c r="N664" s="5" t="s">
        <v>33</v>
      </c>
      <c r="O664" s="5" t="s">
        <v>33</v>
      </c>
      <c r="P664" s="5" t="s">
        <v>33</v>
      </c>
      <c r="Q664" s="5" t="s">
        <v>33</v>
      </c>
      <c r="R664" s="32" t="s">
        <v>33</v>
      </c>
      <c r="S664" s="18"/>
      <c r="T664" s="5" t="s">
        <v>33</v>
      </c>
    </row>
    <row r="665" spans="5:20" ht="21">
      <c r="E665" s="21" t="s">
        <v>470</v>
      </c>
      <c r="F665" s="22"/>
      <c r="G665" s="7" t="s">
        <v>35</v>
      </c>
      <c r="H665" s="7" t="s">
        <v>5</v>
      </c>
      <c r="I665" s="30" t="s">
        <v>7</v>
      </c>
      <c r="J665" s="24"/>
      <c r="K665" s="22"/>
      <c r="L665" s="30" t="s">
        <v>9</v>
      </c>
      <c r="M665" s="22"/>
      <c r="N665" s="7" t="s">
        <v>11</v>
      </c>
      <c r="O665" s="7" t="s">
        <v>15</v>
      </c>
      <c r="P665" s="7" t="s">
        <v>17</v>
      </c>
      <c r="Q665" s="7" t="s">
        <v>21</v>
      </c>
      <c r="R665" s="30" t="s">
        <v>23</v>
      </c>
      <c r="S665" s="22"/>
      <c r="T665" s="7" t="s">
        <v>36</v>
      </c>
    </row>
    <row r="666" spans="5:20" ht="22.5">
      <c r="E666" s="6" t="s">
        <v>37</v>
      </c>
      <c r="F666" s="6" t="s">
        <v>471</v>
      </c>
      <c r="G666" s="8" t="s">
        <v>39</v>
      </c>
      <c r="H666" s="9" t="s">
        <v>472</v>
      </c>
      <c r="I666" s="23" t="s">
        <v>473</v>
      </c>
      <c r="J666" s="24"/>
      <c r="K666" s="22"/>
      <c r="L666" s="23" t="s">
        <v>86</v>
      </c>
      <c r="M666" s="22"/>
      <c r="N666" s="9" t="s">
        <v>143</v>
      </c>
      <c r="O666" s="9" t="s">
        <v>407</v>
      </c>
      <c r="P666" s="9" t="s">
        <v>474</v>
      </c>
      <c r="Q666" s="9" t="s">
        <v>475</v>
      </c>
      <c r="R666" s="23" t="s">
        <v>43</v>
      </c>
      <c r="S666" s="22"/>
      <c r="T666" s="8" t="s">
        <v>33</v>
      </c>
    </row>
    <row r="667" spans="5:20">
      <c r="E667" s="21" t="s">
        <v>476</v>
      </c>
      <c r="F667" s="25"/>
      <c r="G667" s="8" t="s">
        <v>42</v>
      </c>
      <c r="H667" s="9" t="s">
        <v>43</v>
      </c>
      <c r="I667" s="23" t="s">
        <v>43</v>
      </c>
      <c r="J667" s="24"/>
      <c r="K667" s="22"/>
      <c r="L667" s="23" t="s">
        <v>43</v>
      </c>
      <c r="M667" s="22"/>
      <c r="N667" s="9" t="s">
        <v>43</v>
      </c>
      <c r="O667" s="9" t="s">
        <v>43</v>
      </c>
      <c r="P667" s="9" t="s">
        <v>43</v>
      </c>
      <c r="Q667" s="9" t="s">
        <v>43</v>
      </c>
      <c r="R667" s="23" t="s">
        <v>477</v>
      </c>
      <c r="S667" s="22"/>
      <c r="T667" s="8" t="s">
        <v>33</v>
      </c>
    </row>
    <row r="668" spans="5:20">
      <c r="E668" s="26"/>
      <c r="F668" s="27"/>
      <c r="G668" s="8" t="s">
        <v>44</v>
      </c>
      <c r="H668" s="9" t="s">
        <v>33</v>
      </c>
      <c r="I668" s="23" t="s">
        <v>33</v>
      </c>
      <c r="J668" s="24"/>
      <c r="K668" s="22"/>
      <c r="L668" s="23" t="s">
        <v>33</v>
      </c>
      <c r="M668" s="22"/>
      <c r="N668" s="9" t="s">
        <v>33</v>
      </c>
      <c r="O668" s="9" t="s">
        <v>33</v>
      </c>
      <c r="P668" s="9" t="s">
        <v>33</v>
      </c>
      <c r="Q668" s="9" t="s">
        <v>33</v>
      </c>
      <c r="R668" s="23" t="s">
        <v>33</v>
      </c>
      <c r="S668" s="22"/>
      <c r="T668" s="8">
        <v>0</v>
      </c>
    </row>
    <row r="669" spans="5:20">
      <c r="E669" s="28"/>
      <c r="F669" s="29"/>
      <c r="G669" s="8" t="s">
        <v>45</v>
      </c>
      <c r="H669" s="9">
        <v>4</v>
      </c>
      <c r="I669" s="23">
        <v>4</v>
      </c>
      <c r="J669" s="24"/>
      <c r="K669" s="22"/>
      <c r="L669" s="23">
        <v>4</v>
      </c>
      <c r="M669" s="22"/>
      <c r="N669" s="9">
        <v>3</v>
      </c>
      <c r="O669" s="9">
        <v>3</v>
      </c>
      <c r="P669" s="9">
        <v>3</v>
      </c>
      <c r="Q669" s="9">
        <v>2</v>
      </c>
      <c r="R669" s="23">
        <v>2</v>
      </c>
      <c r="S669" s="22"/>
      <c r="T669" s="8">
        <v>25</v>
      </c>
    </row>
    <row r="670" spans="5:20">
      <c r="E670" s="6" t="s">
        <v>46</v>
      </c>
      <c r="F670" s="6">
        <v>8.4</v>
      </c>
      <c r="G670" s="8" t="s">
        <v>47</v>
      </c>
      <c r="H670" s="9">
        <v>7.5</v>
      </c>
      <c r="I670" s="23">
        <v>7.5</v>
      </c>
      <c r="J670" s="24"/>
      <c r="K670" s="22"/>
      <c r="L670" s="23">
        <v>9.5</v>
      </c>
      <c r="M670" s="22"/>
      <c r="N670" s="9">
        <v>7</v>
      </c>
      <c r="O670" s="9">
        <v>9</v>
      </c>
      <c r="P670" s="9">
        <v>9</v>
      </c>
      <c r="Q670" s="9">
        <v>9</v>
      </c>
      <c r="R670" s="23">
        <v>9.5</v>
      </c>
      <c r="S670" s="22"/>
      <c r="T670" s="8" t="s">
        <v>33</v>
      </c>
    </row>
    <row r="671" spans="5:20">
      <c r="E671" s="6" t="s">
        <v>48</v>
      </c>
      <c r="F671" s="10">
        <v>8.1999999999999993</v>
      </c>
      <c r="G671" s="8" t="s">
        <v>49</v>
      </c>
      <c r="H671" s="9">
        <v>30</v>
      </c>
      <c r="I671" s="23">
        <v>30</v>
      </c>
      <c r="J671" s="24"/>
      <c r="K671" s="22"/>
      <c r="L671" s="23">
        <v>38</v>
      </c>
      <c r="M671" s="22"/>
      <c r="N671" s="9">
        <v>21</v>
      </c>
      <c r="O671" s="9">
        <v>27</v>
      </c>
      <c r="P671" s="9">
        <v>27</v>
      </c>
      <c r="Q671" s="9">
        <v>18</v>
      </c>
      <c r="R671" s="23">
        <v>19</v>
      </c>
      <c r="S671" s="22"/>
      <c r="T671" s="8">
        <v>210</v>
      </c>
    </row>
    <row r="672" spans="5:20">
      <c r="E672" s="21" t="s">
        <v>50</v>
      </c>
      <c r="F672" s="22"/>
      <c r="G672" s="8" t="s">
        <v>36</v>
      </c>
      <c r="H672" s="9">
        <v>72</v>
      </c>
      <c r="I672" s="23">
        <v>71</v>
      </c>
      <c r="J672" s="24"/>
      <c r="K672" s="22"/>
      <c r="L672" s="23">
        <v>94</v>
      </c>
      <c r="M672" s="22"/>
      <c r="N672" s="9">
        <v>69</v>
      </c>
      <c r="O672" s="9">
        <v>86</v>
      </c>
      <c r="P672" s="9">
        <v>86</v>
      </c>
      <c r="Q672" s="9">
        <v>44</v>
      </c>
      <c r="R672" s="23">
        <v>45</v>
      </c>
      <c r="S672" s="22"/>
      <c r="T672" s="8">
        <v>567</v>
      </c>
    </row>
    <row r="673" spans="5:20">
      <c r="E673" s="6" t="s">
        <v>51</v>
      </c>
      <c r="F673" s="6"/>
      <c r="G673" s="8" t="s">
        <v>52</v>
      </c>
      <c r="H673" s="9">
        <v>100</v>
      </c>
      <c r="I673" s="23">
        <v>100</v>
      </c>
      <c r="J673" s="24"/>
      <c r="K673" s="22"/>
      <c r="L673" s="23">
        <v>100</v>
      </c>
      <c r="M673" s="22"/>
      <c r="N673" s="9">
        <v>100</v>
      </c>
      <c r="O673" s="9">
        <v>100</v>
      </c>
      <c r="P673" s="9">
        <v>100</v>
      </c>
      <c r="Q673" s="9">
        <v>50</v>
      </c>
      <c r="R673" s="23">
        <v>50</v>
      </c>
      <c r="S673" s="22"/>
      <c r="T673" s="8">
        <v>700</v>
      </c>
    </row>
    <row r="674" spans="5:20">
      <c r="E674" s="21" t="s">
        <v>159</v>
      </c>
      <c r="F674" s="22"/>
      <c r="G674" s="8" t="s">
        <v>54</v>
      </c>
      <c r="H674" s="9" t="s">
        <v>108</v>
      </c>
      <c r="I674" s="23" t="s">
        <v>108</v>
      </c>
      <c r="J674" s="24"/>
      <c r="K674" s="22"/>
      <c r="L674" s="23" t="s">
        <v>94</v>
      </c>
      <c r="M674" s="22"/>
      <c r="N674" s="9" t="s">
        <v>109</v>
      </c>
      <c r="O674" s="9" t="s">
        <v>122</v>
      </c>
      <c r="P674" s="9" t="s">
        <v>122</v>
      </c>
      <c r="Q674" s="9" t="s">
        <v>122</v>
      </c>
      <c r="R674" s="23" t="s">
        <v>94</v>
      </c>
      <c r="S674" s="22"/>
      <c r="T674" s="8" t="s">
        <v>33</v>
      </c>
    </row>
    <row r="675" spans="5:20">
      <c r="E675" s="11" t="s">
        <v>56</v>
      </c>
      <c r="F675" s="11" t="s">
        <v>478</v>
      </c>
      <c r="G675" s="8" t="s">
        <v>58</v>
      </c>
      <c r="H675" s="9" t="s">
        <v>59</v>
      </c>
      <c r="I675" s="23" t="s">
        <v>59</v>
      </c>
      <c r="J675" s="24"/>
      <c r="K675" s="22"/>
      <c r="L675" s="23" t="s">
        <v>59</v>
      </c>
      <c r="M675" s="22"/>
      <c r="N675" s="9" t="s">
        <v>59</v>
      </c>
      <c r="O675" s="9" t="s">
        <v>59</v>
      </c>
      <c r="P675" s="9" t="s">
        <v>59</v>
      </c>
      <c r="Q675" s="9" t="s">
        <v>59</v>
      </c>
      <c r="R675" s="23" t="s">
        <v>59</v>
      </c>
      <c r="S675" s="22"/>
      <c r="T675" s="8" t="s">
        <v>33</v>
      </c>
    </row>
    <row r="676" spans="5:20">
      <c r="E676" s="12" t="s">
        <v>33</v>
      </c>
      <c r="F676" s="12" t="s">
        <v>33</v>
      </c>
      <c r="G676" s="12" t="s">
        <v>33</v>
      </c>
      <c r="H676" s="13" t="s">
        <v>33</v>
      </c>
      <c r="I676" s="20" t="s">
        <v>33</v>
      </c>
      <c r="J676" s="18"/>
      <c r="K676" s="18"/>
      <c r="L676" s="20" t="s">
        <v>33</v>
      </c>
      <c r="M676" s="18"/>
      <c r="N676" s="13" t="s">
        <v>33</v>
      </c>
      <c r="O676" s="13" t="s">
        <v>33</v>
      </c>
      <c r="P676" s="13" t="s">
        <v>33</v>
      </c>
      <c r="Q676" s="13" t="s">
        <v>33</v>
      </c>
      <c r="R676" s="20" t="s">
        <v>33</v>
      </c>
      <c r="S676" s="18"/>
      <c r="T676" s="13" t="s">
        <v>33</v>
      </c>
    </row>
    <row r="677" spans="5:20" ht="0" hidden="1" customHeight="1"/>
    <row r="678" spans="5:20" ht="0.6" customHeight="1"/>
    <row r="679" spans="5:20">
      <c r="E679" s="31" t="s">
        <v>31</v>
      </c>
      <c r="F679" s="22"/>
      <c r="G679" s="3" t="s">
        <v>32</v>
      </c>
      <c r="H679" s="5" t="s">
        <v>33</v>
      </c>
      <c r="I679" s="32" t="s">
        <v>33</v>
      </c>
      <c r="J679" s="18"/>
      <c r="K679" s="18"/>
      <c r="L679" s="32" t="s">
        <v>33</v>
      </c>
      <c r="M679" s="18"/>
      <c r="N679" s="5" t="s">
        <v>33</v>
      </c>
      <c r="O679" s="5" t="s">
        <v>33</v>
      </c>
      <c r="P679" s="5" t="s">
        <v>33</v>
      </c>
      <c r="Q679" s="5" t="s">
        <v>33</v>
      </c>
      <c r="R679" s="32" t="s">
        <v>33</v>
      </c>
      <c r="S679" s="18"/>
      <c r="T679" s="5" t="s">
        <v>33</v>
      </c>
    </row>
    <row r="680" spans="5:20" ht="21">
      <c r="E680" s="21" t="s">
        <v>479</v>
      </c>
      <c r="F680" s="22"/>
      <c r="G680" s="7" t="s">
        <v>35</v>
      </c>
      <c r="H680" s="7" t="s">
        <v>5</v>
      </c>
      <c r="I680" s="30" t="s">
        <v>7</v>
      </c>
      <c r="J680" s="24"/>
      <c r="K680" s="22"/>
      <c r="L680" s="30" t="s">
        <v>9</v>
      </c>
      <c r="M680" s="22"/>
      <c r="N680" s="7" t="s">
        <v>11</v>
      </c>
      <c r="O680" s="7" t="s">
        <v>15</v>
      </c>
      <c r="P680" s="7" t="s">
        <v>17</v>
      </c>
      <c r="Q680" s="7" t="s">
        <v>21</v>
      </c>
      <c r="R680" s="30" t="s">
        <v>23</v>
      </c>
      <c r="S680" s="22"/>
      <c r="T680" s="7" t="s">
        <v>36</v>
      </c>
    </row>
    <row r="681" spans="5:20" ht="22.5">
      <c r="E681" s="6" t="s">
        <v>37</v>
      </c>
      <c r="F681" s="6" t="s">
        <v>480</v>
      </c>
      <c r="G681" s="8" t="s">
        <v>39</v>
      </c>
      <c r="H681" s="9" t="s">
        <v>114</v>
      </c>
      <c r="I681" s="23" t="s">
        <v>336</v>
      </c>
      <c r="J681" s="24"/>
      <c r="K681" s="22"/>
      <c r="L681" s="23" t="s">
        <v>481</v>
      </c>
      <c r="M681" s="22"/>
      <c r="N681" s="9" t="s">
        <v>425</v>
      </c>
      <c r="O681" s="9" t="s">
        <v>424</v>
      </c>
      <c r="P681" s="9" t="s">
        <v>482</v>
      </c>
      <c r="Q681" s="9" t="s">
        <v>483</v>
      </c>
      <c r="R681" s="23" t="s">
        <v>43</v>
      </c>
      <c r="S681" s="22"/>
      <c r="T681" s="8" t="s">
        <v>33</v>
      </c>
    </row>
    <row r="682" spans="5:20">
      <c r="E682" s="21" t="s">
        <v>484</v>
      </c>
      <c r="F682" s="25"/>
      <c r="G682" s="8" t="s">
        <v>42</v>
      </c>
      <c r="H682" s="9" t="s">
        <v>43</v>
      </c>
      <c r="I682" s="23" t="s">
        <v>43</v>
      </c>
      <c r="J682" s="24"/>
      <c r="K682" s="22"/>
      <c r="L682" s="23" t="s">
        <v>43</v>
      </c>
      <c r="M682" s="22"/>
      <c r="N682" s="9" t="s">
        <v>43</v>
      </c>
      <c r="O682" s="9" t="s">
        <v>43</v>
      </c>
      <c r="P682" s="9" t="s">
        <v>43</v>
      </c>
      <c r="Q682" s="9" t="s">
        <v>43</v>
      </c>
      <c r="R682" s="23" t="s">
        <v>485</v>
      </c>
      <c r="S682" s="22"/>
      <c r="T682" s="8" t="s">
        <v>33</v>
      </c>
    </row>
    <row r="683" spans="5:20">
      <c r="E683" s="26"/>
      <c r="F683" s="27"/>
      <c r="G683" s="8" t="s">
        <v>44</v>
      </c>
      <c r="H683" s="9" t="s">
        <v>33</v>
      </c>
      <c r="I683" s="23" t="s">
        <v>33</v>
      </c>
      <c r="J683" s="24"/>
      <c r="K683" s="22"/>
      <c r="L683" s="23" t="s">
        <v>33</v>
      </c>
      <c r="M683" s="22"/>
      <c r="N683" s="9" t="s">
        <v>33</v>
      </c>
      <c r="O683" s="9" t="s">
        <v>33</v>
      </c>
      <c r="P683" s="9" t="s">
        <v>33</v>
      </c>
      <c r="Q683" s="9" t="s">
        <v>33</v>
      </c>
      <c r="R683" s="23" t="s">
        <v>33</v>
      </c>
      <c r="S683" s="22"/>
      <c r="T683" s="8">
        <v>0</v>
      </c>
    </row>
    <row r="684" spans="5:20">
      <c r="E684" s="28"/>
      <c r="F684" s="29"/>
      <c r="G684" s="8" t="s">
        <v>45</v>
      </c>
      <c r="H684" s="9">
        <v>4</v>
      </c>
      <c r="I684" s="23">
        <v>4</v>
      </c>
      <c r="J684" s="24"/>
      <c r="K684" s="22"/>
      <c r="L684" s="23">
        <v>4</v>
      </c>
      <c r="M684" s="22"/>
      <c r="N684" s="9">
        <v>3</v>
      </c>
      <c r="O684" s="9">
        <v>3</v>
      </c>
      <c r="P684" s="9">
        <v>3</v>
      </c>
      <c r="Q684" s="9">
        <v>2</v>
      </c>
      <c r="R684" s="23">
        <v>2</v>
      </c>
      <c r="S684" s="22"/>
      <c r="T684" s="8">
        <v>25</v>
      </c>
    </row>
    <row r="685" spans="5:20">
      <c r="E685" s="6" t="s">
        <v>46</v>
      </c>
      <c r="F685" s="6">
        <v>8.58</v>
      </c>
      <c r="G685" s="8" t="s">
        <v>47</v>
      </c>
      <c r="H685" s="9">
        <v>7.5</v>
      </c>
      <c r="I685" s="23">
        <v>8.5</v>
      </c>
      <c r="J685" s="24"/>
      <c r="K685" s="22"/>
      <c r="L685" s="23">
        <v>10</v>
      </c>
      <c r="M685" s="22"/>
      <c r="N685" s="9">
        <v>7</v>
      </c>
      <c r="O685" s="9">
        <v>9.5</v>
      </c>
      <c r="P685" s="9">
        <v>8</v>
      </c>
      <c r="Q685" s="9">
        <v>10</v>
      </c>
      <c r="R685" s="23">
        <v>8.5</v>
      </c>
      <c r="S685" s="22"/>
      <c r="T685" s="8" t="s">
        <v>33</v>
      </c>
    </row>
    <row r="686" spans="5:20">
      <c r="E686" s="6" t="s">
        <v>48</v>
      </c>
      <c r="F686" s="10">
        <v>8.52</v>
      </c>
      <c r="G686" s="8" t="s">
        <v>49</v>
      </c>
      <c r="H686" s="9">
        <v>30</v>
      </c>
      <c r="I686" s="23">
        <v>34</v>
      </c>
      <c r="J686" s="24"/>
      <c r="K686" s="22"/>
      <c r="L686" s="23">
        <v>40</v>
      </c>
      <c r="M686" s="22"/>
      <c r="N686" s="9">
        <v>21</v>
      </c>
      <c r="O686" s="9">
        <v>28.5</v>
      </c>
      <c r="P686" s="9">
        <v>24</v>
      </c>
      <c r="Q686" s="9">
        <v>20</v>
      </c>
      <c r="R686" s="23">
        <v>17</v>
      </c>
      <c r="S686" s="22"/>
      <c r="T686" s="8">
        <v>214.5</v>
      </c>
    </row>
    <row r="687" spans="5:20">
      <c r="E687" s="21" t="s">
        <v>50</v>
      </c>
      <c r="F687" s="22"/>
      <c r="G687" s="8" t="s">
        <v>36</v>
      </c>
      <c r="H687" s="9">
        <v>73</v>
      </c>
      <c r="I687" s="23">
        <v>84</v>
      </c>
      <c r="J687" s="24"/>
      <c r="K687" s="22"/>
      <c r="L687" s="23">
        <v>95</v>
      </c>
      <c r="M687" s="22"/>
      <c r="N687" s="9">
        <v>68</v>
      </c>
      <c r="O687" s="9">
        <v>91</v>
      </c>
      <c r="P687" s="9">
        <v>75</v>
      </c>
      <c r="Q687" s="9">
        <v>48</v>
      </c>
      <c r="R687" s="23">
        <v>42</v>
      </c>
      <c r="S687" s="22"/>
      <c r="T687" s="8">
        <v>576</v>
      </c>
    </row>
    <row r="688" spans="5:20">
      <c r="E688" s="6" t="s">
        <v>51</v>
      </c>
      <c r="F688" s="6"/>
      <c r="G688" s="8" t="s">
        <v>52</v>
      </c>
      <c r="H688" s="9">
        <v>100</v>
      </c>
      <c r="I688" s="23">
        <v>100</v>
      </c>
      <c r="J688" s="24"/>
      <c r="K688" s="22"/>
      <c r="L688" s="23">
        <v>100</v>
      </c>
      <c r="M688" s="22"/>
      <c r="N688" s="9">
        <v>100</v>
      </c>
      <c r="O688" s="9">
        <v>100</v>
      </c>
      <c r="P688" s="9">
        <v>100</v>
      </c>
      <c r="Q688" s="9">
        <v>50</v>
      </c>
      <c r="R688" s="23">
        <v>50</v>
      </c>
      <c r="S688" s="22"/>
      <c r="T688" s="8">
        <v>700</v>
      </c>
    </row>
    <row r="689" spans="5:20">
      <c r="E689" s="21" t="s">
        <v>170</v>
      </c>
      <c r="F689" s="22"/>
      <c r="G689" s="8" t="s">
        <v>54</v>
      </c>
      <c r="H689" s="9" t="s">
        <v>108</v>
      </c>
      <c r="I689" s="23" t="s">
        <v>95</v>
      </c>
      <c r="J689" s="24"/>
      <c r="K689" s="22"/>
      <c r="L689" s="23" t="s">
        <v>93</v>
      </c>
      <c r="M689" s="22"/>
      <c r="N689" s="9" t="s">
        <v>109</v>
      </c>
      <c r="O689" s="9" t="s">
        <v>94</v>
      </c>
      <c r="P689" s="9" t="s">
        <v>135</v>
      </c>
      <c r="Q689" s="9" t="s">
        <v>93</v>
      </c>
      <c r="R689" s="23" t="s">
        <v>95</v>
      </c>
      <c r="S689" s="22"/>
      <c r="T689" s="8" t="s">
        <v>33</v>
      </c>
    </row>
    <row r="690" spans="5:20">
      <c r="E690" s="11" t="s">
        <v>56</v>
      </c>
      <c r="F690" s="11" t="s">
        <v>486</v>
      </c>
      <c r="G690" s="8" t="s">
        <v>58</v>
      </c>
      <c r="H690" s="9" t="s">
        <v>59</v>
      </c>
      <c r="I690" s="23" t="s">
        <v>59</v>
      </c>
      <c r="J690" s="24"/>
      <c r="K690" s="22"/>
      <c r="L690" s="23" t="s">
        <v>59</v>
      </c>
      <c r="M690" s="22"/>
      <c r="N690" s="9" t="s">
        <v>59</v>
      </c>
      <c r="O690" s="9" t="s">
        <v>59</v>
      </c>
      <c r="P690" s="9" t="s">
        <v>59</v>
      </c>
      <c r="Q690" s="9" t="s">
        <v>59</v>
      </c>
      <c r="R690" s="23" t="s">
        <v>59</v>
      </c>
      <c r="S690" s="22"/>
      <c r="T690" s="8" t="s">
        <v>33</v>
      </c>
    </row>
    <row r="691" spans="5:20">
      <c r="E691" s="12" t="s">
        <v>33</v>
      </c>
      <c r="F691" s="12" t="s">
        <v>33</v>
      </c>
      <c r="G691" s="12" t="s">
        <v>33</v>
      </c>
      <c r="H691" s="13" t="s">
        <v>33</v>
      </c>
      <c r="I691" s="20" t="s">
        <v>33</v>
      </c>
      <c r="J691" s="18"/>
      <c r="K691" s="18"/>
      <c r="L691" s="20" t="s">
        <v>33</v>
      </c>
      <c r="M691" s="18"/>
      <c r="N691" s="13" t="s">
        <v>33</v>
      </c>
      <c r="O691" s="13" t="s">
        <v>33</v>
      </c>
      <c r="P691" s="13" t="s">
        <v>33</v>
      </c>
      <c r="Q691" s="13" t="s">
        <v>33</v>
      </c>
      <c r="R691" s="20" t="s">
        <v>33</v>
      </c>
      <c r="S691" s="18"/>
      <c r="T691" s="13" t="s">
        <v>33</v>
      </c>
    </row>
    <row r="692" spans="5:20" ht="0" hidden="1" customHeight="1"/>
    <row r="693" spans="5:20" ht="0.6" customHeight="1"/>
    <row r="694" spans="5:20">
      <c r="E694" s="31" t="s">
        <v>31</v>
      </c>
      <c r="F694" s="22"/>
      <c r="G694" s="3" t="s">
        <v>32</v>
      </c>
      <c r="H694" s="5" t="s">
        <v>33</v>
      </c>
      <c r="I694" s="32" t="s">
        <v>33</v>
      </c>
      <c r="J694" s="18"/>
      <c r="K694" s="18"/>
      <c r="L694" s="32" t="s">
        <v>33</v>
      </c>
      <c r="M694" s="18"/>
      <c r="N694" s="5" t="s">
        <v>33</v>
      </c>
      <c r="O694" s="5" t="s">
        <v>33</v>
      </c>
      <c r="P694" s="5" t="s">
        <v>33</v>
      </c>
      <c r="Q694" s="5" t="s">
        <v>33</v>
      </c>
      <c r="R694" s="32" t="s">
        <v>33</v>
      </c>
      <c r="S694" s="18"/>
      <c r="T694" s="5" t="s">
        <v>33</v>
      </c>
    </row>
    <row r="695" spans="5:20" ht="21">
      <c r="E695" s="21" t="s">
        <v>487</v>
      </c>
      <c r="F695" s="22"/>
      <c r="G695" s="7" t="s">
        <v>35</v>
      </c>
      <c r="H695" s="7" t="s">
        <v>5</v>
      </c>
      <c r="I695" s="30" t="s">
        <v>7</v>
      </c>
      <c r="J695" s="24"/>
      <c r="K695" s="22"/>
      <c r="L695" s="30" t="s">
        <v>9</v>
      </c>
      <c r="M695" s="22"/>
      <c r="N695" s="7" t="s">
        <v>11</v>
      </c>
      <c r="O695" s="7" t="s">
        <v>15</v>
      </c>
      <c r="P695" s="7" t="s">
        <v>17</v>
      </c>
      <c r="Q695" s="7" t="s">
        <v>21</v>
      </c>
      <c r="R695" s="30" t="s">
        <v>23</v>
      </c>
      <c r="S695" s="22"/>
      <c r="T695" s="7" t="s">
        <v>36</v>
      </c>
    </row>
    <row r="696" spans="5:20" ht="22.5">
      <c r="E696" s="6" t="s">
        <v>37</v>
      </c>
      <c r="F696" s="6" t="s">
        <v>488</v>
      </c>
      <c r="G696" s="8" t="s">
        <v>39</v>
      </c>
      <c r="H696" s="9" t="s">
        <v>236</v>
      </c>
      <c r="I696" s="23" t="s">
        <v>489</v>
      </c>
      <c r="J696" s="24"/>
      <c r="K696" s="22"/>
      <c r="L696" s="23" t="s">
        <v>227</v>
      </c>
      <c r="M696" s="22"/>
      <c r="N696" s="9" t="s">
        <v>490</v>
      </c>
      <c r="O696" s="9" t="s">
        <v>491</v>
      </c>
      <c r="P696" s="9" t="s">
        <v>490</v>
      </c>
      <c r="Q696" s="9" t="s">
        <v>328</v>
      </c>
      <c r="R696" s="23" t="s">
        <v>43</v>
      </c>
      <c r="S696" s="22"/>
      <c r="T696" s="8" t="s">
        <v>33</v>
      </c>
    </row>
    <row r="697" spans="5:20">
      <c r="E697" s="21" t="s">
        <v>492</v>
      </c>
      <c r="F697" s="25"/>
      <c r="G697" s="8" t="s">
        <v>42</v>
      </c>
      <c r="H697" s="9" t="s">
        <v>43</v>
      </c>
      <c r="I697" s="23" t="s">
        <v>43</v>
      </c>
      <c r="J697" s="24"/>
      <c r="K697" s="22"/>
      <c r="L697" s="23" t="s">
        <v>43</v>
      </c>
      <c r="M697" s="22"/>
      <c r="N697" s="9" t="s">
        <v>43</v>
      </c>
      <c r="O697" s="9" t="s">
        <v>43</v>
      </c>
      <c r="P697" s="9" t="s">
        <v>43</v>
      </c>
      <c r="Q697" s="9" t="s">
        <v>43</v>
      </c>
      <c r="R697" s="23" t="s">
        <v>120</v>
      </c>
      <c r="S697" s="22"/>
      <c r="T697" s="8" t="s">
        <v>33</v>
      </c>
    </row>
    <row r="698" spans="5:20">
      <c r="E698" s="26"/>
      <c r="F698" s="27"/>
      <c r="G698" s="8" t="s">
        <v>44</v>
      </c>
      <c r="H698" s="9" t="s">
        <v>33</v>
      </c>
      <c r="I698" s="23" t="s">
        <v>33</v>
      </c>
      <c r="J698" s="24"/>
      <c r="K698" s="22"/>
      <c r="L698" s="23" t="s">
        <v>33</v>
      </c>
      <c r="M698" s="22"/>
      <c r="N698" s="9" t="s">
        <v>33</v>
      </c>
      <c r="O698" s="9" t="s">
        <v>33</v>
      </c>
      <c r="P698" s="9" t="s">
        <v>33</v>
      </c>
      <c r="Q698" s="9" t="s">
        <v>33</v>
      </c>
      <c r="R698" s="23" t="s">
        <v>33</v>
      </c>
      <c r="S698" s="22"/>
      <c r="T698" s="8">
        <v>0</v>
      </c>
    </row>
    <row r="699" spans="5:20">
      <c r="E699" s="28"/>
      <c r="F699" s="29"/>
      <c r="G699" s="8" t="s">
        <v>45</v>
      </c>
      <c r="H699" s="9">
        <v>4</v>
      </c>
      <c r="I699" s="23">
        <v>4</v>
      </c>
      <c r="J699" s="24"/>
      <c r="K699" s="22"/>
      <c r="L699" s="23">
        <v>4</v>
      </c>
      <c r="M699" s="22"/>
      <c r="N699" s="9">
        <v>3</v>
      </c>
      <c r="O699" s="9">
        <v>3</v>
      </c>
      <c r="P699" s="9">
        <v>3</v>
      </c>
      <c r="Q699" s="9">
        <v>2</v>
      </c>
      <c r="R699" s="23">
        <v>2</v>
      </c>
      <c r="S699" s="22"/>
      <c r="T699" s="8">
        <v>25</v>
      </c>
    </row>
    <row r="700" spans="5:20">
      <c r="E700" s="6" t="s">
        <v>46</v>
      </c>
      <c r="F700" s="6">
        <v>8.2799999999999994</v>
      </c>
      <c r="G700" s="8" t="s">
        <v>47</v>
      </c>
      <c r="H700" s="9">
        <v>8</v>
      </c>
      <c r="I700" s="23">
        <v>7.5</v>
      </c>
      <c r="J700" s="24"/>
      <c r="K700" s="22"/>
      <c r="L700" s="23">
        <v>9.5</v>
      </c>
      <c r="M700" s="22"/>
      <c r="N700" s="9">
        <v>7</v>
      </c>
      <c r="O700" s="9">
        <v>9</v>
      </c>
      <c r="P700" s="9">
        <v>7</v>
      </c>
      <c r="Q700" s="9">
        <v>9</v>
      </c>
      <c r="R700" s="23">
        <v>10</v>
      </c>
      <c r="S700" s="22"/>
      <c r="T700" s="8" t="s">
        <v>33</v>
      </c>
    </row>
    <row r="701" spans="5:20">
      <c r="E701" s="6" t="s">
        <v>48</v>
      </c>
      <c r="F701" s="10">
        <v>7.91</v>
      </c>
      <c r="G701" s="8" t="s">
        <v>49</v>
      </c>
      <c r="H701" s="9">
        <v>32</v>
      </c>
      <c r="I701" s="23">
        <v>30</v>
      </c>
      <c r="J701" s="24"/>
      <c r="K701" s="22"/>
      <c r="L701" s="23">
        <v>38</v>
      </c>
      <c r="M701" s="22"/>
      <c r="N701" s="9">
        <v>21</v>
      </c>
      <c r="O701" s="9">
        <v>27</v>
      </c>
      <c r="P701" s="9">
        <v>21</v>
      </c>
      <c r="Q701" s="9">
        <v>18</v>
      </c>
      <c r="R701" s="23">
        <v>20</v>
      </c>
      <c r="S701" s="22"/>
      <c r="T701" s="8">
        <v>207</v>
      </c>
    </row>
    <row r="702" spans="5:20">
      <c r="E702" s="21" t="s">
        <v>50</v>
      </c>
      <c r="F702" s="22"/>
      <c r="G702" s="8" t="s">
        <v>36</v>
      </c>
      <c r="H702" s="9">
        <v>75</v>
      </c>
      <c r="I702" s="23">
        <v>74</v>
      </c>
      <c r="J702" s="24"/>
      <c r="K702" s="22"/>
      <c r="L702" s="23">
        <v>94</v>
      </c>
      <c r="M702" s="22"/>
      <c r="N702" s="9">
        <v>66</v>
      </c>
      <c r="O702" s="9">
        <v>87</v>
      </c>
      <c r="P702" s="9">
        <v>66</v>
      </c>
      <c r="Q702" s="9">
        <v>44</v>
      </c>
      <c r="R702" s="23">
        <v>49</v>
      </c>
      <c r="S702" s="22"/>
      <c r="T702" s="8">
        <v>555</v>
      </c>
    </row>
    <row r="703" spans="5:20">
      <c r="E703" s="6" t="s">
        <v>51</v>
      </c>
      <c r="F703" s="6"/>
      <c r="G703" s="8" t="s">
        <v>52</v>
      </c>
      <c r="H703" s="9">
        <v>100</v>
      </c>
      <c r="I703" s="23">
        <v>100</v>
      </c>
      <c r="J703" s="24"/>
      <c r="K703" s="22"/>
      <c r="L703" s="23">
        <v>100</v>
      </c>
      <c r="M703" s="22"/>
      <c r="N703" s="9">
        <v>100</v>
      </c>
      <c r="O703" s="9">
        <v>100</v>
      </c>
      <c r="P703" s="9">
        <v>100</v>
      </c>
      <c r="Q703" s="9">
        <v>50</v>
      </c>
      <c r="R703" s="23">
        <v>50</v>
      </c>
      <c r="S703" s="22"/>
      <c r="T703" s="8">
        <v>700</v>
      </c>
    </row>
    <row r="704" spans="5:20">
      <c r="E704" s="21" t="s">
        <v>159</v>
      </c>
      <c r="F704" s="22"/>
      <c r="G704" s="8" t="s">
        <v>54</v>
      </c>
      <c r="H704" s="9" t="s">
        <v>135</v>
      </c>
      <c r="I704" s="23" t="s">
        <v>108</v>
      </c>
      <c r="J704" s="24"/>
      <c r="K704" s="22"/>
      <c r="L704" s="23" t="s">
        <v>94</v>
      </c>
      <c r="M704" s="22"/>
      <c r="N704" s="9" t="s">
        <v>109</v>
      </c>
      <c r="O704" s="9" t="s">
        <v>122</v>
      </c>
      <c r="P704" s="9" t="s">
        <v>109</v>
      </c>
      <c r="Q704" s="9" t="s">
        <v>122</v>
      </c>
      <c r="R704" s="23" t="s">
        <v>93</v>
      </c>
      <c r="S704" s="22"/>
      <c r="T704" s="8" t="s">
        <v>33</v>
      </c>
    </row>
    <row r="705" spans="5:20">
      <c r="E705" s="11" t="s">
        <v>56</v>
      </c>
      <c r="F705" s="11" t="s">
        <v>493</v>
      </c>
      <c r="G705" s="8" t="s">
        <v>58</v>
      </c>
      <c r="H705" s="9" t="s">
        <v>59</v>
      </c>
      <c r="I705" s="23" t="s">
        <v>59</v>
      </c>
      <c r="J705" s="24"/>
      <c r="K705" s="22"/>
      <c r="L705" s="23" t="s">
        <v>59</v>
      </c>
      <c r="M705" s="22"/>
      <c r="N705" s="9" t="s">
        <v>59</v>
      </c>
      <c r="O705" s="9" t="s">
        <v>59</v>
      </c>
      <c r="P705" s="9" t="s">
        <v>59</v>
      </c>
      <c r="Q705" s="9" t="s">
        <v>59</v>
      </c>
      <c r="R705" s="23" t="s">
        <v>59</v>
      </c>
      <c r="S705" s="22"/>
      <c r="T705" s="8" t="s">
        <v>33</v>
      </c>
    </row>
    <row r="706" spans="5:20">
      <c r="E706" s="12" t="s">
        <v>33</v>
      </c>
      <c r="F706" s="12" t="s">
        <v>33</v>
      </c>
      <c r="G706" s="12" t="s">
        <v>33</v>
      </c>
      <c r="H706" s="13" t="s">
        <v>33</v>
      </c>
      <c r="I706" s="20" t="s">
        <v>33</v>
      </c>
      <c r="J706" s="18"/>
      <c r="K706" s="18"/>
      <c r="L706" s="20" t="s">
        <v>33</v>
      </c>
      <c r="M706" s="18"/>
      <c r="N706" s="13" t="s">
        <v>33</v>
      </c>
      <c r="O706" s="13" t="s">
        <v>33</v>
      </c>
      <c r="P706" s="13" t="s">
        <v>33</v>
      </c>
      <c r="Q706" s="13" t="s">
        <v>33</v>
      </c>
      <c r="R706" s="20" t="s">
        <v>33</v>
      </c>
      <c r="S706" s="18"/>
      <c r="T706" s="13" t="s">
        <v>33</v>
      </c>
    </row>
    <row r="707" spans="5:20" ht="0" hidden="1" customHeight="1"/>
    <row r="708" spans="5:20" ht="0.6" customHeight="1"/>
    <row r="709" spans="5:20">
      <c r="E709" s="31" t="s">
        <v>31</v>
      </c>
      <c r="F709" s="22"/>
      <c r="G709" s="3" t="s">
        <v>32</v>
      </c>
      <c r="H709" s="5" t="s">
        <v>33</v>
      </c>
      <c r="I709" s="32" t="s">
        <v>33</v>
      </c>
      <c r="J709" s="18"/>
      <c r="K709" s="18"/>
      <c r="L709" s="32" t="s">
        <v>33</v>
      </c>
      <c r="M709" s="18"/>
      <c r="N709" s="5" t="s">
        <v>33</v>
      </c>
      <c r="O709" s="5" t="s">
        <v>33</v>
      </c>
      <c r="P709" s="5" t="s">
        <v>33</v>
      </c>
      <c r="Q709" s="5" t="s">
        <v>33</v>
      </c>
      <c r="R709" s="32" t="s">
        <v>33</v>
      </c>
      <c r="S709" s="18"/>
      <c r="T709" s="5" t="s">
        <v>33</v>
      </c>
    </row>
    <row r="710" spans="5:20" ht="21">
      <c r="E710" s="21" t="s">
        <v>494</v>
      </c>
      <c r="F710" s="22"/>
      <c r="G710" s="7" t="s">
        <v>35</v>
      </c>
      <c r="H710" s="7" t="s">
        <v>5</v>
      </c>
      <c r="I710" s="30" t="s">
        <v>7</v>
      </c>
      <c r="J710" s="24"/>
      <c r="K710" s="22"/>
      <c r="L710" s="30" t="s">
        <v>9</v>
      </c>
      <c r="M710" s="22"/>
      <c r="N710" s="7" t="s">
        <v>11</v>
      </c>
      <c r="O710" s="7" t="s">
        <v>15</v>
      </c>
      <c r="P710" s="7" t="s">
        <v>17</v>
      </c>
      <c r="Q710" s="7" t="s">
        <v>21</v>
      </c>
      <c r="R710" s="30" t="s">
        <v>23</v>
      </c>
      <c r="S710" s="22"/>
      <c r="T710" s="7" t="s">
        <v>36</v>
      </c>
    </row>
    <row r="711" spans="5:20" ht="22.5">
      <c r="E711" s="6" t="s">
        <v>37</v>
      </c>
      <c r="F711" s="6" t="s">
        <v>495</v>
      </c>
      <c r="G711" s="8" t="s">
        <v>39</v>
      </c>
      <c r="H711" s="9" t="s">
        <v>496</v>
      </c>
      <c r="I711" s="23" t="s">
        <v>497</v>
      </c>
      <c r="J711" s="24"/>
      <c r="K711" s="22"/>
      <c r="L711" s="23" t="s">
        <v>447</v>
      </c>
      <c r="M711" s="22"/>
      <c r="N711" s="9" t="s">
        <v>498</v>
      </c>
      <c r="O711" s="9" t="s">
        <v>448</v>
      </c>
      <c r="P711" s="9" t="s">
        <v>499</v>
      </c>
      <c r="Q711" s="9" t="s">
        <v>267</v>
      </c>
      <c r="R711" s="23" t="s">
        <v>43</v>
      </c>
      <c r="S711" s="22"/>
      <c r="T711" s="8" t="s">
        <v>33</v>
      </c>
    </row>
    <row r="712" spans="5:20">
      <c r="E712" s="21" t="s">
        <v>500</v>
      </c>
      <c r="F712" s="25"/>
      <c r="G712" s="8" t="s">
        <v>42</v>
      </c>
      <c r="H712" s="9" t="s">
        <v>43</v>
      </c>
      <c r="I712" s="23" t="s">
        <v>43</v>
      </c>
      <c r="J712" s="24"/>
      <c r="K712" s="22"/>
      <c r="L712" s="23" t="s">
        <v>43</v>
      </c>
      <c r="M712" s="22"/>
      <c r="N712" s="9" t="s">
        <v>43</v>
      </c>
      <c r="O712" s="9" t="s">
        <v>43</v>
      </c>
      <c r="P712" s="9" t="s">
        <v>43</v>
      </c>
      <c r="Q712" s="9" t="s">
        <v>43</v>
      </c>
      <c r="R712" s="23" t="s">
        <v>360</v>
      </c>
      <c r="S712" s="22"/>
      <c r="T712" s="8" t="s">
        <v>33</v>
      </c>
    </row>
    <row r="713" spans="5:20">
      <c r="E713" s="26"/>
      <c r="F713" s="27"/>
      <c r="G713" s="8" t="s">
        <v>44</v>
      </c>
      <c r="H713" s="9" t="s">
        <v>33</v>
      </c>
      <c r="I713" s="23" t="s">
        <v>33</v>
      </c>
      <c r="J713" s="24"/>
      <c r="K713" s="22"/>
      <c r="L713" s="23" t="s">
        <v>33</v>
      </c>
      <c r="M713" s="22"/>
      <c r="N713" s="9" t="s">
        <v>33</v>
      </c>
      <c r="O713" s="9" t="s">
        <v>33</v>
      </c>
      <c r="P713" s="9" t="s">
        <v>33</v>
      </c>
      <c r="Q713" s="9" t="s">
        <v>33</v>
      </c>
      <c r="R713" s="23" t="s">
        <v>33</v>
      </c>
      <c r="S713" s="22"/>
      <c r="T713" s="8">
        <v>0</v>
      </c>
    </row>
    <row r="714" spans="5:20">
      <c r="E714" s="28"/>
      <c r="F714" s="29"/>
      <c r="G714" s="8" t="s">
        <v>45</v>
      </c>
      <c r="H714" s="9">
        <v>4</v>
      </c>
      <c r="I714" s="23">
        <v>4</v>
      </c>
      <c r="J714" s="24"/>
      <c r="K714" s="22"/>
      <c r="L714" s="23">
        <v>4</v>
      </c>
      <c r="M714" s="22"/>
      <c r="N714" s="9">
        <v>3</v>
      </c>
      <c r="O714" s="9">
        <v>3</v>
      </c>
      <c r="P714" s="9">
        <v>3</v>
      </c>
      <c r="Q714" s="9">
        <v>2</v>
      </c>
      <c r="R714" s="23">
        <v>2</v>
      </c>
      <c r="S714" s="22"/>
      <c r="T714" s="8">
        <v>18</v>
      </c>
    </row>
    <row r="715" spans="5:20">
      <c r="E715" s="6" t="s">
        <v>46</v>
      </c>
      <c r="F715" s="6"/>
      <c r="G715" s="8" t="s">
        <v>47</v>
      </c>
      <c r="H715" s="9"/>
      <c r="I715" s="23">
        <v>7</v>
      </c>
      <c r="J715" s="24"/>
      <c r="K715" s="22"/>
      <c r="L715" s="23">
        <v>5.5</v>
      </c>
      <c r="M715" s="22"/>
      <c r="N715" s="9">
        <v>7</v>
      </c>
      <c r="O715" s="9">
        <v>8</v>
      </c>
      <c r="P715" s="9"/>
      <c r="Q715" s="9">
        <v>7</v>
      </c>
      <c r="R715" s="23">
        <v>9</v>
      </c>
      <c r="S715" s="22"/>
      <c r="T715" s="8" t="s">
        <v>33</v>
      </c>
    </row>
    <row r="716" spans="5:20">
      <c r="E716" s="6" t="s">
        <v>48</v>
      </c>
      <c r="F716" s="6"/>
      <c r="G716" s="8" t="s">
        <v>49</v>
      </c>
      <c r="H716" s="9"/>
      <c r="I716" s="23">
        <v>28</v>
      </c>
      <c r="J716" s="24"/>
      <c r="K716" s="22"/>
      <c r="L716" s="23">
        <v>22</v>
      </c>
      <c r="M716" s="22"/>
      <c r="N716" s="9">
        <v>21</v>
      </c>
      <c r="O716" s="9">
        <v>24</v>
      </c>
      <c r="P716" s="9"/>
      <c r="Q716" s="9">
        <v>14</v>
      </c>
      <c r="R716" s="23">
        <v>18</v>
      </c>
      <c r="S716" s="22"/>
      <c r="T716" s="8">
        <v>127</v>
      </c>
    </row>
    <row r="717" spans="5:20">
      <c r="E717" s="21" t="s">
        <v>65</v>
      </c>
      <c r="F717" s="22"/>
      <c r="G717" s="8" t="s">
        <v>36</v>
      </c>
      <c r="H717" s="9">
        <v>32</v>
      </c>
      <c r="I717" s="23">
        <v>65</v>
      </c>
      <c r="J717" s="24"/>
      <c r="K717" s="22"/>
      <c r="L717" s="23">
        <v>54</v>
      </c>
      <c r="M717" s="22"/>
      <c r="N717" s="9">
        <v>68</v>
      </c>
      <c r="O717" s="9">
        <v>77</v>
      </c>
      <c r="P717" s="9">
        <v>31</v>
      </c>
      <c r="Q717" s="9">
        <v>34</v>
      </c>
      <c r="R717" s="23">
        <v>44</v>
      </c>
      <c r="S717" s="22"/>
      <c r="T717" s="8">
        <v>405</v>
      </c>
    </row>
    <row r="718" spans="5:20">
      <c r="E718" s="6" t="s">
        <v>51</v>
      </c>
      <c r="F718" s="6"/>
      <c r="G718" s="8" t="s">
        <v>52</v>
      </c>
      <c r="H718" s="9">
        <v>100</v>
      </c>
      <c r="I718" s="23">
        <v>100</v>
      </c>
      <c r="J718" s="24"/>
      <c r="K718" s="22"/>
      <c r="L718" s="23">
        <v>100</v>
      </c>
      <c r="M718" s="22"/>
      <c r="N718" s="9">
        <v>100</v>
      </c>
      <c r="O718" s="9">
        <v>100</v>
      </c>
      <c r="P718" s="9">
        <v>100</v>
      </c>
      <c r="Q718" s="9">
        <v>50</v>
      </c>
      <c r="R718" s="23">
        <v>50</v>
      </c>
      <c r="S718" s="22"/>
      <c r="T718" s="8">
        <v>700</v>
      </c>
    </row>
    <row r="719" spans="5:20">
      <c r="E719" s="21" t="s">
        <v>66</v>
      </c>
      <c r="F719" s="22"/>
      <c r="G719" s="8" t="s">
        <v>54</v>
      </c>
      <c r="H719" s="9"/>
      <c r="I719" s="23" t="s">
        <v>109</v>
      </c>
      <c r="J719" s="24"/>
      <c r="K719" s="22"/>
      <c r="L719" s="23" t="s">
        <v>123</v>
      </c>
      <c r="M719" s="22"/>
      <c r="N719" s="9" t="s">
        <v>109</v>
      </c>
      <c r="O719" s="9" t="s">
        <v>135</v>
      </c>
      <c r="P719" s="9"/>
      <c r="Q719" s="9" t="s">
        <v>109</v>
      </c>
      <c r="R719" s="23" t="s">
        <v>122</v>
      </c>
      <c r="S719" s="22"/>
      <c r="T719" s="8" t="s">
        <v>33</v>
      </c>
    </row>
    <row r="720" spans="5:20">
      <c r="E720" s="11" t="s">
        <v>56</v>
      </c>
      <c r="F720" s="11" t="s">
        <v>501</v>
      </c>
      <c r="G720" s="8" t="s">
        <v>58</v>
      </c>
      <c r="H720" s="9" t="s">
        <v>68</v>
      </c>
      <c r="I720" s="23" t="s">
        <v>59</v>
      </c>
      <c r="J720" s="24"/>
      <c r="K720" s="22"/>
      <c r="L720" s="23" t="s">
        <v>59</v>
      </c>
      <c r="M720" s="22"/>
      <c r="N720" s="9" t="s">
        <v>59</v>
      </c>
      <c r="O720" s="9" t="s">
        <v>59</v>
      </c>
      <c r="P720" s="9" t="s">
        <v>68</v>
      </c>
      <c r="Q720" s="9" t="s">
        <v>59</v>
      </c>
      <c r="R720" s="23" t="s">
        <v>59</v>
      </c>
      <c r="S720" s="22"/>
      <c r="T720" s="8" t="s">
        <v>33</v>
      </c>
    </row>
    <row r="721" spans="5:20">
      <c r="E721" s="12" t="s">
        <v>33</v>
      </c>
      <c r="F721" s="12" t="s">
        <v>33</v>
      </c>
      <c r="G721" s="12" t="s">
        <v>33</v>
      </c>
      <c r="H721" s="13" t="s">
        <v>33</v>
      </c>
      <c r="I721" s="20" t="s">
        <v>33</v>
      </c>
      <c r="J721" s="18"/>
      <c r="K721" s="18"/>
      <c r="L721" s="20" t="s">
        <v>33</v>
      </c>
      <c r="M721" s="18"/>
      <c r="N721" s="13" t="s">
        <v>33</v>
      </c>
      <c r="O721" s="13" t="s">
        <v>33</v>
      </c>
      <c r="P721" s="13" t="s">
        <v>33</v>
      </c>
      <c r="Q721" s="13" t="s">
        <v>33</v>
      </c>
      <c r="R721" s="20" t="s">
        <v>33</v>
      </c>
      <c r="S721" s="18"/>
      <c r="T721" s="13" t="s">
        <v>33</v>
      </c>
    </row>
    <row r="722" spans="5:20" ht="0.6" customHeight="1"/>
    <row r="723" spans="5:20">
      <c r="E723" s="31" t="s">
        <v>31</v>
      </c>
      <c r="F723" s="22"/>
      <c r="G723" s="3" t="s">
        <v>32</v>
      </c>
      <c r="H723" s="5" t="s">
        <v>33</v>
      </c>
      <c r="I723" s="32" t="s">
        <v>33</v>
      </c>
      <c r="J723" s="18"/>
      <c r="K723" s="18"/>
      <c r="L723" s="32" t="s">
        <v>33</v>
      </c>
      <c r="M723" s="18"/>
      <c r="N723" s="5" t="s">
        <v>33</v>
      </c>
      <c r="O723" s="5" t="s">
        <v>33</v>
      </c>
      <c r="P723" s="5" t="s">
        <v>33</v>
      </c>
      <c r="Q723" s="5" t="s">
        <v>33</v>
      </c>
      <c r="R723" s="32" t="s">
        <v>33</v>
      </c>
      <c r="S723" s="18"/>
      <c r="T723" s="5" t="s">
        <v>33</v>
      </c>
    </row>
    <row r="724" spans="5:20" ht="21">
      <c r="E724" s="21" t="s">
        <v>502</v>
      </c>
      <c r="F724" s="22"/>
      <c r="G724" s="7" t="s">
        <v>35</v>
      </c>
      <c r="H724" s="7" t="s">
        <v>5</v>
      </c>
      <c r="I724" s="30" t="s">
        <v>7</v>
      </c>
      <c r="J724" s="24"/>
      <c r="K724" s="22"/>
      <c r="L724" s="30" t="s">
        <v>9</v>
      </c>
      <c r="M724" s="22"/>
      <c r="N724" s="7" t="s">
        <v>11</v>
      </c>
      <c r="O724" s="7" t="s">
        <v>15</v>
      </c>
      <c r="P724" s="7" t="s">
        <v>17</v>
      </c>
      <c r="Q724" s="7" t="s">
        <v>21</v>
      </c>
      <c r="R724" s="30" t="s">
        <v>29</v>
      </c>
      <c r="S724" s="22"/>
      <c r="T724" s="7" t="s">
        <v>36</v>
      </c>
    </row>
    <row r="725" spans="5:20" ht="22.5">
      <c r="E725" s="6" t="s">
        <v>37</v>
      </c>
      <c r="F725" s="6" t="s">
        <v>503</v>
      </c>
      <c r="G725" s="8" t="s">
        <v>39</v>
      </c>
      <c r="H725" s="9" t="s">
        <v>309</v>
      </c>
      <c r="I725" s="23" t="s">
        <v>432</v>
      </c>
      <c r="J725" s="24"/>
      <c r="K725" s="22"/>
      <c r="L725" s="23" t="s">
        <v>88</v>
      </c>
      <c r="M725" s="22"/>
      <c r="N725" s="9" t="s">
        <v>311</v>
      </c>
      <c r="O725" s="9" t="s">
        <v>504</v>
      </c>
      <c r="P725" s="9" t="s">
        <v>309</v>
      </c>
      <c r="Q725" s="9" t="s">
        <v>89</v>
      </c>
      <c r="R725" s="23" t="s">
        <v>43</v>
      </c>
      <c r="S725" s="22"/>
      <c r="T725" s="8" t="s">
        <v>33</v>
      </c>
    </row>
    <row r="726" spans="5:20">
      <c r="E726" s="21" t="s">
        <v>505</v>
      </c>
      <c r="F726" s="25"/>
      <c r="G726" s="8" t="s">
        <v>42</v>
      </c>
      <c r="H726" s="9" t="s">
        <v>43</v>
      </c>
      <c r="I726" s="23" t="s">
        <v>43</v>
      </c>
      <c r="J726" s="24"/>
      <c r="K726" s="22"/>
      <c r="L726" s="23" t="s">
        <v>43</v>
      </c>
      <c r="M726" s="22"/>
      <c r="N726" s="9" t="s">
        <v>43</v>
      </c>
      <c r="O726" s="9" t="s">
        <v>43</v>
      </c>
      <c r="P726" s="9" t="s">
        <v>43</v>
      </c>
      <c r="Q726" s="9" t="s">
        <v>43</v>
      </c>
      <c r="R726" s="23" t="s">
        <v>91</v>
      </c>
      <c r="S726" s="22"/>
      <c r="T726" s="8" t="s">
        <v>33</v>
      </c>
    </row>
    <row r="727" spans="5:20">
      <c r="E727" s="26"/>
      <c r="F727" s="27"/>
      <c r="G727" s="8" t="s">
        <v>44</v>
      </c>
      <c r="H727" s="9" t="s">
        <v>33</v>
      </c>
      <c r="I727" s="23" t="s">
        <v>33</v>
      </c>
      <c r="J727" s="24"/>
      <c r="K727" s="22"/>
      <c r="L727" s="23" t="s">
        <v>33</v>
      </c>
      <c r="M727" s="22"/>
      <c r="N727" s="9" t="s">
        <v>33</v>
      </c>
      <c r="O727" s="9" t="s">
        <v>33</v>
      </c>
      <c r="P727" s="9" t="s">
        <v>33</v>
      </c>
      <c r="Q727" s="9" t="s">
        <v>33</v>
      </c>
      <c r="R727" s="23" t="s">
        <v>33</v>
      </c>
      <c r="S727" s="22"/>
      <c r="T727" s="8">
        <v>0</v>
      </c>
    </row>
    <row r="728" spans="5:20">
      <c r="E728" s="28"/>
      <c r="F728" s="29"/>
      <c r="G728" s="8" t="s">
        <v>45</v>
      </c>
      <c r="H728" s="9">
        <v>4</v>
      </c>
      <c r="I728" s="23">
        <v>4</v>
      </c>
      <c r="J728" s="24"/>
      <c r="K728" s="22"/>
      <c r="L728" s="23">
        <v>4</v>
      </c>
      <c r="M728" s="22"/>
      <c r="N728" s="9">
        <v>3</v>
      </c>
      <c r="O728" s="9">
        <v>3</v>
      </c>
      <c r="P728" s="9">
        <v>3</v>
      </c>
      <c r="Q728" s="9">
        <v>2</v>
      </c>
      <c r="R728" s="23">
        <v>2</v>
      </c>
      <c r="S728" s="22"/>
      <c r="T728" s="8">
        <v>25</v>
      </c>
    </row>
    <row r="729" spans="5:20">
      <c r="E729" s="6" t="s">
        <v>46</v>
      </c>
      <c r="F729" s="6">
        <v>9.48</v>
      </c>
      <c r="G729" s="8" t="s">
        <v>47</v>
      </c>
      <c r="H729" s="9">
        <v>10</v>
      </c>
      <c r="I729" s="23">
        <v>9</v>
      </c>
      <c r="J729" s="24"/>
      <c r="K729" s="22"/>
      <c r="L729" s="23">
        <v>10</v>
      </c>
      <c r="M729" s="22"/>
      <c r="N729" s="9">
        <v>8</v>
      </c>
      <c r="O729" s="9">
        <v>9</v>
      </c>
      <c r="P729" s="9">
        <v>10</v>
      </c>
      <c r="Q729" s="9">
        <v>10</v>
      </c>
      <c r="R729" s="23">
        <v>10</v>
      </c>
      <c r="S729" s="22"/>
      <c r="T729" s="8" t="s">
        <v>33</v>
      </c>
    </row>
    <row r="730" spans="5:20">
      <c r="E730" s="6" t="s">
        <v>48</v>
      </c>
      <c r="F730" s="10">
        <v>9.14</v>
      </c>
      <c r="G730" s="8" t="s">
        <v>49</v>
      </c>
      <c r="H730" s="9">
        <v>40</v>
      </c>
      <c r="I730" s="23">
        <v>36</v>
      </c>
      <c r="J730" s="24"/>
      <c r="K730" s="22"/>
      <c r="L730" s="23">
        <v>40</v>
      </c>
      <c r="M730" s="22"/>
      <c r="N730" s="9">
        <v>24</v>
      </c>
      <c r="O730" s="9">
        <v>27</v>
      </c>
      <c r="P730" s="9">
        <v>30</v>
      </c>
      <c r="Q730" s="9">
        <v>20</v>
      </c>
      <c r="R730" s="23">
        <v>20</v>
      </c>
      <c r="S730" s="22"/>
      <c r="T730" s="8">
        <v>237</v>
      </c>
    </row>
    <row r="731" spans="5:20">
      <c r="E731" s="21" t="s">
        <v>50</v>
      </c>
      <c r="F731" s="22"/>
      <c r="G731" s="8" t="s">
        <v>36</v>
      </c>
      <c r="H731" s="9">
        <v>95</v>
      </c>
      <c r="I731" s="23">
        <v>88</v>
      </c>
      <c r="J731" s="24"/>
      <c r="K731" s="22"/>
      <c r="L731" s="23">
        <v>100</v>
      </c>
      <c r="M731" s="22"/>
      <c r="N731" s="9">
        <v>76</v>
      </c>
      <c r="O731" s="9">
        <v>85</v>
      </c>
      <c r="P731" s="9">
        <v>95</v>
      </c>
      <c r="Q731" s="9">
        <v>50</v>
      </c>
      <c r="R731" s="23">
        <v>50</v>
      </c>
      <c r="S731" s="22"/>
      <c r="T731" s="8">
        <v>639</v>
      </c>
    </row>
    <row r="732" spans="5:20">
      <c r="E732" s="6" t="s">
        <v>51</v>
      </c>
      <c r="F732" s="6"/>
      <c r="G732" s="8" t="s">
        <v>52</v>
      </c>
      <c r="H732" s="9">
        <v>100</v>
      </c>
      <c r="I732" s="23">
        <v>100</v>
      </c>
      <c r="J732" s="24"/>
      <c r="K732" s="22"/>
      <c r="L732" s="23">
        <v>100</v>
      </c>
      <c r="M732" s="22"/>
      <c r="N732" s="9">
        <v>100</v>
      </c>
      <c r="O732" s="9">
        <v>100</v>
      </c>
      <c r="P732" s="9">
        <v>100</v>
      </c>
      <c r="Q732" s="9">
        <v>50</v>
      </c>
      <c r="R732" s="23">
        <v>50</v>
      </c>
      <c r="S732" s="22"/>
      <c r="T732" s="8">
        <v>700</v>
      </c>
    </row>
    <row r="733" spans="5:20">
      <c r="E733" s="21" t="s">
        <v>287</v>
      </c>
      <c r="F733" s="22"/>
      <c r="G733" s="8" t="s">
        <v>54</v>
      </c>
      <c r="H733" s="9" t="s">
        <v>93</v>
      </c>
      <c r="I733" s="23" t="s">
        <v>122</v>
      </c>
      <c r="J733" s="24"/>
      <c r="K733" s="22"/>
      <c r="L733" s="23" t="s">
        <v>93</v>
      </c>
      <c r="M733" s="22"/>
      <c r="N733" s="9" t="s">
        <v>135</v>
      </c>
      <c r="O733" s="9" t="s">
        <v>122</v>
      </c>
      <c r="P733" s="9" t="s">
        <v>93</v>
      </c>
      <c r="Q733" s="9" t="s">
        <v>93</v>
      </c>
      <c r="R733" s="23" t="s">
        <v>93</v>
      </c>
      <c r="S733" s="22"/>
      <c r="T733" s="8" t="s">
        <v>33</v>
      </c>
    </row>
    <row r="734" spans="5:20">
      <c r="E734" s="11" t="s">
        <v>56</v>
      </c>
      <c r="F734" s="11" t="s">
        <v>506</v>
      </c>
      <c r="G734" s="8" t="s">
        <v>58</v>
      </c>
      <c r="H734" s="9" t="s">
        <v>59</v>
      </c>
      <c r="I734" s="23" t="s">
        <v>59</v>
      </c>
      <c r="J734" s="24"/>
      <c r="K734" s="22"/>
      <c r="L734" s="23" t="s">
        <v>59</v>
      </c>
      <c r="M734" s="22"/>
      <c r="N734" s="9" t="s">
        <v>59</v>
      </c>
      <c r="O734" s="9" t="s">
        <v>59</v>
      </c>
      <c r="P734" s="9" t="s">
        <v>59</v>
      </c>
      <c r="Q734" s="9" t="s">
        <v>59</v>
      </c>
      <c r="R734" s="23" t="s">
        <v>59</v>
      </c>
      <c r="S734" s="22"/>
      <c r="T734" s="8" t="s">
        <v>33</v>
      </c>
    </row>
    <row r="735" spans="5:20">
      <c r="E735" s="12" t="s">
        <v>33</v>
      </c>
      <c r="F735" s="12" t="s">
        <v>33</v>
      </c>
      <c r="G735" s="12" t="s">
        <v>33</v>
      </c>
      <c r="H735" s="13" t="s">
        <v>33</v>
      </c>
      <c r="I735" s="20" t="s">
        <v>33</v>
      </c>
      <c r="J735" s="18"/>
      <c r="K735" s="18"/>
      <c r="L735" s="20" t="s">
        <v>33</v>
      </c>
      <c r="M735" s="18"/>
      <c r="N735" s="13" t="s">
        <v>33</v>
      </c>
      <c r="O735" s="13" t="s">
        <v>33</v>
      </c>
      <c r="P735" s="13" t="s">
        <v>33</v>
      </c>
      <c r="Q735" s="13" t="s">
        <v>33</v>
      </c>
      <c r="R735" s="20" t="s">
        <v>33</v>
      </c>
      <c r="S735" s="18"/>
      <c r="T735" s="13" t="s">
        <v>33</v>
      </c>
    </row>
    <row r="736" spans="5:20" ht="0" hidden="1" customHeight="1"/>
    <row r="737" spans="5:20" ht="0.6" customHeight="1"/>
    <row r="738" spans="5:20">
      <c r="E738" s="31" t="s">
        <v>31</v>
      </c>
      <c r="F738" s="22"/>
      <c r="G738" s="3" t="s">
        <v>32</v>
      </c>
      <c r="H738" s="5" t="s">
        <v>33</v>
      </c>
      <c r="I738" s="32" t="s">
        <v>33</v>
      </c>
      <c r="J738" s="18"/>
      <c r="K738" s="18"/>
      <c r="L738" s="32" t="s">
        <v>33</v>
      </c>
      <c r="M738" s="18"/>
      <c r="N738" s="5" t="s">
        <v>33</v>
      </c>
      <c r="O738" s="5" t="s">
        <v>33</v>
      </c>
      <c r="P738" s="5" t="s">
        <v>33</v>
      </c>
      <c r="Q738" s="5" t="s">
        <v>33</v>
      </c>
      <c r="R738" s="32" t="s">
        <v>33</v>
      </c>
      <c r="S738" s="18"/>
      <c r="T738" s="5" t="s">
        <v>33</v>
      </c>
    </row>
    <row r="739" spans="5:20" ht="21">
      <c r="E739" s="21" t="s">
        <v>507</v>
      </c>
      <c r="F739" s="22"/>
      <c r="G739" s="7" t="s">
        <v>35</v>
      </c>
      <c r="H739" s="7" t="s">
        <v>5</v>
      </c>
      <c r="I739" s="30" t="s">
        <v>7</v>
      </c>
      <c r="J739" s="24"/>
      <c r="K739" s="22"/>
      <c r="L739" s="30" t="s">
        <v>9</v>
      </c>
      <c r="M739" s="22"/>
      <c r="N739" s="7" t="s">
        <v>11</v>
      </c>
      <c r="O739" s="7" t="s">
        <v>15</v>
      </c>
      <c r="P739" s="7" t="s">
        <v>17</v>
      </c>
      <c r="Q739" s="7" t="s">
        <v>19</v>
      </c>
      <c r="R739" s="30" t="s">
        <v>21</v>
      </c>
      <c r="S739" s="22"/>
      <c r="T739" s="7" t="s">
        <v>36</v>
      </c>
    </row>
    <row r="740" spans="5:20" ht="22.5">
      <c r="E740" s="6" t="s">
        <v>37</v>
      </c>
      <c r="F740" s="6" t="s">
        <v>508</v>
      </c>
      <c r="G740" s="8" t="s">
        <v>39</v>
      </c>
      <c r="H740" s="9" t="s">
        <v>509</v>
      </c>
      <c r="I740" s="23" t="s">
        <v>510</v>
      </c>
      <c r="J740" s="24"/>
      <c r="K740" s="22"/>
      <c r="L740" s="23" t="s">
        <v>511</v>
      </c>
      <c r="M740" s="22"/>
      <c r="N740" s="9" t="s">
        <v>113</v>
      </c>
      <c r="O740" s="9" t="s">
        <v>512</v>
      </c>
      <c r="P740" s="9" t="s">
        <v>513</v>
      </c>
      <c r="Q740" s="9" t="s">
        <v>43</v>
      </c>
      <c r="R740" s="23" t="s">
        <v>514</v>
      </c>
      <c r="S740" s="22"/>
      <c r="T740" s="8" t="s">
        <v>33</v>
      </c>
    </row>
    <row r="741" spans="5:20">
      <c r="E741" s="21" t="s">
        <v>515</v>
      </c>
      <c r="F741" s="25"/>
      <c r="G741" s="8" t="s">
        <v>42</v>
      </c>
      <c r="H741" s="9" t="s">
        <v>43</v>
      </c>
      <c r="I741" s="23" t="s">
        <v>43</v>
      </c>
      <c r="J741" s="24"/>
      <c r="K741" s="22"/>
      <c r="L741" s="23" t="s">
        <v>43</v>
      </c>
      <c r="M741" s="22"/>
      <c r="N741" s="9" t="s">
        <v>43</v>
      </c>
      <c r="O741" s="9" t="s">
        <v>43</v>
      </c>
      <c r="P741" s="9" t="s">
        <v>43</v>
      </c>
      <c r="Q741" s="9" t="s">
        <v>120</v>
      </c>
      <c r="R741" s="23" t="s">
        <v>43</v>
      </c>
      <c r="S741" s="22"/>
      <c r="T741" s="8" t="s">
        <v>33</v>
      </c>
    </row>
    <row r="742" spans="5:20">
      <c r="E742" s="26"/>
      <c r="F742" s="27"/>
      <c r="G742" s="8" t="s">
        <v>44</v>
      </c>
      <c r="H742" s="9" t="s">
        <v>33</v>
      </c>
      <c r="I742" s="23" t="s">
        <v>33</v>
      </c>
      <c r="J742" s="24"/>
      <c r="K742" s="22"/>
      <c r="L742" s="23" t="s">
        <v>33</v>
      </c>
      <c r="M742" s="22"/>
      <c r="N742" s="9" t="s">
        <v>33</v>
      </c>
      <c r="O742" s="9" t="s">
        <v>33</v>
      </c>
      <c r="P742" s="9" t="s">
        <v>33</v>
      </c>
      <c r="Q742" s="9" t="s">
        <v>33</v>
      </c>
      <c r="R742" s="23" t="s">
        <v>33</v>
      </c>
      <c r="S742" s="22"/>
      <c r="T742" s="8">
        <v>0</v>
      </c>
    </row>
    <row r="743" spans="5:20">
      <c r="E743" s="28"/>
      <c r="F743" s="29"/>
      <c r="G743" s="8" t="s">
        <v>45</v>
      </c>
      <c r="H743" s="9">
        <v>4</v>
      </c>
      <c r="I743" s="23">
        <v>4</v>
      </c>
      <c r="J743" s="24"/>
      <c r="K743" s="22"/>
      <c r="L743" s="23">
        <v>4</v>
      </c>
      <c r="M743" s="22"/>
      <c r="N743" s="9">
        <v>3</v>
      </c>
      <c r="O743" s="9">
        <v>3</v>
      </c>
      <c r="P743" s="9">
        <v>3</v>
      </c>
      <c r="Q743" s="9">
        <v>2</v>
      </c>
      <c r="R743" s="23">
        <v>2</v>
      </c>
      <c r="S743" s="22"/>
      <c r="T743" s="8">
        <v>25</v>
      </c>
    </row>
    <row r="744" spans="5:20">
      <c r="E744" s="6" t="s">
        <v>46</v>
      </c>
      <c r="F744" s="6">
        <v>7.1</v>
      </c>
      <c r="G744" s="8" t="s">
        <v>47</v>
      </c>
      <c r="H744" s="9">
        <v>6.5</v>
      </c>
      <c r="I744" s="23">
        <v>8</v>
      </c>
      <c r="J744" s="24"/>
      <c r="K744" s="22"/>
      <c r="L744" s="23">
        <v>7.5</v>
      </c>
      <c r="M744" s="22"/>
      <c r="N744" s="9">
        <v>6.5</v>
      </c>
      <c r="O744" s="9">
        <v>6.5</v>
      </c>
      <c r="P744" s="9">
        <v>4.5</v>
      </c>
      <c r="Q744" s="9">
        <v>10</v>
      </c>
      <c r="R744" s="23">
        <v>8.5</v>
      </c>
      <c r="S744" s="22"/>
      <c r="T744" s="8" t="s">
        <v>33</v>
      </c>
    </row>
    <row r="745" spans="5:20">
      <c r="E745" s="6" t="s">
        <v>48</v>
      </c>
      <c r="F745" s="10">
        <v>6.71</v>
      </c>
      <c r="G745" s="8" t="s">
        <v>49</v>
      </c>
      <c r="H745" s="9">
        <v>26</v>
      </c>
      <c r="I745" s="23">
        <v>32</v>
      </c>
      <c r="J745" s="24"/>
      <c r="K745" s="22"/>
      <c r="L745" s="23">
        <v>30</v>
      </c>
      <c r="M745" s="22"/>
      <c r="N745" s="9">
        <v>19.5</v>
      </c>
      <c r="O745" s="9">
        <v>19.5</v>
      </c>
      <c r="P745" s="9">
        <v>13.5</v>
      </c>
      <c r="Q745" s="9">
        <v>20</v>
      </c>
      <c r="R745" s="23">
        <v>17</v>
      </c>
      <c r="S745" s="22"/>
      <c r="T745" s="8">
        <v>177.5</v>
      </c>
    </row>
    <row r="746" spans="5:20">
      <c r="E746" s="21" t="s">
        <v>50</v>
      </c>
      <c r="F746" s="22"/>
      <c r="G746" s="8" t="s">
        <v>36</v>
      </c>
      <c r="H746" s="9">
        <v>63</v>
      </c>
      <c r="I746" s="23">
        <v>78</v>
      </c>
      <c r="J746" s="24"/>
      <c r="K746" s="22"/>
      <c r="L746" s="23">
        <v>72</v>
      </c>
      <c r="M746" s="22"/>
      <c r="N746" s="9">
        <v>64</v>
      </c>
      <c r="O746" s="9">
        <v>61</v>
      </c>
      <c r="P746" s="9">
        <v>44</v>
      </c>
      <c r="Q746" s="9">
        <v>49</v>
      </c>
      <c r="R746" s="23">
        <v>42</v>
      </c>
      <c r="S746" s="22"/>
      <c r="T746" s="8">
        <v>473</v>
      </c>
    </row>
    <row r="747" spans="5:20">
      <c r="E747" s="6" t="s">
        <v>51</v>
      </c>
      <c r="F747" s="6"/>
      <c r="G747" s="8" t="s">
        <v>52</v>
      </c>
      <c r="H747" s="9">
        <v>100</v>
      </c>
      <c r="I747" s="23">
        <v>100</v>
      </c>
      <c r="J747" s="24"/>
      <c r="K747" s="22"/>
      <c r="L747" s="23">
        <v>100</v>
      </c>
      <c r="M747" s="22"/>
      <c r="N747" s="9">
        <v>100</v>
      </c>
      <c r="O747" s="9">
        <v>100</v>
      </c>
      <c r="P747" s="9">
        <v>100</v>
      </c>
      <c r="Q747" s="9">
        <v>50</v>
      </c>
      <c r="R747" s="23">
        <v>50</v>
      </c>
      <c r="S747" s="22"/>
      <c r="T747" s="8">
        <v>700</v>
      </c>
    </row>
    <row r="748" spans="5:20">
      <c r="E748" s="21" t="s">
        <v>361</v>
      </c>
      <c r="F748" s="22"/>
      <c r="G748" s="8" t="s">
        <v>54</v>
      </c>
      <c r="H748" s="9" t="s">
        <v>76</v>
      </c>
      <c r="I748" s="23" t="s">
        <v>135</v>
      </c>
      <c r="J748" s="24"/>
      <c r="K748" s="22"/>
      <c r="L748" s="23" t="s">
        <v>108</v>
      </c>
      <c r="M748" s="22"/>
      <c r="N748" s="9" t="s">
        <v>76</v>
      </c>
      <c r="O748" s="9" t="s">
        <v>76</v>
      </c>
      <c r="P748" s="9" t="s">
        <v>75</v>
      </c>
      <c r="Q748" s="9" t="s">
        <v>93</v>
      </c>
      <c r="R748" s="23" t="s">
        <v>95</v>
      </c>
      <c r="S748" s="22"/>
      <c r="T748" s="8" t="s">
        <v>33</v>
      </c>
    </row>
    <row r="749" spans="5:20">
      <c r="E749" s="11" t="s">
        <v>56</v>
      </c>
      <c r="F749" s="11" t="s">
        <v>516</v>
      </c>
      <c r="G749" s="8" t="s">
        <v>58</v>
      </c>
      <c r="H749" s="9" t="s">
        <v>59</v>
      </c>
      <c r="I749" s="23" t="s">
        <v>59</v>
      </c>
      <c r="J749" s="24"/>
      <c r="K749" s="22"/>
      <c r="L749" s="23" t="s">
        <v>59</v>
      </c>
      <c r="M749" s="22"/>
      <c r="N749" s="9" t="s">
        <v>59</v>
      </c>
      <c r="O749" s="9" t="s">
        <v>59</v>
      </c>
      <c r="P749" s="9" t="s">
        <v>59</v>
      </c>
      <c r="Q749" s="9" t="s">
        <v>59</v>
      </c>
      <c r="R749" s="23" t="s">
        <v>59</v>
      </c>
      <c r="S749" s="22"/>
      <c r="T749" s="8" t="s">
        <v>33</v>
      </c>
    </row>
    <row r="750" spans="5:20">
      <c r="E750" s="12" t="s">
        <v>33</v>
      </c>
      <c r="F750" s="12" t="s">
        <v>33</v>
      </c>
      <c r="G750" s="12" t="s">
        <v>33</v>
      </c>
      <c r="H750" s="13" t="s">
        <v>33</v>
      </c>
      <c r="I750" s="20" t="s">
        <v>33</v>
      </c>
      <c r="J750" s="18"/>
      <c r="K750" s="18"/>
      <c r="L750" s="20" t="s">
        <v>33</v>
      </c>
      <c r="M750" s="18"/>
      <c r="N750" s="13" t="s">
        <v>33</v>
      </c>
      <c r="O750" s="13" t="s">
        <v>33</v>
      </c>
      <c r="P750" s="13" t="s">
        <v>33</v>
      </c>
      <c r="Q750" s="13" t="s">
        <v>33</v>
      </c>
      <c r="R750" s="20" t="s">
        <v>33</v>
      </c>
      <c r="S750" s="18"/>
      <c r="T750" s="13" t="s">
        <v>33</v>
      </c>
    </row>
    <row r="751" spans="5:20" ht="0" hidden="1" customHeight="1"/>
    <row r="752" spans="5:20" ht="0.6" customHeight="1"/>
    <row r="753" spans="5:20">
      <c r="E753" s="31" t="s">
        <v>31</v>
      </c>
      <c r="F753" s="22"/>
      <c r="G753" s="3" t="s">
        <v>32</v>
      </c>
      <c r="H753" s="5" t="s">
        <v>33</v>
      </c>
      <c r="I753" s="32" t="s">
        <v>33</v>
      </c>
      <c r="J753" s="18"/>
      <c r="K753" s="18"/>
      <c r="L753" s="32" t="s">
        <v>33</v>
      </c>
      <c r="M753" s="18"/>
      <c r="N753" s="5" t="s">
        <v>33</v>
      </c>
      <c r="O753" s="5" t="s">
        <v>33</v>
      </c>
      <c r="P753" s="5" t="s">
        <v>33</v>
      </c>
      <c r="Q753" s="5" t="s">
        <v>33</v>
      </c>
      <c r="R753" s="32" t="s">
        <v>33</v>
      </c>
      <c r="S753" s="18"/>
      <c r="T753" s="5" t="s">
        <v>33</v>
      </c>
    </row>
    <row r="754" spans="5:20" ht="21">
      <c r="E754" s="21" t="s">
        <v>517</v>
      </c>
      <c r="F754" s="22"/>
      <c r="G754" s="7" t="s">
        <v>35</v>
      </c>
      <c r="H754" s="7" t="s">
        <v>5</v>
      </c>
      <c r="I754" s="30" t="s">
        <v>7</v>
      </c>
      <c r="J754" s="24"/>
      <c r="K754" s="22"/>
      <c r="L754" s="30" t="s">
        <v>9</v>
      </c>
      <c r="M754" s="22"/>
      <c r="N754" s="7" t="s">
        <v>11</v>
      </c>
      <c r="O754" s="7" t="s">
        <v>15</v>
      </c>
      <c r="P754" s="7" t="s">
        <v>17</v>
      </c>
      <c r="Q754" s="7" t="s">
        <v>21</v>
      </c>
      <c r="R754" s="30" t="s">
        <v>23</v>
      </c>
      <c r="S754" s="22"/>
      <c r="T754" s="7" t="s">
        <v>36</v>
      </c>
    </row>
    <row r="755" spans="5:20" ht="22.5">
      <c r="E755" s="6" t="s">
        <v>37</v>
      </c>
      <c r="F755" s="6" t="s">
        <v>518</v>
      </c>
      <c r="G755" s="8" t="s">
        <v>39</v>
      </c>
      <c r="H755" s="9" t="s">
        <v>99</v>
      </c>
      <c r="I755" s="23" t="s">
        <v>320</v>
      </c>
      <c r="J755" s="24"/>
      <c r="K755" s="22"/>
      <c r="L755" s="23" t="s">
        <v>519</v>
      </c>
      <c r="M755" s="22"/>
      <c r="N755" s="9" t="s">
        <v>520</v>
      </c>
      <c r="O755" s="9" t="s">
        <v>490</v>
      </c>
      <c r="P755" s="9" t="s">
        <v>521</v>
      </c>
      <c r="Q755" s="9" t="s">
        <v>522</v>
      </c>
      <c r="R755" s="23" t="s">
        <v>43</v>
      </c>
      <c r="S755" s="22"/>
      <c r="T755" s="8" t="s">
        <v>33</v>
      </c>
    </row>
    <row r="756" spans="5:20">
      <c r="E756" s="21" t="s">
        <v>523</v>
      </c>
      <c r="F756" s="25"/>
      <c r="G756" s="8" t="s">
        <v>42</v>
      </c>
      <c r="H756" s="9" t="s">
        <v>43</v>
      </c>
      <c r="I756" s="23" t="s">
        <v>43</v>
      </c>
      <c r="J756" s="24"/>
      <c r="K756" s="22"/>
      <c r="L756" s="23" t="s">
        <v>43</v>
      </c>
      <c r="M756" s="22"/>
      <c r="N756" s="9" t="s">
        <v>43</v>
      </c>
      <c r="O756" s="9" t="s">
        <v>43</v>
      </c>
      <c r="P756" s="9" t="s">
        <v>43</v>
      </c>
      <c r="Q756" s="9" t="s">
        <v>43</v>
      </c>
      <c r="R756" s="23" t="s">
        <v>485</v>
      </c>
      <c r="S756" s="22"/>
      <c r="T756" s="8" t="s">
        <v>33</v>
      </c>
    </row>
    <row r="757" spans="5:20">
      <c r="E757" s="26"/>
      <c r="F757" s="27"/>
      <c r="G757" s="8" t="s">
        <v>44</v>
      </c>
      <c r="H757" s="9" t="s">
        <v>33</v>
      </c>
      <c r="I757" s="23" t="s">
        <v>33</v>
      </c>
      <c r="J757" s="24"/>
      <c r="K757" s="22"/>
      <c r="L757" s="23" t="s">
        <v>33</v>
      </c>
      <c r="M757" s="22"/>
      <c r="N757" s="9" t="s">
        <v>33</v>
      </c>
      <c r="O757" s="9" t="s">
        <v>33</v>
      </c>
      <c r="P757" s="9" t="s">
        <v>33</v>
      </c>
      <c r="Q757" s="9" t="s">
        <v>33</v>
      </c>
      <c r="R757" s="23" t="s">
        <v>33</v>
      </c>
      <c r="S757" s="22"/>
      <c r="T757" s="8">
        <v>0</v>
      </c>
    </row>
    <row r="758" spans="5:20">
      <c r="E758" s="28"/>
      <c r="F758" s="29"/>
      <c r="G758" s="8" t="s">
        <v>45</v>
      </c>
      <c r="H758" s="9">
        <v>4</v>
      </c>
      <c r="I758" s="23">
        <v>4</v>
      </c>
      <c r="J758" s="24"/>
      <c r="K758" s="22"/>
      <c r="L758" s="23">
        <v>4</v>
      </c>
      <c r="M758" s="22"/>
      <c r="N758" s="9">
        <v>3</v>
      </c>
      <c r="O758" s="9">
        <v>3</v>
      </c>
      <c r="P758" s="9">
        <v>3</v>
      </c>
      <c r="Q758" s="9">
        <v>2</v>
      </c>
      <c r="R758" s="23">
        <v>2</v>
      </c>
      <c r="S758" s="22"/>
      <c r="T758" s="8">
        <v>22</v>
      </c>
    </row>
    <row r="759" spans="5:20">
      <c r="E759" s="6" t="s">
        <v>46</v>
      </c>
      <c r="F759" s="6"/>
      <c r="G759" s="8" t="s">
        <v>47</v>
      </c>
      <c r="H759" s="9">
        <v>5</v>
      </c>
      <c r="I759" s="23">
        <v>6.5</v>
      </c>
      <c r="J759" s="24"/>
      <c r="K759" s="22"/>
      <c r="L759" s="23">
        <v>8</v>
      </c>
      <c r="M759" s="22"/>
      <c r="N759" s="9">
        <v>6.5</v>
      </c>
      <c r="O759" s="9">
        <v>7</v>
      </c>
      <c r="P759" s="9"/>
      <c r="Q759" s="9">
        <v>8.5</v>
      </c>
      <c r="R759" s="23">
        <v>8.5</v>
      </c>
      <c r="S759" s="22"/>
      <c r="T759" s="8" t="s">
        <v>33</v>
      </c>
    </row>
    <row r="760" spans="5:20">
      <c r="E760" s="6" t="s">
        <v>48</v>
      </c>
      <c r="F760" s="6"/>
      <c r="G760" s="8" t="s">
        <v>49</v>
      </c>
      <c r="H760" s="9">
        <v>20</v>
      </c>
      <c r="I760" s="23">
        <v>26</v>
      </c>
      <c r="J760" s="24"/>
      <c r="K760" s="22"/>
      <c r="L760" s="23">
        <v>32</v>
      </c>
      <c r="M760" s="22"/>
      <c r="N760" s="9">
        <v>19.5</v>
      </c>
      <c r="O760" s="9">
        <v>21</v>
      </c>
      <c r="P760" s="9"/>
      <c r="Q760" s="9">
        <v>17</v>
      </c>
      <c r="R760" s="23">
        <v>17</v>
      </c>
      <c r="S760" s="22"/>
      <c r="T760" s="8">
        <v>152.5</v>
      </c>
    </row>
    <row r="761" spans="5:20">
      <c r="E761" s="21" t="s">
        <v>65</v>
      </c>
      <c r="F761" s="22"/>
      <c r="G761" s="8" t="s">
        <v>36</v>
      </c>
      <c r="H761" s="9">
        <v>47</v>
      </c>
      <c r="I761" s="23">
        <v>62</v>
      </c>
      <c r="J761" s="24"/>
      <c r="K761" s="22"/>
      <c r="L761" s="23">
        <v>79</v>
      </c>
      <c r="M761" s="22"/>
      <c r="N761" s="9">
        <v>62</v>
      </c>
      <c r="O761" s="9">
        <v>66</v>
      </c>
      <c r="P761" s="9">
        <v>27</v>
      </c>
      <c r="Q761" s="9">
        <v>42</v>
      </c>
      <c r="R761" s="23">
        <v>42</v>
      </c>
      <c r="S761" s="22"/>
      <c r="T761" s="8">
        <v>427</v>
      </c>
    </row>
    <row r="762" spans="5:20">
      <c r="E762" s="6" t="s">
        <v>51</v>
      </c>
      <c r="F762" s="6"/>
      <c r="G762" s="8" t="s">
        <v>52</v>
      </c>
      <c r="H762" s="9">
        <v>100</v>
      </c>
      <c r="I762" s="23">
        <v>100</v>
      </c>
      <c r="J762" s="24"/>
      <c r="K762" s="22"/>
      <c r="L762" s="23">
        <v>100</v>
      </c>
      <c r="M762" s="22"/>
      <c r="N762" s="9">
        <v>100</v>
      </c>
      <c r="O762" s="9">
        <v>100</v>
      </c>
      <c r="P762" s="9">
        <v>100</v>
      </c>
      <c r="Q762" s="9">
        <v>50</v>
      </c>
      <c r="R762" s="23">
        <v>50</v>
      </c>
      <c r="S762" s="22"/>
      <c r="T762" s="8">
        <v>700</v>
      </c>
    </row>
    <row r="763" spans="5:20">
      <c r="E763" s="21" t="s">
        <v>66</v>
      </c>
      <c r="F763" s="22"/>
      <c r="G763" s="8" t="s">
        <v>54</v>
      </c>
      <c r="H763" s="9" t="s">
        <v>55</v>
      </c>
      <c r="I763" s="23" t="s">
        <v>76</v>
      </c>
      <c r="J763" s="24"/>
      <c r="K763" s="22"/>
      <c r="L763" s="23" t="s">
        <v>135</v>
      </c>
      <c r="M763" s="22"/>
      <c r="N763" s="9" t="s">
        <v>76</v>
      </c>
      <c r="O763" s="9" t="s">
        <v>109</v>
      </c>
      <c r="P763" s="9"/>
      <c r="Q763" s="9" t="s">
        <v>95</v>
      </c>
      <c r="R763" s="23" t="s">
        <v>95</v>
      </c>
      <c r="S763" s="22"/>
      <c r="T763" s="8" t="s">
        <v>33</v>
      </c>
    </row>
    <row r="764" spans="5:20">
      <c r="E764" s="11" t="s">
        <v>56</v>
      </c>
      <c r="F764" s="11" t="s">
        <v>524</v>
      </c>
      <c r="G764" s="8" t="s">
        <v>58</v>
      </c>
      <c r="H764" s="9" t="s">
        <v>59</v>
      </c>
      <c r="I764" s="23" t="s">
        <v>59</v>
      </c>
      <c r="J764" s="24"/>
      <c r="K764" s="22"/>
      <c r="L764" s="23" t="s">
        <v>59</v>
      </c>
      <c r="M764" s="22"/>
      <c r="N764" s="9" t="s">
        <v>59</v>
      </c>
      <c r="O764" s="9" t="s">
        <v>59</v>
      </c>
      <c r="P764" s="9" t="s">
        <v>68</v>
      </c>
      <c r="Q764" s="9" t="s">
        <v>59</v>
      </c>
      <c r="R764" s="23" t="s">
        <v>59</v>
      </c>
      <c r="S764" s="22"/>
      <c r="T764" s="8" t="s">
        <v>33</v>
      </c>
    </row>
    <row r="765" spans="5:20">
      <c r="E765" s="12" t="s">
        <v>33</v>
      </c>
      <c r="F765" s="12" t="s">
        <v>33</v>
      </c>
      <c r="G765" s="12" t="s">
        <v>33</v>
      </c>
      <c r="H765" s="13" t="s">
        <v>33</v>
      </c>
      <c r="I765" s="20" t="s">
        <v>33</v>
      </c>
      <c r="J765" s="18"/>
      <c r="K765" s="18"/>
      <c r="L765" s="20" t="s">
        <v>33</v>
      </c>
      <c r="M765" s="18"/>
      <c r="N765" s="13" t="s">
        <v>33</v>
      </c>
      <c r="O765" s="13" t="s">
        <v>33</v>
      </c>
      <c r="P765" s="13" t="s">
        <v>33</v>
      </c>
      <c r="Q765" s="13" t="s">
        <v>33</v>
      </c>
      <c r="R765" s="20" t="s">
        <v>33</v>
      </c>
      <c r="S765" s="18"/>
      <c r="T765" s="13" t="s">
        <v>33</v>
      </c>
    </row>
    <row r="766" spans="5:20" ht="0" hidden="1" customHeight="1"/>
    <row r="767" spans="5:20" ht="0.6" customHeight="1"/>
    <row r="768" spans="5:20">
      <c r="E768" s="31" t="s">
        <v>31</v>
      </c>
      <c r="F768" s="22"/>
      <c r="G768" s="3" t="s">
        <v>32</v>
      </c>
      <c r="H768" s="5" t="s">
        <v>33</v>
      </c>
      <c r="I768" s="32" t="s">
        <v>33</v>
      </c>
      <c r="J768" s="18"/>
      <c r="K768" s="18"/>
      <c r="L768" s="32" t="s">
        <v>33</v>
      </c>
      <c r="M768" s="18"/>
      <c r="N768" s="5" t="s">
        <v>33</v>
      </c>
      <c r="O768" s="5" t="s">
        <v>33</v>
      </c>
      <c r="P768" s="5" t="s">
        <v>33</v>
      </c>
      <c r="Q768" s="5" t="s">
        <v>33</v>
      </c>
      <c r="R768" s="32" t="s">
        <v>33</v>
      </c>
      <c r="S768" s="18"/>
      <c r="T768" s="5" t="s">
        <v>33</v>
      </c>
    </row>
    <row r="769" spans="5:20" ht="21">
      <c r="E769" s="21" t="s">
        <v>525</v>
      </c>
      <c r="F769" s="22"/>
      <c r="G769" s="7" t="s">
        <v>35</v>
      </c>
      <c r="H769" s="7" t="s">
        <v>5</v>
      </c>
      <c r="I769" s="30" t="s">
        <v>7</v>
      </c>
      <c r="J769" s="24"/>
      <c r="K769" s="22"/>
      <c r="L769" s="30" t="s">
        <v>9</v>
      </c>
      <c r="M769" s="22"/>
      <c r="N769" s="7" t="s">
        <v>11</v>
      </c>
      <c r="O769" s="7" t="s">
        <v>15</v>
      </c>
      <c r="P769" s="7" t="s">
        <v>17</v>
      </c>
      <c r="Q769" s="7" t="s">
        <v>21</v>
      </c>
      <c r="R769" s="30" t="s">
        <v>27</v>
      </c>
      <c r="S769" s="22"/>
      <c r="T769" s="7" t="s">
        <v>36</v>
      </c>
    </row>
    <row r="770" spans="5:20" ht="22.5">
      <c r="E770" s="6" t="s">
        <v>37</v>
      </c>
      <c r="F770" s="6" t="s">
        <v>526</v>
      </c>
      <c r="G770" s="8" t="s">
        <v>39</v>
      </c>
      <c r="H770" s="9" t="s">
        <v>273</v>
      </c>
      <c r="I770" s="23" t="s">
        <v>527</v>
      </c>
      <c r="J770" s="24"/>
      <c r="K770" s="22"/>
      <c r="L770" s="23" t="s">
        <v>88</v>
      </c>
      <c r="M770" s="22"/>
      <c r="N770" s="9" t="s">
        <v>464</v>
      </c>
      <c r="O770" s="9" t="s">
        <v>284</v>
      </c>
      <c r="P770" s="9" t="s">
        <v>284</v>
      </c>
      <c r="Q770" s="9" t="s">
        <v>89</v>
      </c>
      <c r="R770" s="23" t="s">
        <v>43</v>
      </c>
      <c r="S770" s="22"/>
      <c r="T770" s="8" t="s">
        <v>33</v>
      </c>
    </row>
    <row r="771" spans="5:20">
      <c r="E771" s="21" t="s">
        <v>528</v>
      </c>
      <c r="F771" s="25"/>
      <c r="G771" s="8" t="s">
        <v>42</v>
      </c>
      <c r="H771" s="9" t="s">
        <v>43</v>
      </c>
      <c r="I771" s="23" t="s">
        <v>43</v>
      </c>
      <c r="J771" s="24"/>
      <c r="K771" s="22"/>
      <c r="L771" s="23" t="s">
        <v>43</v>
      </c>
      <c r="M771" s="22"/>
      <c r="N771" s="9" t="s">
        <v>43</v>
      </c>
      <c r="O771" s="9" t="s">
        <v>43</v>
      </c>
      <c r="P771" s="9" t="s">
        <v>43</v>
      </c>
      <c r="Q771" s="9" t="s">
        <v>43</v>
      </c>
      <c r="R771" s="23" t="s">
        <v>91</v>
      </c>
      <c r="S771" s="22"/>
      <c r="T771" s="8" t="s">
        <v>33</v>
      </c>
    </row>
    <row r="772" spans="5:20">
      <c r="E772" s="26"/>
      <c r="F772" s="27"/>
      <c r="G772" s="8" t="s">
        <v>44</v>
      </c>
      <c r="H772" s="9" t="s">
        <v>33</v>
      </c>
      <c r="I772" s="23" t="s">
        <v>33</v>
      </c>
      <c r="J772" s="24"/>
      <c r="K772" s="22"/>
      <c r="L772" s="23" t="s">
        <v>33</v>
      </c>
      <c r="M772" s="22"/>
      <c r="N772" s="9" t="s">
        <v>33</v>
      </c>
      <c r="O772" s="9" t="s">
        <v>33</v>
      </c>
      <c r="P772" s="9" t="s">
        <v>33</v>
      </c>
      <c r="Q772" s="9" t="s">
        <v>33</v>
      </c>
      <c r="R772" s="23" t="s">
        <v>33</v>
      </c>
      <c r="S772" s="22"/>
      <c r="T772" s="8">
        <v>0</v>
      </c>
    </row>
    <row r="773" spans="5:20">
      <c r="E773" s="28"/>
      <c r="F773" s="29"/>
      <c r="G773" s="8" t="s">
        <v>45</v>
      </c>
      <c r="H773" s="9">
        <v>4</v>
      </c>
      <c r="I773" s="23">
        <v>4</v>
      </c>
      <c r="J773" s="24"/>
      <c r="K773" s="22"/>
      <c r="L773" s="23">
        <v>4</v>
      </c>
      <c r="M773" s="22"/>
      <c r="N773" s="9">
        <v>3</v>
      </c>
      <c r="O773" s="9">
        <v>3</v>
      </c>
      <c r="P773" s="9">
        <v>3</v>
      </c>
      <c r="Q773" s="9">
        <v>2</v>
      </c>
      <c r="R773" s="23">
        <v>2</v>
      </c>
      <c r="S773" s="22"/>
      <c r="T773" s="8">
        <v>25</v>
      </c>
    </row>
    <row r="774" spans="5:20">
      <c r="E774" s="6" t="s">
        <v>46</v>
      </c>
      <c r="F774" s="6">
        <v>9.4600000000000009</v>
      </c>
      <c r="G774" s="8" t="s">
        <v>47</v>
      </c>
      <c r="H774" s="9">
        <v>9.5</v>
      </c>
      <c r="I774" s="23">
        <v>9</v>
      </c>
      <c r="J774" s="24"/>
      <c r="K774" s="22"/>
      <c r="L774" s="23">
        <v>10</v>
      </c>
      <c r="M774" s="22"/>
      <c r="N774" s="9">
        <v>7.5</v>
      </c>
      <c r="O774" s="9">
        <v>10</v>
      </c>
      <c r="P774" s="9">
        <v>10</v>
      </c>
      <c r="Q774" s="9">
        <v>10</v>
      </c>
      <c r="R774" s="23">
        <v>10</v>
      </c>
      <c r="S774" s="22"/>
      <c r="T774" s="8" t="s">
        <v>33</v>
      </c>
    </row>
    <row r="775" spans="5:20">
      <c r="E775" s="6" t="s">
        <v>48</v>
      </c>
      <c r="F775" s="10">
        <v>9.34</v>
      </c>
      <c r="G775" s="8" t="s">
        <v>49</v>
      </c>
      <c r="H775" s="9">
        <v>38</v>
      </c>
      <c r="I775" s="23">
        <v>36</v>
      </c>
      <c r="J775" s="24"/>
      <c r="K775" s="22"/>
      <c r="L775" s="23">
        <v>40</v>
      </c>
      <c r="M775" s="22"/>
      <c r="N775" s="9">
        <v>22.5</v>
      </c>
      <c r="O775" s="9">
        <v>30</v>
      </c>
      <c r="P775" s="9">
        <v>30</v>
      </c>
      <c r="Q775" s="9">
        <v>20</v>
      </c>
      <c r="R775" s="23">
        <v>20</v>
      </c>
      <c r="S775" s="22"/>
      <c r="T775" s="8">
        <v>236.5</v>
      </c>
    </row>
    <row r="776" spans="5:20">
      <c r="E776" s="21" t="s">
        <v>50</v>
      </c>
      <c r="F776" s="22"/>
      <c r="G776" s="8" t="s">
        <v>36</v>
      </c>
      <c r="H776" s="9">
        <v>93</v>
      </c>
      <c r="I776" s="23">
        <v>85</v>
      </c>
      <c r="J776" s="24"/>
      <c r="K776" s="22"/>
      <c r="L776" s="23">
        <v>100</v>
      </c>
      <c r="M776" s="22"/>
      <c r="N776" s="9">
        <v>72</v>
      </c>
      <c r="O776" s="9">
        <v>96</v>
      </c>
      <c r="P776" s="9">
        <v>96</v>
      </c>
      <c r="Q776" s="9">
        <v>50</v>
      </c>
      <c r="R776" s="23">
        <v>50</v>
      </c>
      <c r="S776" s="22"/>
      <c r="T776" s="8">
        <v>642</v>
      </c>
    </row>
    <row r="777" spans="5:20">
      <c r="E777" s="6" t="s">
        <v>51</v>
      </c>
      <c r="F777" s="6"/>
      <c r="G777" s="8" t="s">
        <v>52</v>
      </c>
      <c r="H777" s="9">
        <v>100</v>
      </c>
      <c r="I777" s="23">
        <v>100</v>
      </c>
      <c r="J777" s="24"/>
      <c r="K777" s="22"/>
      <c r="L777" s="23">
        <v>100</v>
      </c>
      <c r="M777" s="22"/>
      <c r="N777" s="9">
        <v>100</v>
      </c>
      <c r="O777" s="9">
        <v>100</v>
      </c>
      <c r="P777" s="9">
        <v>100</v>
      </c>
      <c r="Q777" s="9">
        <v>50</v>
      </c>
      <c r="R777" s="23">
        <v>50</v>
      </c>
      <c r="S777" s="22"/>
      <c r="T777" s="8">
        <v>700</v>
      </c>
    </row>
    <row r="778" spans="5:20">
      <c r="E778" s="21" t="s">
        <v>287</v>
      </c>
      <c r="F778" s="22"/>
      <c r="G778" s="8" t="s">
        <v>54</v>
      </c>
      <c r="H778" s="9" t="s">
        <v>94</v>
      </c>
      <c r="I778" s="23" t="s">
        <v>122</v>
      </c>
      <c r="J778" s="24"/>
      <c r="K778" s="22"/>
      <c r="L778" s="23" t="s">
        <v>93</v>
      </c>
      <c r="M778" s="22"/>
      <c r="N778" s="9" t="s">
        <v>108</v>
      </c>
      <c r="O778" s="9" t="s">
        <v>93</v>
      </c>
      <c r="P778" s="9" t="s">
        <v>93</v>
      </c>
      <c r="Q778" s="9" t="s">
        <v>93</v>
      </c>
      <c r="R778" s="23" t="s">
        <v>93</v>
      </c>
      <c r="S778" s="22"/>
      <c r="T778" s="8" t="s">
        <v>33</v>
      </c>
    </row>
    <row r="779" spans="5:20">
      <c r="E779" s="11" t="s">
        <v>56</v>
      </c>
      <c r="F779" s="11" t="s">
        <v>529</v>
      </c>
      <c r="G779" s="8" t="s">
        <v>58</v>
      </c>
      <c r="H779" s="9" t="s">
        <v>59</v>
      </c>
      <c r="I779" s="23" t="s">
        <v>59</v>
      </c>
      <c r="J779" s="24"/>
      <c r="K779" s="22"/>
      <c r="L779" s="23" t="s">
        <v>59</v>
      </c>
      <c r="M779" s="22"/>
      <c r="N779" s="9" t="s">
        <v>59</v>
      </c>
      <c r="O779" s="9" t="s">
        <v>59</v>
      </c>
      <c r="P779" s="9" t="s">
        <v>59</v>
      </c>
      <c r="Q779" s="9" t="s">
        <v>59</v>
      </c>
      <c r="R779" s="23" t="s">
        <v>59</v>
      </c>
      <c r="S779" s="22"/>
      <c r="T779" s="8" t="s">
        <v>33</v>
      </c>
    </row>
    <row r="780" spans="5:20">
      <c r="E780" s="12" t="s">
        <v>33</v>
      </c>
      <c r="F780" s="12" t="s">
        <v>33</v>
      </c>
      <c r="G780" s="12" t="s">
        <v>33</v>
      </c>
      <c r="H780" s="13" t="s">
        <v>33</v>
      </c>
      <c r="I780" s="20" t="s">
        <v>33</v>
      </c>
      <c r="J780" s="18"/>
      <c r="K780" s="18"/>
      <c r="L780" s="20" t="s">
        <v>33</v>
      </c>
      <c r="M780" s="18"/>
      <c r="N780" s="13" t="s">
        <v>33</v>
      </c>
      <c r="O780" s="13" t="s">
        <v>33</v>
      </c>
      <c r="P780" s="13" t="s">
        <v>33</v>
      </c>
      <c r="Q780" s="13" t="s">
        <v>33</v>
      </c>
      <c r="R780" s="20" t="s">
        <v>33</v>
      </c>
      <c r="S780" s="18"/>
      <c r="T780" s="13" t="s">
        <v>33</v>
      </c>
    </row>
    <row r="781" spans="5:20" ht="0" hidden="1" customHeight="1"/>
    <row r="782" spans="5:20" ht="0.6" customHeight="1"/>
    <row r="783" spans="5:20">
      <c r="E783" s="31" t="s">
        <v>31</v>
      </c>
      <c r="F783" s="22"/>
      <c r="G783" s="3" t="s">
        <v>32</v>
      </c>
      <c r="H783" s="5" t="s">
        <v>33</v>
      </c>
      <c r="I783" s="32" t="s">
        <v>33</v>
      </c>
      <c r="J783" s="18"/>
      <c r="K783" s="18"/>
      <c r="L783" s="32" t="s">
        <v>33</v>
      </c>
      <c r="M783" s="18"/>
      <c r="N783" s="5" t="s">
        <v>33</v>
      </c>
      <c r="O783" s="5" t="s">
        <v>33</v>
      </c>
      <c r="P783" s="5" t="s">
        <v>33</v>
      </c>
      <c r="Q783" s="5" t="s">
        <v>33</v>
      </c>
      <c r="R783" s="32" t="s">
        <v>33</v>
      </c>
      <c r="S783" s="18"/>
      <c r="T783" s="5" t="s">
        <v>33</v>
      </c>
    </row>
    <row r="784" spans="5:20" ht="21">
      <c r="E784" s="21" t="s">
        <v>530</v>
      </c>
      <c r="F784" s="22"/>
      <c r="G784" s="7" t="s">
        <v>35</v>
      </c>
      <c r="H784" s="7" t="s">
        <v>5</v>
      </c>
      <c r="I784" s="30" t="s">
        <v>7</v>
      </c>
      <c r="J784" s="24"/>
      <c r="K784" s="22"/>
      <c r="L784" s="30" t="s">
        <v>9</v>
      </c>
      <c r="M784" s="22"/>
      <c r="N784" s="7" t="s">
        <v>11</v>
      </c>
      <c r="O784" s="7" t="s">
        <v>15</v>
      </c>
      <c r="P784" s="7" t="s">
        <v>17</v>
      </c>
      <c r="Q784" s="7" t="s">
        <v>21</v>
      </c>
      <c r="R784" s="30" t="s">
        <v>25</v>
      </c>
      <c r="S784" s="22"/>
      <c r="T784" s="7" t="s">
        <v>36</v>
      </c>
    </row>
    <row r="785" spans="5:20" ht="22.5">
      <c r="E785" s="6" t="s">
        <v>37</v>
      </c>
      <c r="F785" s="6" t="s">
        <v>531</v>
      </c>
      <c r="G785" s="8" t="s">
        <v>39</v>
      </c>
      <c r="H785" s="9" t="s">
        <v>532</v>
      </c>
      <c r="I785" s="23" t="s">
        <v>533</v>
      </c>
      <c r="J785" s="24"/>
      <c r="K785" s="22"/>
      <c r="L785" s="23" t="s">
        <v>281</v>
      </c>
      <c r="M785" s="22"/>
      <c r="N785" s="9" t="s">
        <v>228</v>
      </c>
      <c r="O785" s="9" t="s">
        <v>227</v>
      </c>
      <c r="P785" s="9" t="s">
        <v>534</v>
      </c>
      <c r="Q785" s="9" t="s">
        <v>535</v>
      </c>
      <c r="R785" s="23" t="s">
        <v>43</v>
      </c>
      <c r="S785" s="22"/>
      <c r="T785" s="8" t="s">
        <v>33</v>
      </c>
    </row>
    <row r="786" spans="5:20">
      <c r="E786" s="21" t="s">
        <v>536</v>
      </c>
      <c r="F786" s="25"/>
      <c r="G786" s="8" t="s">
        <v>42</v>
      </c>
      <c r="H786" s="9" t="s">
        <v>43</v>
      </c>
      <c r="I786" s="23" t="s">
        <v>43</v>
      </c>
      <c r="J786" s="24"/>
      <c r="K786" s="22"/>
      <c r="L786" s="23" t="s">
        <v>43</v>
      </c>
      <c r="M786" s="22"/>
      <c r="N786" s="9" t="s">
        <v>43</v>
      </c>
      <c r="O786" s="9" t="s">
        <v>43</v>
      </c>
      <c r="P786" s="9" t="s">
        <v>43</v>
      </c>
      <c r="Q786" s="9" t="s">
        <v>43</v>
      </c>
      <c r="R786" s="23" t="s">
        <v>91</v>
      </c>
      <c r="S786" s="22"/>
      <c r="T786" s="8" t="s">
        <v>33</v>
      </c>
    </row>
    <row r="787" spans="5:20">
      <c r="E787" s="26"/>
      <c r="F787" s="27"/>
      <c r="G787" s="8" t="s">
        <v>44</v>
      </c>
      <c r="H787" s="9" t="s">
        <v>33</v>
      </c>
      <c r="I787" s="23" t="s">
        <v>33</v>
      </c>
      <c r="J787" s="24"/>
      <c r="K787" s="22"/>
      <c r="L787" s="23" t="s">
        <v>33</v>
      </c>
      <c r="M787" s="22"/>
      <c r="N787" s="9" t="s">
        <v>33</v>
      </c>
      <c r="O787" s="9" t="s">
        <v>33</v>
      </c>
      <c r="P787" s="9" t="s">
        <v>33</v>
      </c>
      <c r="Q787" s="9" t="s">
        <v>33</v>
      </c>
      <c r="R787" s="23" t="s">
        <v>33</v>
      </c>
      <c r="S787" s="22"/>
      <c r="T787" s="8">
        <v>0</v>
      </c>
    </row>
    <row r="788" spans="5:20">
      <c r="E788" s="28"/>
      <c r="F788" s="29"/>
      <c r="G788" s="8" t="s">
        <v>45</v>
      </c>
      <c r="H788" s="9">
        <v>4</v>
      </c>
      <c r="I788" s="23">
        <v>4</v>
      </c>
      <c r="J788" s="24"/>
      <c r="K788" s="22"/>
      <c r="L788" s="23">
        <v>4</v>
      </c>
      <c r="M788" s="22"/>
      <c r="N788" s="9">
        <v>3</v>
      </c>
      <c r="O788" s="9">
        <v>3</v>
      </c>
      <c r="P788" s="9">
        <v>3</v>
      </c>
      <c r="Q788" s="9">
        <v>2</v>
      </c>
      <c r="R788" s="23">
        <v>2</v>
      </c>
      <c r="S788" s="22"/>
      <c r="T788" s="8">
        <v>25</v>
      </c>
    </row>
    <row r="789" spans="5:20">
      <c r="E789" s="6" t="s">
        <v>46</v>
      </c>
      <c r="F789" s="6">
        <v>8.3800000000000008</v>
      </c>
      <c r="G789" s="8" t="s">
        <v>47</v>
      </c>
      <c r="H789" s="9">
        <v>7.5</v>
      </c>
      <c r="I789" s="23">
        <v>8</v>
      </c>
      <c r="J789" s="24"/>
      <c r="K789" s="22"/>
      <c r="L789" s="23">
        <v>9.5</v>
      </c>
      <c r="M789" s="22"/>
      <c r="N789" s="9">
        <v>8</v>
      </c>
      <c r="O789" s="9">
        <v>9.5</v>
      </c>
      <c r="P789" s="9">
        <v>6</v>
      </c>
      <c r="Q789" s="9">
        <v>9.5</v>
      </c>
      <c r="R789" s="23">
        <v>10</v>
      </c>
      <c r="S789" s="22"/>
      <c r="T789" s="8" t="s">
        <v>33</v>
      </c>
    </row>
    <row r="790" spans="5:20">
      <c r="E790" s="6" t="s">
        <v>48</v>
      </c>
      <c r="F790" s="10">
        <v>8.25</v>
      </c>
      <c r="G790" s="8" t="s">
        <v>49</v>
      </c>
      <c r="H790" s="9">
        <v>30</v>
      </c>
      <c r="I790" s="23">
        <v>32</v>
      </c>
      <c r="J790" s="24"/>
      <c r="K790" s="22"/>
      <c r="L790" s="23">
        <v>38</v>
      </c>
      <c r="M790" s="22"/>
      <c r="N790" s="9">
        <v>24</v>
      </c>
      <c r="O790" s="9">
        <v>28.5</v>
      </c>
      <c r="P790" s="9">
        <v>18</v>
      </c>
      <c r="Q790" s="9">
        <v>19</v>
      </c>
      <c r="R790" s="23">
        <v>20</v>
      </c>
      <c r="S790" s="22"/>
      <c r="T790" s="8">
        <v>209.5</v>
      </c>
    </row>
    <row r="791" spans="5:20">
      <c r="E791" s="21" t="s">
        <v>50</v>
      </c>
      <c r="F791" s="22"/>
      <c r="G791" s="8" t="s">
        <v>36</v>
      </c>
      <c r="H791" s="9">
        <v>73</v>
      </c>
      <c r="I791" s="23">
        <v>76</v>
      </c>
      <c r="J791" s="24"/>
      <c r="K791" s="22"/>
      <c r="L791" s="23">
        <v>93</v>
      </c>
      <c r="M791" s="22"/>
      <c r="N791" s="9">
        <v>77</v>
      </c>
      <c r="O791" s="9">
        <v>94</v>
      </c>
      <c r="P791" s="9">
        <v>58</v>
      </c>
      <c r="Q791" s="9">
        <v>45</v>
      </c>
      <c r="R791" s="23">
        <v>50</v>
      </c>
      <c r="S791" s="22"/>
      <c r="T791" s="8">
        <v>566</v>
      </c>
    </row>
    <row r="792" spans="5:20">
      <c r="E792" s="6" t="s">
        <v>51</v>
      </c>
      <c r="F792" s="6"/>
      <c r="G792" s="8" t="s">
        <v>52</v>
      </c>
      <c r="H792" s="9">
        <v>100</v>
      </c>
      <c r="I792" s="23">
        <v>100</v>
      </c>
      <c r="J792" s="24"/>
      <c r="K792" s="22"/>
      <c r="L792" s="23">
        <v>100</v>
      </c>
      <c r="M792" s="22"/>
      <c r="N792" s="9">
        <v>100</v>
      </c>
      <c r="O792" s="9">
        <v>100</v>
      </c>
      <c r="P792" s="9">
        <v>100</v>
      </c>
      <c r="Q792" s="9">
        <v>50</v>
      </c>
      <c r="R792" s="23">
        <v>50</v>
      </c>
      <c r="S792" s="22"/>
      <c r="T792" s="8">
        <v>700</v>
      </c>
    </row>
    <row r="793" spans="5:20">
      <c r="E793" s="21" t="s">
        <v>159</v>
      </c>
      <c r="F793" s="22"/>
      <c r="G793" s="8" t="s">
        <v>54</v>
      </c>
      <c r="H793" s="9" t="s">
        <v>108</v>
      </c>
      <c r="I793" s="23" t="s">
        <v>135</v>
      </c>
      <c r="J793" s="24"/>
      <c r="K793" s="22"/>
      <c r="L793" s="23" t="s">
        <v>94</v>
      </c>
      <c r="M793" s="22"/>
      <c r="N793" s="9" t="s">
        <v>135</v>
      </c>
      <c r="O793" s="9" t="s">
        <v>94</v>
      </c>
      <c r="P793" s="9" t="s">
        <v>147</v>
      </c>
      <c r="Q793" s="9" t="s">
        <v>94</v>
      </c>
      <c r="R793" s="23" t="s">
        <v>93</v>
      </c>
      <c r="S793" s="22"/>
      <c r="T793" s="8" t="s">
        <v>33</v>
      </c>
    </row>
    <row r="794" spans="5:20">
      <c r="E794" s="11" t="s">
        <v>56</v>
      </c>
      <c r="F794" s="11" t="s">
        <v>537</v>
      </c>
      <c r="G794" s="8" t="s">
        <v>58</v>
      </c>
      <c r="H794" s="9" t="s">
        <v>59</v>
      </c>
      <c r="I794" s="23" t="s">
        <v>59</v>
      </c>
      <c r="J794" s="24"/>
      <c r="K794" s="22"/>
      <c r="L794" s="23" t="s">
        <v>59</v>
      </c>
      <c r="M794" s="22"/>
      <c r="N794" s="9" t="s">
        <v>59</v>
      </c>
      <c r="O794" s="9" t="s">
        <v>59</v>
      </c>
      <c r="P794" s="9" t="s">
        <v>59</v>
      </c>
      <c r="Q794" s="9" t="s">
        <v>59</v>
      </c>
      <c r="R794" s="23" t="s">
        <v>59</v>
      </c>
      <c r="S794" s="22"/>
      <c r="T794" s="8" t="s">
        <v>33</v>
      </c>
    </row>
    <row r="795" spans="5:20">
      <c r="E795" s="12" t="s">
        <v>33</v>
      </c>
      <c r="F795" s="12" t="s">
        <v>33</v>
      </c>
      <c r="G795" s="12" t="s">
        <v>33</v>
      </c>
      <c r="H795" s="13" t="s">
        <v>33</v>
      </c>
      <c r="I795" s="20" t="s">
        <v>33</v>
      </c>
      <c r="J795" s="18"/>
      <c r="K795" s="18"/>
      <c r="L795" s="20" t="s">
        <v>33</v>
      </c>
      <c r="M795" s="18"/>
      <c r="N795" s="13" t="s">
        <v>33</v>
      </c>
      <c r="O795" s="13" t="s">
        <v>33</v>
      </c>
      <c r="P795" s="13" t="s">
        <v>33</v>
      </c>
      <c r="Q795" s="13" t="s">
        <v>33</v>
      </c>
      <c r="R795" s="20" t="s">
        <v>33</v>
      </c>
      <c r="S795" s="18"/>
      <c r="T795" s="13" t="s">
        <v>33</v>
      </c>
    </row>
    <row r="796" spans="5:20" ht="0" hidden="1" customHeight="1"/>
    <row r="797" spans="5:20" ht="0.6" customHeight="1"/>
    <row r="798" spans="5:20">
      <c r="E798" s="31" t="s">
        <v>31</v>
      </c>
      <c r="F798" s="22"/>
      <c r="G798" s="3" t="s">
        <v>32</v>
      </c>
      <c r="H798" s="5" t="s">
        <v>33</v>
      </c>
      <c r="I798" s="32" t="s">
        <v>33</v>
      </c>
      <c r="J798" s="18"/>
      <c r="K798" s="18"/>
      <c r="L798" s="32" t="s">
        <v>33</v>
      </c>
      <c r="M798" s="18"/>
      <c r="N798" s="5" t="s">
        <v>33</v>
      </c>
      <c r="O798" s="5" t="s">
        <v>33</v>
      </c>
      <c r="P798" s="5" t="s">
        <v>33</v>
      </c>
      <c r="Q798" s="5" t="s">
        <v>33</v>
      </c>
      <c r="R798" s="32" t="s">
        <v>33</v>
      </c>
      <c r="S798" s="18"/>
      <c r="T798" s="5" t="s">
        <v>33</v>
      </c>
    </row>
    <row r="799" spans="5:20" ht="21">
      <c r="E799" s="21" t="s">
        <v>538</v>
      </c>
      <c r="F799" s="22"/>
      <c r="G799" s="7" t="s">
        <v>35</v>
      </c>
      <c r="H799" s="7" t="s">
        <v>5</v>
      </c>
      <c r="I799" s="30" t="s">
        <v>7</v>
      </c>
      <c r="J799" s="24"/>
      <c r="K799" s="22"/>
      <c r="L799" s="30" t="s">
        <v>9</v>
      </c>
      <c r="M799" s="22"/>
      <c r="N799" s="7" t="s">
        <v>11</v>
      </c>
      <c r="O799" s="7" t="s">
        <v>15</v>
      </c>
      <c r="P799" s="7" t="s">
        <v>17</v>
      </c>
      <c r="Q799" s="7" t="s">
        <v>19</v>
      </c>
      <c r="R799" s="30" t="s">
        <v>21</v>
      </c>
      <c r="S799" s="22"/>
      <c r="T799" s="7" t="s">
        <v>36</v>
      </c>
    </row>
    <row r="800" spans="5:20" ht="22.5">
      <c r="E800" s="6" t="s">
        <v>37</v>
      </c>
      <c r="F800" s="6" t="s">
        <v>539</v>
      </c>
      <c r="G800" s="8" t="s">
        <v>39</v>
      </c>
      <c r="H800" s="9" t="s">
        <v>151</v>
      </c>
      <c r="I800" s="23" t="s">
        <v>117</v>
      </c>
      <c r="J800" s="24"/>
      <c r="K800" s="22"/>
      <c r="L800" s="23" t="s">
        <v>235</v>
      </c>
      <c r="M800" s="22"/>
      <c r="N800" s="9" t="s">
        <v>540</v>
      </c>
      <c r="O800" s="9" t="s">
        <v>153</v>
      </c>
      <c r="P800" s="9" t="s">
        <v>541</v>
      </c>
      <c r="Q800" s="9" t="s">
        <v>43</v>
      </c>
      <c r="R800" s="23" t="s">
        <v>467</v>
      </c>
      <c r="S800" s="22"/>
      <c r="T800" s="8" t="s">
        <v>33</v>
      </c>
    </row>
    <row r="801" spans="5:20">
      <c r="E801" s="21" t="s">
        <v>542</v>
      </c>
      <c r="F801" s="25"/>
      <c r="G801" s="8" t="s">
        <v>42</v>
      </c>
      <c r="H801" s="9" t="s">
        <v>43</v>
      </c>
      <c r="I801" s="23" t="s">
        <v>43</v>
      </c>
      <c r="J801" s="24"/>
      <c r="K801" s="22"/>
      <c r="L801" s="23" t="s">
        <v>43</v>
      </c>
      <c r="M801" s="22"/>
      <c r="N801" s="9" t="s">
        <v>43</v>
      </c>
      <c r="O801" s="9" t="s">
        <v>43</v>
      </c>
      <c r="P801" s="9" t="s">
        <v>43</v>
      </c>
      <c r="Q801" s="9" t="s">
        <v>403</v>
      </c>
      <c r="R801" s="23" t="s">
        <v>43</v>
      </c>
      <c r="S801" s="22"/>
      <c r="T801" s="8" t="s">
        <v>33</v>
      </c>
    </row>
    <row r="802" spans="5:20">
      <c r="E802" s="26"/>
      <c r="F802" s="27"/>
      <c r="G802" s="8" t="s">
        <v>44</v>
      </c>
      <c r="H802" s="9" t="s">
        <v>33</v>
      </c>
      <c r="I802" s="23" t="s">
        <v>33</v>
      </c>
      <c r="J802" s="24"/>
      <c r="K802" s="22"/>
      <c r="L802" s="23" t="s">
        <v>33</v>
      </c>
      <c r="M802" s="22"/>
      <c r="N802" s="9" t="s">
        <v>33</v>
      </c>
      <c r="O802" s="9" t="s">
        <v>33</v>
      </c>
      <c r="P802" s="9" t="s">
        <v>33</v>
      </c>
      <c r="Q802" s="9" t="s">
        <v>33</v>
      </c>
      <c r="R802" s="23" t="s">
        <v>33</v>
      </c>
      <c r="S802" s="22"/>
      <c r="T802" s="8">
        <v>0</v>
      </c>
    </row>
    <row r="803" spans="5:20">
      <c r="E803" s="28"/>
      <c r="F803" s="29"/>
      <c r="G803" s="8" t="s">
        <v>45</v>
      </c>
      <c r="H803" s="9">
        <v>4</v>
      </c>
      <c r="I803" s="23">
        <v>4</v>
      </c>
      <c r="J803" s="24"/>
      <c r="K803" s="22"/>
      <c r="L803" s="23">
        <v>4</v>
      </c>
      <c r="M803" s="22"/>
      <c r="N803" s="9">
        <v>3</v>
      </c>
      <c r="O803" s="9">
        <v>3</v>
      </c>
      <c r="P803" s="9">
        <v>3</v>
      </c>
      <c r="Q803" s="9">
        <v>2</v>
      </c>
      <c r="R803" s="23">
        <v>2</v>
      </c>
      <c r="S803" s="22"/>
      <c r="T803" s="8">
        <v>25</v>
      </c>
    </row>
    <row r="804" spans="5:20">
      <c r="E804" s="6" t="s">
        <v>46</v>
      </c>
      <c r="F804" s="6">
        <v>8.1</v>
      </c>
      <c r="G804" s="8" t="s">
        <v>47</v>
      </c>
      <c r="H804" s="9">
        <v>7.5</v>
      </c>
      <c r="I804" s="23">
        <v>8.5</v>
      </c>
      <c r="J804" s="24"/>
      <c r="K804" s="22"/>
      <c r="L804" s="23">
        <v>8.5</v>
      </c>
      <c r="M804" s="22"/>
      <c r="N804" s="9">
        <v>7</v>
      </c>
      <c r="O804" s="9">
        <v>9</v>
      </c>
      <c r="P804" s="9">
        <v>7.5</v>
      </c>
      <c r="Q804" s="9">
        <v>7.5</v>
      </c>
      <c r="R804" s="23">
        <v>9.5</v>
      </c>
      <c r="S804" s="22"/>
      <c r="T804" s="8" t="s">
        <v>33</v>
      </c>
    </row>
    <row r="805" spans="5:20">
      <c r="E805" s="6" t="s">
        <v>48</v>
      </c>
      <c r="F805" s="10">
        <v>8.09</v>
      </c>
      <c r="G805" s="8" t="s">
        <v>49</v>
      </c>
      <c r="H805" s="9">
        <v>30</v>
      </c>
      <c r="I805" s="23">
        <v>34</v>
      </c>
      <c r="J805" s="24"/>
      <c r="K805" s="22"/>
      <c r="L805" s="23">
        <v>34</v>
      </c>
      <c r="M805" s="22"/>
      <c r="N805" s="9">
        <v>21</v>
      </c>
      <c r="O805" s="9">
        <v>27</v>
      </c>
      <c r="P805" s="9">
        <v>22.5</v>
      </c>
      <c r="Q805" s="9">
        <v>15</v>
      </c>
      <c r="R805" s="23">
        <v>19</v>
      </c>
      <c r="S805" s="22"/>
      <c r="T805" s="8">
        <v>202.5</v>
      </c>
    </row>
    <row r="806" spans="5:20">
      <c r="E806" s="21" t="s">
        <v>50</v>
      </c>
      <c r="F806" s="22"/>
      <c r="G806" s="8" t="s">
        <v>36</v>
      </c>
      <c r="H806" s="9">
        <v>73</v>
      </c>
      <c r="I806" s="23">
        <v>82</v>
      </c>
      <c r="J806" s="24"/>
      <c r="K806" s="22"/>
      <c r="L806" s="23">
        <v>80</v>
      </c>
      <c r="M806" s="22"/>
      <c r="N806" s="9">
        <v>69</v>
      </c>
      <c r="O806" s="9">
        <v>88</v>
      </c>
      <c r="P806" s="9">
        <v>72</v>
      </c>
      <c r="Q806" s="9">
        <v>35</v>
      </c>
      <c r="R806" s="23">
        <v>45</v>
      </c>
      <c r="S806" s="22"/>
      <c r="T806" s="8">
        <v>544</v>
      </c>
    </row>
    <row r="807" spans="5:20">
      <c r="E807" s="6" t="s">
        <v>51</v>
      </c>
      <c r="F807" s="6"/>
      <c r="G807" s="8" t="s">
        <v>52</v>
      </c>
      <c r="H807" s="9">
        <v>100</v>
      </c>
      <c r="I807" s="23">
        <v>100</v>
      </c>
      <c r="J807" s="24"/>
      <c r="K807" s="22"/>
      <c r="L807" s="23">
        <v>100</v>
      </c>
      <c r="M807" s="22"/>
      <c r="N807" s="9">
        <v>100</v>
      </c>
      <c r="O807" s="9">
        <v>100</v>
      </c>
      <c r="P807" s="9">
        <v>100</v>
      </c>
      <c r="Q807" s="9">
        <v>50</v>
      </c>
      <c r="R807" s="23">
        <v>50</v>
      </c>
      <c r="S807" s="22"/>
      <c r="T807" s="8">
        <v>700</v>
      </c>
    </row>
    <row r="808" spans="5:20">
      <c r="E808" s="21" t="s">
        <v>159</v>
      </c>
      <c r="F808" s="22"/>
      <c r="G808" s="8" t="s">
        <v>54</v>
      </c>
      <c r="H808" s="9" t="s">
        <v>108</v>
      </c>
      <c r="I808" s="23" t="s">
        <v>95</v>
      </c>
      <c r="J808" s="24"/>
      <c r="K808" s="22"/>
      <c r="L808" s="23" t="s">
        <v>95</v>
      </c>
      <c r="M808" s="22"/>
      <c r="N808" s="9" t="s">
        <v>109</v>
      </c>
      <c r="O808" s="9" t="s">
        <v>122</v>
      </c>
      <c r="P808" s="9" t="s">
        <v>108</v>
      </c>
      <c r="Q808" s="9" t="s">
        <v>108</v>
      </c>
      <c r="R808" s="23" t="s">
        <v>94</v>
      </c>
      <c r="S808" s="22"/>
      <c r="T808" s="8" t="s">
        <v>33</v>
      </c>
    </row>
    <row r="809" spans="5:20">
      <c r="E809" s="11" t="s">
        <v>56</v>
      </c>
      <c r="F809" s="11" t="s">
        <v>543</v>
      </c>
      <c r="G809" s="8" t="s">
        <v>58</v>
      </c>
      <c r="H809" s="9" t="s">
        <v>59</v>
      </c>
      <c r="I809" s="23" t="s">
        <v>59</v>
      </c>
      <c r="J809" s="24"/>
      <c r="K809" s="22"/>
      <c r="L809" s="23" t="s">
        <v>59</v>
      </c>
      <c r="M809" s="22"/>
      <c r="N809" s="9" t="s">
        <v>59</v>
      </c>
      <c r="O809" s="9" t="s">
        <v>59</v>
      </c>
      <c r="P809" s="9" t="s">
        <v>59</v>
      </c>
      <c r="Q809" s="9" t="s">
        <v>59</v>
      </c>
      <c r="R809" s="23" t="s">
        <v>59</v>
      </c>
      <c r="S809" s="22"/>
      <c r="T809" s="8" t="s">
        <v>33</v>
      </c>
    </row>
    <row r="810" spans="5:20">
      <c r="E810" s="12" t="s">
        <v>33</v>
      </c>
      <c r="F810" s="12" t="s">
        <v>33</v>
      </c>
      <c r="G810" s="12" t="s">
        <v>33</v>
      </c>
      <c r="H810" s="13" t="s">
        <v>33</v>
      </c>
      <c r="I810" s="20" t="s">
        <v>33</v>
      </c>
      <c r="J810" s="18"/>
      <c r="K810" s="18"/>
      <c r="L810" s="20" t="s">
        <v>33</v>
      </c>
      <c r="M810" s="18"/>
      <c r="N810" s="13" t="s">
        <v>33</v>
      </c>
      <c r="O810" s="13" t="s">
        <v>33</v>
      </c>
      <c r="P810" s="13" t="s">
        <v>33</v>
      </c>
      <c r="Q810" s="13" t="s">
        <v>33</v>
      </c>
      <c r="R810" s="20" t="s">
        <v>33</v>
      </c>
      <c r="S810" s="18"/>
      <c r="T810" s="13" t="s">
        <v>33</v>
      </c>
    </row>
    <row r="811" spans="5:20" ht="0" hidden="1" customHeight="1"/>
    <row r="812" spans="5:20" ht="0.6" customHeight="1"/>
    <row r="813" spans="5:20">
      <c r="E813" s="31" t="s">
        <v>31</v>
      </c>
      <c r="F813" s="22"/>
      <c r="G813" s="3" t="s">
        <v>32</v>
      </c>
      <c r="H813" s="5" t="s">
        <v>33</v>
      </c>
      <c r="I813" s="32" t="s">
        <v>33</v>
      </c>
      <c r="J813" s="18"/>
      <c r="K813" s="18"/>
      <c r="L813" s="32" t="s">
        <v>33</v>
      </c>
      <c r="M813" s="18"/>
      <c r="N813" s="5" t="s">
        <v>33</v>
      </c>
      <c r="O813" s="5" t="s">
        <v>33</v>
      </c>
      <c r="P813" s="5" t="s">
        <v>33</v>
      </c>
      <c r="Q813" s="5" t="s">
        <v>33</v>
      </c>
      <c r="R813" s="32" t="s">
        <v>33</v>
      </c>
      <c r="S813" s="18"/>
      <c r="T813" s="5" t="s">
        <v>33</v>
      </c>
    </row>
    <row r="814" spans="5:20" ht="21">
      <c r="E814" s="21" t="s">
        <v>544</v>
      </c>
      <c r="F814" s="22"/>
      <c r="G814" s="7" t="s">
        <v>35</v>
      </c>
      <c r="H814" s="7" t="s">
        <v>5</v>
      </c>
      <c r="I814" s="30" t="s">
        <v>7</v>
      </c>
      <c r="J814" s="24"/>
      <c r="K814" s="22"/>
      <c r="L814" s="30" t="s">
        <v>9</v>
      </c>
      <c r="M814" s="22"/>
      <c r="N814" s="7" t="s">
        <v>11</v>
      </c>
      <c r="O814" s="7" t="s">
        <v>15</v>
      </c>
      <c r="P814" s="7" t="s">
        <v>17</v>
      </c>
      <c r="Q814" s="7" t="s">
        <v>21</v>
      </c>
      <c r="R814" s="30" t="s">
        <v>27</v>
      </c>
      <c r="S814" s="22"/>
      <c r="T814" s="7" t="s">
        <v>36</v>
      </c>
    </row>
    <row r="815" spans="5:20" ht="22.5">
      <c r="E815" s="6" t="s">
        <v>37</v>
      </c>
      <c r="F815" s="6" t="s">
        <v>545</v>
      </c>
      <c r="G815" s="8" t="s">
        <v>39</v>
      </c>
      <c r="H815" s="9" t="s">
        <v>546</v>
      </c>
      <c r="I815" s="23" t="s">
        <v>206</v>
      </c>
      <c r="J815" s="24"/>
      <c r="K815" s="22"/>
      <c r="L815" s="23" t="s">
        <v>165</v>
      </c>
      <c r="M815" s="22"/>
      <c r="N815" s="9" t="s">
        <v>449</v>
      </c>
      <c r="O815" s="9" t="s">
        <v>547</v>
      </c>
      <c r="P815" s="9" t="s">
        <v>316</v>
      </c>
      <c r="Q815" s="9" t="s">
        <v>548</v>
      </c>
      <c r="R815" s="23" t="s">
        <v>43</v>
      </c>
      <c r="S815" s="22"/>
      <c r="T815" s="8" t="s">
        <v>33</v>
      </c>
    </row>
    <row r="816" spans="5:20">
      <c r="E816" s="21" t="s">
        <v>549</v>
      </c>
      <c r="F816" s="25"/>
      <c r="G816" s="8" t="s">
        <v>42</v>
      </c>
      <c r="H816" s="9" t="s">
        <v>43</v>
      </c>
      <c r="I816" s="23" t="s">
        <v>43</v>
      </c>
      <c r="J816" s="24"/>
      <c r="K816" s="22"/>
      <c r="L816" s="23" t="s">
        <v>43</v>
      </c>
      <c r="M816" s="22"/>
      <c r="N816" s="9" t="s">
        <v>43</v>
      </c>
      <c r="O816" s="9" t="s">
        <v>43</v>
      </c>
      <c r="P816" s="9" t="s">
        <v>43</v>
      </c>
      <c r="Q816" s="9" t="s">
        <v>43</v>
      </c>
      <c r="R816" s="23" t="s">
        <v>91</v>
      </c>
      <c r="S816" s="22"/>
      <c r="T816" s="8" t="s">
        <v>33</v>
      </c>
    </row>
    <row r="817" spans="5:20">
      <c r="E817" s="26"/>
      <c r="F817" s="27"/>
      <c r="G817" s="8" t="s">
        <v>44</v>
      </c>
      <c r="H817" s="9" t="s">
        <v>33</v>
      </c>
      <c r="I817" s="23" t="s">
        <v>33</v>
      </c>
      <c r="J817" s="24"/>
      <c r="K817" s="22"/>
      <c r="L817" s="23" t="s">
        <v>33</v>
      </c>
      <c r="M817" s="22"/>
      <c r="N817" s="9" t="s">
        <v>33</v>
      </c>
      <c r="O817" s="9" t="s">
        <v>33</v>
      </c>
      <c r="P817" s="9" t="s">
        <v>33</v>
      </c>
      <c r="Q817" s="9" t="s">
        <v>33</v>
      </c>
      <c r="R817" s="23" t="s">
        <v>33</v>
      </c>
      <c r="S817" s="22"/>
      <c r="T817" s="8">
        <v>0</v>
      </c>
    </row>
    <row r="818" spans="5:20">
      <c r="E818" s="28"/>
      <c r="F818" s="29"/>
      <c r="G818" s="8" t="s">
        <v>45</v>
      </c>
      <c r="H818" s="9">
        <v>4</v>
      </c>
      <c r="I818" s="23">
        <v>4</v>
      </c>
      <c r="J818" s="24"/>
      <c r="K818" s="22"/>
      <c r="L818" s="23">
        <v>4</v>
      </c>
      <c r="M818" s="22"/>
      <c r="N818" s="9">
        <v>3</v>
      </c>
      <c r="O818" s="9">
        <v>3</v>
      </c>
      <c r="P818" s="9">
        <v>3</v>
      </c>
      <c r="Q818" s="9">
        <v>2</v>
      </c>
      <c r="R818" s="23">
        <v>2</v>
      </c>
      <c r="S818" s="22"/>
      <c r="T818" s="8">
        <v>25</v>
      </c>
    </row>
    <row r="819" spans="5:20">
      <c r="E819" s="6" t="s">
        <v>46</v>
      </c>
      <c r="F819" s="6">
        <v>7.94</v>
      </c>
      <c r="G819" s="8" t="s">
        <v>47</v>
      </c>
      <c r="H819" s="9">
        <v>7</v>
      </c>
      <c r="I819" s="23">
        <v>8</v>
      </c>
      <c r="J819" s="24"/>
      <c r="K819" s="22"/>
      <c r="L819" s="23">
        <v>10</v>
      </c>
      <c r="M819" s="22"/>
      <c r="N819" s="9">
        <v>7.5</v>
      </c>
      <c r="O819" s="9">
        <v>8</v>
      </c>
      <c r="P819" s="9">
        <v>5</v>
      </c>
      <c r="Q819" s="9">
        <v>8.5</v>
      </c>
      <c r="R819" s="23">
        <v>10</v>
      </c>
      <c r="S819" s="22"/>
      <c r="T819" s="8" t="s">
        <v>33</v>
      </c>
    </row>
    <row r="820" spans="5:20">
      <c r="E820" s="6" t="s">
        <v>48</v>
      </c>
      <c r="F820" s="10">
        <v>8.1999999999999993</v>
      </c>
      <c r="G820" s="8" t="s">
        <v>49</v>
      </c>
      <c r="H820" s="9">
        <v>28</v>
      </c>
      <c r="I820" s="23">
        <v>32</v>
      </c>
      <c r="J820" s="24"/>
      <c r="K820" s="22"/>
      <c r="L820" s="23">
        <v>40</v>
      </c>
      <c r="M820" s="22"/>
      <c r="N820" s="9">
        <v>22.5</v>
      </c>
      <c r="O820" s="9">
        <v>24</v>
      </c>
      <c r="P820" s="9">
        <v>15</v>
      </c>
      <c r="Q820" s="9">
        <v>17</v>
      </c>
      <c r="R820" s="23">
        <v>20</v>
      </c>
      <c r="S820" s="22"/>
      <c r="T820" s="8">
        <v>198.5</v>
      </c>
    </row>
    <row r="821" spans="5:20">
      <c r="E821" s="21" t="s">
        <v>50</v>
      </c>
      <c r="F821" s="22"/>
      <c r="G821" s="8" t="s">
        <v>36</v>
      </c>
      <c r="H821" s="9">
        <v>65</v>
      </c>
      <c r="I821" s="23">
        <v>79</v>
      </c>
      <c r="J821" s="24"/>
      <c r="K821" s="22"/>
      <c r="L821" s="23">
        <v>97</v>
      </c>
      <c r="M821" s="22"/>
      <c r="N821" s="9">
        <v>70</v>
      </c>
      <c r="O821" s="9">
        <v>78</v>
      </c>
      <c r="P821" s="9">
        <v>46</v>
      </c>
      <c r="Q821" s="9">
        <v>40</v>
      </c>
      <c r="R821" s="23">
        <v>50</v>
      </c>
      <c r="S821" s="22"/>
      <c r="T821" s="8">
        <v>525</v>
      </c>
    </row>
    <row r="822" spans="5:20">
      <c r="E822" s="6" t="s">
        <v>51</v>
      </c>
      <c r="F822" s="6"/>
      <c r="G822" s="8" t="s">
        <v>52</v>
      </c>
      <c r="H822" s="9">
        <v>100</v>
      </c>
      <c r="I822" s="23">
        <v>100</v>
      </c>
      <c r="J822" s="24"/>
      <c r="K822" s="22"/>
      <c r="L822" s="23">
        <v>100</v>
      </c>
      <c r="M822" s="22"/>
      <c r="N822" s="9">
        <v>100</v>
      </c>
      <c r="O822" s="9">
        <v>100</v>
      </c>
      <c r="P822" s="9">
        <v>100</v>
      </c>
      <c r="Q822" s="9">
        <v>50</v>
      </c>
      <c r="R822" s="23">
        <v>50</v>
      </c>
      <c r="S822" s="22"/>
      <c r="T822" s="8">
        <v>700</v>
      </c>
    </row>
    <row r="823" spans="5:20">
      <c r="E823" s="21" t="s">
        <v>121</v>
      </c>
      <c r="F823" s="22"/>
      <c r="G823" s="8" t="s">
        <v>54</v>
      </c>
      <c r="H823" s="9" t="s">
        <v>109</v>
      </c>
      <c r="I823" s="23" t="s">
        <v>135</v>
      </c>
      <c r="J823" s="24"/>
      <c r="K823" s="22"/>
      <c r="L823" s="23" t="s">
        <v>93</v>
      </c>
      <c r="M823" s="22"/>
      <c r="N823" s="9" t="s">
        <v>108</v>
      </c>
      <c r="O823" s="9" t="s">
        <v>135</v>
      </c>
      <c r="P823" s="9" t="s">
        <v>55</v>
      </c>
      <c r="Q823" s="9" t="s">
        <v>95</v>
      </c>
      <c r="R823" s="23" t="s">
        <v>93</v>
      </c>
      <c r="S823" s="22"/>
      <c r="T823" s="8" t="s">
        <v>33</v>
      </c>
    </row>
    <row r="824" spans="5:20">
      <c r="E824" s="11" t="s">
        <v>56</v>
      </c>
      <c r="F824" s="11" t="s">
        <v>550</v>
      </c>
      <c r="G824" s="8" t="s">
        <v>58</v>
      </c>
      <c r="H824" s="9" t="s">
        <v>59</v>
      </c>
      <c r="I824" s="23" t="s">
        <v>59</v>
      </c>
      <c r="J824" s="24"/>
      <c r="K824" s="22"/>
      <c r="L824" s="23" t="s">
        <v>59</v>
      </c>
      <c r="M824" s="22"/>
      <c r="N824" s="9" t="s">
        <v>59</v>
      </c>
      <c r="O824" s="9" t="s">
        <v>59</v>
      </c>
      <c r="P824" s="9" t="s">
        <v>59</v>
      </c>
      <c r="Q824" s="9" t="s">
        <v>59</v>
      </c>
      <c r="R824" s="23" t="s">
        <v>59</v>
      </c>
      <c r="S824" s="22"/>
      <c r="T824" s="8" t="s">
        <v>33</v>
      </c>
    </row>
    <row r="825" spans="5:20">
      <c r="E825" s="12" t="s">
        <v>33</v>
      </c>
      <c r="F825" s="12" t="s">
        <v>33</v>
      </c>
      <c r="G825" s="12" t="s">
        <v>33</v>
      </c>
      <c r="H825" s="13" t="s">
        <v>33</v>
      </c>
      <c r="I825" s="20" t="s">
        <v>33</v>
      </c>
      <c r="J825" s="18"/>
      <c r="K825" s="18"/>
      <c r="L825" s="20" t="s">
        <v>33</v>
      </c>
      <c r="M825" s="18"/>
      <c r="N825" s="13" t="s">
        <v>33</v>
      </c>
      <c r="O825" s="13" t="s">
        <v>33</v>
      </c>
      <c r="P825" s="13" t="s">
        <v>33</v>
      </c>
      <c r="Q825" s="13" t="s">
        <v>33</v>
      </c>
      <c r="R825" s="20" t="s">
        <v>33</v>
      </c>
      <c r="S825" s="18"/>
      <c r="T825" s="13" t="s">
        <v>33</v>
      </c>
    </row>
    <row r="826" spans="5:20" ht="0" hidden="1" customHeight="1"/>
    <row r="827" spans="5:20" ht="0.6" customHeight="1"/>
    <row r="828" spans="5:20">
      <c r="E828" s="31" t="s">
        <v>31</v>
      </c>
      <c r="F828" s="22"/>
      <c r="G828" s="3" t="s">
        <v>32</v>
      </c>
      <c r="H828" s="5" t="s">
        <v>33</v>
      </c>
      <c r="I828" s="32" t="s">
        <v>33</v>
      </c>
      <c r="J828" s="18"/>
      <c r="K828" s="18"/>
      <c r="L828" s="32" t="s">
        <v>33</v>
      </c>
      <c r="M828" s="18"/>
      <c r="N828" s="5" t="s">
        <v>33</v>
      </c>
      <c r="O828" s="5" t="s">
        <v>33</v>
      </c>
      <c r="P828" s="5" t="s">
        <v>33</v>
      </c>
      <c r="Q828" s="5" t="s">
        <v>33</v>
      </c>
      <c r="R828" s="32" t="s">
        <v>33</v>
      </c>
      <c r="S828" s="18"/>
      <c r="T828" s="5" t="s">
        <v>33</v>
      </c>
    </row>
    <row r="829" spans="5:20" ht="21">
      <c r="E829" s="21" t="s">
        <v>551</v>
      </c>
      <c r="F829" s="22"/>
      <c r="G829" s="7" t="s">
        <v>35</v>
      </c>
      <c r="H829" s="7" t="s">
        <v>5</v>
      </c>
      <c r="I829" s="30" t="s">
        <v>7</v>
      </c>
      <c r="J829" s="24"/>
      <c r="K829" s="22"/>
      <c r="L829" s="30" t="s">
        <v>9</v>
      </c>
      <c r="M829" s="22"/>
      <c r="N829" s="7" t="s">
        <v>11</v>
      </c>
      <c r="O829" s="7" t="s">
        <v>13</v>
      </c>
      <c r="P829" s="7" t="s">
        <v>17</v>
      </c>
      <c r="Q829" s="7" t="s">
        <v>21</v>
      </c>
      <c r="R829" s="30" t="s">
        <v>25</v>
      </c>
      <c r="S829" s="22"/>
      <c r="T829" s="7" t="s">
        <v>36</v>
      </c>
    </row>
    <row r="830" spans="5:20" ht="22.5">
      <c r="E830" s="6" t="s">
        <v>37</v>
      </c>
      <c r="F830" s="6" t="s">
        <v>552</v>
      </c>
      <c r="G830" s="8" t="s">
        <v>39</v>
      </c>
      <c r="H830" s="9" t="s">
        <v>553</v>
      </c>
      <c r="I830" s="23" t="s">
        <v>554</v>
      </c>
      <c r="J830" s="24"/>
      <c r="K830" s="22"/>
      <c r="L830" s="23" t="s">
        <v>176</v>
      </c>
      <c r="M830" s="22"/>
      <c r="N830" s="9" t="s">
        <v>458</v>
      </c>
      <c r="O830" s="9" t="s">
        <v>555</v>
      </c>
      <c r="P830" s="9" t="s">
        <v>556</v>
      </c>
      <c r="Q830" s="9" t="s">
        <v>435</v>
      </c>
      <c r="R830" s="23" t="s">
        <v>43</v>
      </c>
      <c r="S830" s="22"/>
      <c r="T830" s="8" t="s">
        <v>33</v>
      </c>
    </row>
    <row r="831" spans="5:20">
      <c r="E831" s="21" t="s">
        <v>557</v>
      </c>
      <c r="F831" s="25"/>
      <c r="G831" s="8" t="s">
        <v>42</v>
      </c>
      <c r="H831" s="9" t="s">
        <v>43</v>
      </c>
      <c r="I831" s="23" t="s">
        <v>43</v>
      </c>
      <c r="J831" s="24"/>
      <c r="K831" s="22"/>
      <c r="L831" s="23" t="s">
        <v>43</v>
      </c>
      <c r="M831" s="22"/>
      <c r="N831" s="9" t="s">
        <v>43</v>
      </c>
      <c r="O831" s="9" t="s">
        <v>43</v>
      </c>
      <c r="P831" s="9" t="s">
        <v>43</v>
      </c>
      <c r="Q831" s="9" t="s">
        <v>43</v>
      </c>
      <c r="R831" s="23" t="s">
        <v>107</v>
      </c>
      <c r="S831" s="22"/>
      <c r="T831" s="8" t="s">
        <v>33</v>
      </c>
    </row>
    <row r="832" spans="5:20">
      <c r="E832" s="26"/>
      <c r="F832" s="27"/>
      <c r="G832" s="8" t="s">
        <v>44</v>
      </c>
      <c r="H832" s="9" t="s">
        <v>33</v>
      </c>
      <c r="I832" s="23" t="s">
        <v>33</v>
      </c>
      <c r="J832" s="24"/>
      <c r="K832" s="22"/>
      <c r="L832" s="23" t="s">
        <v>33</v>
      </c>
      <c r="M832" s="22"/>
      <c r="N832" s="9" t="s">
        <v>33</v>
      </c>
      <c r="O832" s="9" t="s">
        <v>33</v>
      </c>
      <c r="P832" s="9" t="s">
        <v>33</v>
      </c>
      <c r="Q832" s="9" t="s">
        <v>33</v>
      </c>
      <c r="R832" s="23" t="s">
        <v>33</v>
      </c>
      <c r="S832" s="22"/>
      <c r="T832" s="8">
        <v>0</v>
      </c>
    </row>
    <row r="833" spans="5:20">
      <c r="E833" s="28"/>
      <c r="F833" s="29"/>
      <c r="G833" s="8" t="s">
        <v>45</v>
      </c>
      <c r="H833" s="9">
        <v>4</v>
      </c>
      <c r="I833" s="23">
        <v>4</v>
      </c>
      <c r="J833" s="24"/>
      <c r="K833" s="22"/>
      <c r="L833" s="23">
        <v>4</v>
      </c>
      <c r="M833" s="22"/>
      <c r="N833" s="9">
        <v>3</v>
      </c>
      <c r="O833" s="9">
        <v>3</v>
      </c>
      <c r="P833" s="9">
        <v>3</v>
      </c>
      <c r="Q833" s="9">
        <v>2</v>
      </c>
      <c r="R833" s="23">
        <v>2</v>
      </c>
      <c r="S833" s="22"/>
      <c r="T833" s="8">
        <v>22</v>
      </c>
    </row>
    <row r="834" spans="5:20">
      <c r="E834" s="6" t="s">
        <v>46</v>
      </c>
      <c r="F834" s="6"/>
      <c r="G834" s="8" t="s">
        <v>47</v>
      </c>
      <c r="H834" s="9">
        <v>5.5</v>
      </c>
      <c r="I834" s="23">
        <v>6.5</v>
      </c>
      <c r="J834" s="24"/>
      <c r="K834" s="22"/>
      <c r="L834" s="23">
        <v>9</v>
      </c>
      <c r="M834" s="22"/>
      <c r="N834" s="9">
        <v>8</v>
      </c>
      <c r="O834" s="9">
        <v>7.5</v>
      </c>
      <c r="P834" s="9"/>
      <c r="Q834" s="9">
        <v>9.5</v>
      </c>
      <c r="R834" s="23">
        <v>10</v>
      </c>
      <c r="S834" s="22"/>
      <c r="T834" s="8" t="s">
        <v>33</v>
      </c>
    </row>
    <row r="835" spans="5:20">
      <c r="E835" s="6" t="s">
        <v>48</v>
      </c>
      <c r="F835" s="6"/>
      <c r="G835" s="8" t="s">
        <v>49</v>
      </c>
      <c r="H835" s="9">
        <v>22</v>
      </c>
      <c r="I835" s="23">
        <v>26</v>
      </c>
      <c r="J835" s="24"/>
      <c r="K835" s="22"/>
      <c r="L835" s="23">
        <v>36</v>
      </c>
      <c r="M835" s="22"/>
      <c r="N835" s="9">
        <v>24</v>
      </c>
      <c r="O835" s="9">
        <v>22.5</v>
      </c>
      <c r="P835" s="9"/>
      <c r="Q835" s="9">
        <v>19</v>
      </c>
      <c r="R835" s="23">
        <v>20</v>
      </c>
      <c r="S835" s="22"/>
      <c r="T835" s="8">
        <v>169.5</v>
      </c>
    </row>
    <row r="836" spans="5:20">
      <c r="E836" s="21" t="s">
        <v>65</v>
      </c>
      <c r="F836" s="22"/>
      <c r="G836" s="8" t="s">
        <v>36</v>
      </c>
      <c r="H836" s="9">
        <v>51</v>
      </c>
      <c r="I836" s="23">
        <v>61</v>
      </c>
      <c r="J836" s="24"/>
      <c r="K836" s="22"/>
      <c r="L836" s="23">
        <v>89</v>
      </c>
      <c r="M836" s="22"/>
      <c r="N836" s="9">
        <v>75</v>
      </c>
      <c r="O836" s="9">
        <v>74</v>
      </c>
      <c r="P836" s="9">
        <v>34</v>
      </c>
      <c r="Q836" s="9">
        <v>46</v>
      </c>
      <c r="R836" s="23">
        <v>48</v>
      </c>
      <c r="S836" s="22"/>
      <c r="T836" s="8">
        <v>478</v>
      </c>
    </row>
    <row r="837" spans="5:20">
      <c r="E837" s="6" t="s">
        <v>51</v>
      </c>
      <c r="F837" s="6"/>
      <c r="G837" s="8" t="s">
        <v>52</v>
      </c>
      <c r="H837" s="9">
        <v>100</v>
      </c>
      <c r="I837" s="23">
        <v>100</v>
      </c>
      <c r="J837" s="24"/>
      <c r="K837" s="22"/>
      <c r="L837" s="23">
        <v>100</v>
      </c>
      <c r="M837" s="22"/>
      <c r="N837" s="9">
        <v>100</v>
      </c>
      <c r="O837" s="9">
        <v>100</v>
      </c>
      <c r="P837" s="9">
        <v>100</v>
      </c>
      <c r="Q837" s="9">
        <v>50</v>
      </c>
      <c r="R837" s="23">
        <v>50</v>
      </c>
      <c r="S837" s="22"/>
      <c r="T837" s="8">
        <v>700</v>
      </c>
    </row>
    <row r="838" spans="5:20">
      <c r="E838" s="21" t="s">
        <v>66</v>
      </c>
      <c r="F838" s="22"/>
      <c r="G838" s="8" t="s">
        <v>54</v>
      </c>
      <c r="H838" s="9" t="s">
        <v>123</v>
      </c>
      <c r="I838" s="23" t="s">
        <v>76</v>
      </c>
      <c r="J838" s="24"/>
      <c r="K838" s="22"/>
      <c r="L838" s="23" t="s">
        <v>122</v>
      </c>
      <c r="M838" s="22"/>
      <c r="N838" s="9" t="s">
        <v>135</v>
      </c>
      <c r="O838" s="9" t="s">
        <v>108</v>
      </c>
      <c r="P838" s="9"/>
      <c r="Q838" s="9" t="s">
        <v>94</v>
      </c>
      <c r="R838" s="23" t="s">
        <v>93</v>
      </c>
      <c r="S838" s="22"/>
      <c r="T838" s="8" t="s">
        <v>33</v>
      </c>
    </row>
    <row r="839" spans="5:20">
      <c r="E839" s="11" t="s">
        <v>56</v>
      </c>
      <c r="F839" s="11" t="s">
        <v>558</v>
      </c>
      <c r="G839" s="8" t="s">
        <v>58</v>
      </c>
      <c r="H839" s="9" t="s">
        <v>59</v>
      </c>
      <c r="I839" s="23" t="s">
        <v>59</v>
      </c>
      <c r="J839" s="24"/>
      <c r="K839" s="22"/>
      <c r="L839" s="23" t="s">
        <v>59</v>
      </c>
      <c r="M839" s="22"/>
      <c r="N839" s="9" t="s">
        <v>59</v>
      </c>
      <c r="O839" s="9" t="s">
        <v>59</v>
      </c>
      <c r="P839" s="9" t="s">
        <v>68</v>
      </c>
      <c r="Q839" s="9" t="s">
        <v>59</v>
      </c>
      <c r="R839" s="23" t="s">
        <v>59</v>
      </c>
      <c r="S839" s="22"/>
      <c r="T839" s="8" t="s">
        <v>33</v>
      </c>
    </row>
    <row r="840" spans="5:20">
      <c r="E840" s="12" t="s">
        <v>33</v>
      </c>
      <c r="F840" s="12" t="s">
        <v>33</v>
      </c>
      <c r="G840" s="12" t="s">
        <v>33</v>
      </c>
      <c r="H840" s="13" t="s">
        <v>33</v>
      </c>
      <c r="I840" s="20" t="s">
        <v>33</v>
      </c>
      <c r="J840" s="18"/>
      <c r="K840" s="18"/>
      <c r="L840" s="20" t="s">
        <v>33</v>
      </c>
      <c r="M840" s="18"/>
      <c r="N840" s="13" t="s">
        <v>33</v>
      </c>
      <c r="O840" s="13" t="s">
        <v>33</v>
      </c>
      <c r="P840" s="13" t="s">
        <v>33</v>
      </c>
      <c r="Q840" s="13" t="s">
        <v>33</v>
      </c>
      <c r="R840" s="20" t="s">
        <v>33</v>
      </c>
      <c r="S840" s="18"/>
      <c r="T840" s="13" t="s">
        <v>33</v>
      </c>
    </row>
    <row r="841" spans="5:20" ht="0" hidden="1" customHeight="1"/>
    <row r="842" spans="5:20" ht="0.6" customHeight="1"/>
    <row r="843" spans="5:20">
      <c r="E843" s="31" t="s">
        <v>31</v>
      </c>
      <c r="F843" s="22"/>
      <c r="G843" s="3" t="s">
        <v>32</v>
      </c>
      <c r="H843" s="5" t="s">
        <v>33</v>
      </c>
      <c r="I843" s="32" t="s">
        <v>33</v>
      </c>
      <c r="J843" s="18"/>
      <c r="K843" s="18"/>
      <c r="L843" s="32" t="s">
        <v>33</v>
      </c>
      <c r="M843" s="18"/>
      <c r="N843" s="5" t="s">
        <v>33</v>
      </c>
      <c r="O843" s="5" t="s">
        <v>33</v>
      </c>
      <c r="P843" s="5" t="s">
        <v>33</v>
      </c>
      <c r="Q843" s="5" t="s">
        <v>33</v>
      </c>
      <c r="R843" s="32" t="s">
        <v>33</v>
      </c>
      <c r="S843" s="18"/>
      <c r="T843" s="5" t="s">
        <v>33</v>
      </c>
    </row>
    <row r="844" spans="5:20" ht="21">
      <c r="E844" s="21" t="s">
        <v>559</v>
      </c>
      <c r="F844" s="22"/>
      <c r="G844" s="7" t="s">
        <v>35</v>
      </c>
      <c r="H844" s="7" t="s">
        <v>5</v>
      </c>
      <c r="I844" s="30" t="s">
        <v>7</v>
      </c>
      <c r="J844" s="24"/>
      <c r="K844" s="22"/>
      <c r="L844" s="30" t="s">
        <v>9</v>
      </c>
      <c r="M844" s="22"/>
      <c r="N844" s="7" t="s">
        <v>11</v>
      </c>
      <c r="O844" s="7" t="s">
        <v>15</v>
      </c>
      <c r="P844" s="7" t="s">
        <v>17</v>
      </c>
      <c r="Q844" s="7" t="s">
        <v>21</v>
      </c>
      <c r="R844" s="30" t="s">
        <v>25</v>
      </c>
      <c r="S844" s="22"/>
      <c r="T844" s="7" t="s">
        <v>36</v>
      </c>
    </row>
    <row r="845" spans="5:20" ht="22.5">
      <c r="E845" s="6" t="s">
        <v>37</v>
      </c>
      <c r="F845" s="6" t="s">
        <v>560</v>
      </c>
      <c r="G845" s="8" t="s">
        <v>39</v>
      </c>
      <c r="H845" s="9" t="s">
        <v>561</v>
      </c>
      <c r="I845" s="23" t="s">
        <v>562</v>
      </c>
      <c r="J845" s="24"/>
      <c r="K845" s="22"/>
      <c r="L845" s="23" t="s">
        <v>563</v>
      </c>
      <c r="M845" s="22"/>
      <c r="N845" s="9" t="s">
        <v>130</v>
      </c>
      <c r="O845" s="9" t="s">
        <v>449</v>
      </c>
      <c r="P845" s="9" t="s">
        <v>564</v>
      </c>
      <c r="Q845" s="9" t="s">
        <v>565</v>
      </c>
      <c r="R845" s="23" t="s">
        <v>43</v>
      </c>
      <c r="S845" s="22"/>
      <c r="T845" s="8" t="s">
        <v>33</v>
      </c>
    </row>
    <row r="846" spans="5:20">
      <c r="E846" s="21" t="s">
        <v>145</v>
      </c>
      <c r="F846" s="25"/>
      <c r="G846" s="8" t="s">
        <v>42</v>
      </c>
      <c r="H846" s="9" t="s">
        <v>43</v>
      </c>
      <c r="I846" s="23" t="s">
        <v>43</v>
      </c>
      <c r="J846" s="24"/>
      <c r="K846" s="22"/>
      <c r="L846" s="23" t="s">
        <v>43</v>
      </c>
      <c r="M846" s="22"/>
      <c r="N846" s="9" t="s">
        <v>43</v>
      </c>
      <c r="O846" s="9" t="s">
        <v>43</v>
      </c>
      <c r="P846" s="9" t="s">
        <v>43</v>
      </c>
      <c r="Q846" s="9" t="s">
        <v>43</v>
      </c>
      <c r="R846" s="23" t="s">
        <v>107</v>
      </c>
      <c r="S846" s="22"/>
      <c r="T846" s="8" t="s">
        <v>33</v>
      </c>
    </row>
    <row r="847" spans="5:20">
      <c r="E847" s="26"/>
      <c r="F847" s="27"/>
      <c r="G847" s="8" t="s">
        <v>44</v>
      </c>
      <c r="H847" s="9" t="s">
        <v>33</v>
      </c>
      <c r="I847" s="23" t="s">
        <v>33</v>
      </c>
      <c r="J847" s="24"/>
      <c r="K847" s="22"/>
      <c r="L847" s="23" t="s">
        <v>33</v>
      </c>
      <c r="M847" s="22"/>
      <c r="N847" s="9" t="s">
        <v>33</v>
      </c>
      <c r="O847" s="9" t="s">
        <v>33</v>
      </c>
      <c r="P847" s="9" t="s">
        <v>33</v>
      </c>
      <c r="Q847" s="9" t="s">
        <v>33</v>
      </c>
      <c r="R847" s="23" t="s">
        <v>33</v>
      </c>
      <c r="S847" s="22"/>
      <c r="T847" s="8">
        <v>0</v>
      </c>
    </row>
    <row r="848" spans="5:20">
      <c r="E848" s="28"/>
      <c r="F848" s="29"/>
      <c r="G848" s="8" t="s">
        <v>45</v>
      </c>
      <c r="H848" s="9">
        <v>4</v>
      </c>
      <c r="I848" s="23">
        <v>4</v>
      </c>
      <c r="J848" s="24"/>
      <c r="K848" s="22"/>
      <c r="L848" s="23">
        <v>4</v>
      </c>
      <c r="M848" s="22"/>
      <c r="N848" s="9">
        <v>3</v>
      </c>
      <c r="O848" s="9">
        <v>3</v>
      </c>
      <c r="P848" s="9">
        <v>3</v>
      </c>
      <c r="Q848" s="9">
        <v>2</v>
      </c>
      <c r="R848" s="23">
        <v>2</v>
      </c>
      <c r="S848" s="22"/>
      <c r="T848" s="8">
        <v>18</v>
      </c>
    </row>
    <row r="849" spans="5:20">
      <c r="E849" s="6" t="s">
        <v>46</v>
      </c>
      <c r="F849" s="6"/>
      <c r="G849" s="8" t="s">
        <v>47</v>
      </c>
      <c r="H849" s="9"/>
      <c r="I849" s="23">
        <v>8.5</v>
      </c>
      <c r="J849" s="24"/>
      <c r="K849" s="22"/>
      <c r="L849" s="23">
        <v>6</v>
      </c>
      <c r="M849" s="22"/>
      <c r="N849" s="9">
        <v>6.5</v>
      </c>
      <c r="O849" s="9">
        <v>7.5</v>
      </c>
      <c r="P849" s="9"/>
      <c r="Q849" s="9">
        <v>8.5</v>
      </c>
      <c r="R849" s="23">
        <v>10</v>
      </c>
      <c r="S849" s="22"/>
      <c r="T849" s="8" t="s">
        <v>33</v>
      </c>
    </row>
    <row r="850" spans="5:20">
      <c r="E850" s="6" t="s">
        <v>48</v>
      </c>
      <c r="F850" s="6"/>
      <c r="G850" s="8" t="s">
        <v>49</v>
      </c>
      <c r="H850" s="9"/>
      <c r="I850" s="23">
        <v>34</v>
      </c>
      <c r="J850" s="24"/>
      <c r="K850" s="22"/>
      <c r="L850" s="23">
        <v>24</v>
      </c>
      <c r="M850" s="22"/>
      <c r="N850" s="9">
        <v>19.5</v>
      </c>
      <c r="O850" s="9">
        <v>22.5</v>
      </c>
      <c r="P850" s="9"/>
      <c r="Q850" s="9">
        <v>17</v>
      </c>
      <c r="R850" s="23">
        <v>20</v>
      </c>
      <c r="S850" s="22"/>
      <c r="T850" s="8">
        <v>137</v>
      </c>
    </row>
    <row r="851" spans="5:20">
      <c r="E851" s="21" t="s">
        <v>65</v>
      </c>
      <c r="F851" s="22"/>
      <c r="G851" s="8" t="s">
        <v>36</v>
      </c>
      <c r="H851" s="9">
        <v>36</v>
      </c>
      <c r="I851" s="23">
        <v>80</v>
      </c>
      <c r="J851" s="24"/>
      <c r="K851" s="22"/>
      <c r="L851" s="23">
        <v>56</v>
      </c>
      <c r="M851" s="22"/>
      <c r="N851" s="9">
        <v>64</v>
      </c>
      <c r="O851" s="9">
        <v>70</v>
      </c>
      <c r="P851" s="9">
        <v>30</v>
      </c>
      <c r="Q851" s="9">
        <v>40</v>
      </c>
      <c r="R851" s="23">
        <v>48</v>
      </c>
      <c r="S851" s="22"/>
      <c r="T851" s="8">
        <v>424</v>
      </c>
    </row>
    <row r="852" spans="5:20">
      <c r="E852" s="6" t="s">
        <v>51</v>
      </c>
      <c r="F852" s="6"/>
      <c r="G852" s="8" t="s">
        <v>52</v>
      </c>
      <c r="H852" s="9">
        <v>100</v>
      </c>
      <c r="I852" s="23">
        <v>100</v>
      </c>
      <c r="J852" s="24"/>
      <c r="K852" s="22"/>
      <c r="L852" s="23">
        <v>100</v>
      </c>
      <c r="M852" s="22"/>
      <c r="N852" s="9">
        <v>100</v>
      </c>
      <c r="O852" s="9">
        <v>100</v>
      </c>
      <c r="P852" s="9">
        <v>100</v>
      </c>
      <c r="Q852" s="9">
        <v>50</v>
      </c>
      <c r="R852" s="23">
        <v>50</v>
      </c>
      <c r="S852" s="22"/>
      <c r="T852" s="8">
        <v>700</v>
      </c>
    </row>
    <row r="853" spans="5:20">
      <c r="E853" s="21" t="s">
        <v>66</v>
      </c>
      <c r="F853" s="22"/>
      <c r="G853" s="8" t="s">
        <v>54</v>
      </c>
      <c r="H853" s="9"/>
      <c r="I853" s="23" t="s">
        <v>95</v>
      </c>
      <c r="J853" s="24"/>
      <c r="K853" s="22"/>
      <c r="L853" s="23" t="s">
        <v>147</v>
      </c>
      <c r="M853" s="22"/>
      <c r="N853" s="9" t="s">
        <v>76</v>
      </c>
      <c r="O853" s="9" t="s">
        <v>108</v>
      </c>
      <c r="P853" s="9"/>
      <c r="Q853" s="9" t="s">
        <v>95</v>
      </c>
      <c r="R853" s="23" t="s">
        <v>93</v>
      </c>
      <c r="S853" s="22"/>
      <c r="T853" s="8" t="s">
        <v>33</v>
      </c>
    </row>
    <row r="854" spans="5:20">
      <c r="E854" s="11" t="s">
        <v>56</v>
      </c>
      <c r="F854" s="11" t="s">
        <v>566</v>
      </c>
      <c r="G854" s="8" t="s">
        <v>58</v>
      </c>
      <c r="H854" s="9" t="s">
        <v>68</v>
      </c>
      <c r="I854" s="23" t="s">
        <v>59</v>
      </c>
      <c r="J854" s="24"/>
      <c r="K854" s="22"/>
      <c r="L854" s="23" t="s">
        <v>59</v>
      </c>
      <c r="M854" s="22"/>
      <c r="N854" s="9" t="s">
        <v>59</v>
      </c>
      <c r="O854" s="9" t="s">
        <v>59</v>
      </c>
      <c r="P854" s="9" t="s">
        <v>68</v>
      </c>
      <c r="Q854" s="9" t="s">
        <v>59</v>
      </c>
      <c r="R854" s="23" t="s">
        <v>59</v>
      </c>
      <c r="S854" s="22"/>
      <c r="T854" s="8" t="s">
        <v>33</v>
      </c>
    </row>
    <row r="855" spans="5:20">
      <c r="E855" s="12" t="s">
        <v>33</v>
      </c>
      <c r="F855" s="12" t="s">
        <v>33</v>
      </c>
      <c r="G855" s="12" t="s">
        <v>33</v>
      </c>
      <c r="H855" s="13" t="s">
        <v>33</v>
      </c>
      <c r="I855" s="20" t="s">
        <v>33</v>
      </c>
      <c r="J855" s="18"/>
      <c r="K855" s="18"/>
      <c r="L855" s="20" t="s">
        <v>33</v>
      </c>
      <c r="M855" s="18"/>
      <c r="N855" s="13" t="s">
        <v>33</v>
      </c>
      <c r="O855" s="13" t="s">
        <v>33</v>
      </c>
      <c r="P855" s="13" t="s">
        <v>33</v>
      </c>
      <c r="Q855" s="13" t="s">
        <v>33</v>
      </c>
      <c r="R855" s="20" t="s">
        <v>33</v>
      </c>
      <c r="S855" s="18"/>
      <c r="T855" s="13" t="s">
        <v>33</v>
      </c>
    </row>
    <row r="856" spans="5:20" ht="0.6" customHeight="1"/>
    <row r="857" spans="5:20">
      <c r="E857" s="31" t="s">
        <v>31</v>
      </c>
      <c r="F857" s="22"/>
      <c r="G857" s="3" t="s">
        <v>32</v>
      </c>
      <c r="H857" s="5" t="s">
        <v>33</v>
      </c>
      <c r="I857" s="32" t="s">
        <v>33</v>
      </c>
      <c r="J857" s="18"/>
      <c r="K857" s="18"/>
      <c r="L857" s="32" t="s">
        <v>33</v>
      </c>
      <c r="M857" s="18"/>
      <c r="N857" s="5" t="s">
        <v>33</v>
      </c>
      <c r="O857" s="5" t="s">
        <v>33</v>
      </c>
      <c r="P857" s="5" t="s">
        <v>33</v>
      </c>
      <c r="Q857" s="5" t="s">
        <v>33</v>
      </c>
      <c r="R857" s="32" t="s">
        <v>33</v>
      </c>
      <c r="S857" s="18"/>
      <c r="T857" s="5" t="s">
        <v>33</v>
      </c>
    </row>
    <row r="858" spans="5:20" ht="21">
      <c r="E858" s="21" t="s">
        <v>567</v>
      </c>
      <c r="F858" s="22"/>
      <c r="G858" s="7" t="s">
        <v>35</v>
      </c>
      <c r="H858" s="7" t="s">
        <v>5</v>
      </c>
      <c r="I858" s="30" t="s">
        <v>7</v>
      </c>
      <c r="J858" s="24"/>
      <c r="K858" s="22"/>
      <c r="L858" s="30" t="s">
        <v>9</v>
      </c>
      <c r="M858" s="22"/>
      <c r="N858" s="7" t="s">
        <v>11</v>
      </c>
      <c r="O858" s="7" t="s">
        <v>15</v>
      </c>
      <c r="P858" s="7" t="s">
        <v>17</v>
      </c>
      <c r="Q858" s="7" t="s">
        <v>19</v>
      </c>
      <c r="R858" s="30" t="s">
        <v>21</v>
      </c>
      <c r="S858" s="22"/>
      <c r="T858" s="7" t="s">
        <v>36</v>
      </c>
    </row>
    <row r="859" spans="5:20" ht="22.5">
      <c r="E859" s="6" t="s">
        <v>37</v>
      </c>
      <c r="F859" s="6" t="s">
        <v>568</v>
      </c>
      <c r="G859" s="8" t="s">
        <v>39</v>
      </c>
      <c r="H859" s="9" t="s">
        <v>338</v>
      </c>
      <c r="I859" s="23" t="s">
        <v>569</v>
      </c>
      <c r="J859" s="24"/>
      <c r="K859" s="22"/>
      <c r="L859" s="23" t="s">
        <v>186</v>
      </c>
      <c r="M859" s="22"/>
      <c r="N859" s="9" t="s">
        <v>570</v>
      </c>
      <c r="O859" s="9" t="s">
        <v>265</v>
      </c>
      <c r="P859" s="9" t="s">
        <v>358</v>
      </c>
      <c r="Q859" s="9" t="s">
        <v>43</v>
      </c>
      <c r="R859" s="23" t="s">
        <v>378</v>
      </c>
      <c r="S859" s="22"/>
      <c r="T859" s="8" t="s">
        <v>33</v>
      </c>
    </row>
    <row r="860" spans="5:20">
      <c r="E860" s="21" t="s">
        <v>402</v>
      </c>
      <c r="F860" s="25"/>
      <c r="G860" s="8" t="s">
        <v>42</v>
      </c>
      <c r="H860" s="9" t="s">
        <v>43</v>
      </c>
      <c r="I860" s="23" t="s">
        <v>43</v>
      </c>
      <c r="J860" s="24"/>
      <c r="K860" s="22"/>
      <c r="L860" s="23" t="s">
        <v>43</v>
      </c>
      <c r="M860" s="22"/>
      <c r="N860" s="9" t="s">
        <v>43</v>
      </c>
      <c r="O860" s="9" t="s">
        <v>43</v>
      </c>
      <c r="P860" s="9" t="s">
        <v>43</v>
      </c>
      <c r="Q860" s="9" t="s">
        <v>107</v>
      </c>
      <c r="R860" s="23" t="s">
        <v>43</v>
      </c>
      <c r="S860" s="22"/>
      <c r="T860" s="8" t="s">
        <v>33</v>
      </c>
    </row>
    <row r="861" spans="5:20">
      <c r="E861" s="26"/>
      <c r="F861" s="27"/>
      <c r="G861" s="8" t="s">
        <v>44</v>
      </c>
      <c r="H861" s="9" t="s">
        <v>33</v>
      </c>
      <c r="I861" s="23" t="s">
        <v>33</v>
      </c>
      <c r="J861" s="24"/>
      <c r="K861" s="22"/>
      <c r="L861" s="23" t="s">
        <v>33</v>
      </c>
      <c r="M861" s="22"/>
      <c r="N861" s="9" t="s">
        <v>33</v>
      </c>
      <c r="O861" s="9" t="s">
        <v>33</v>
      </c>
      <c r="P861" s="9" t="s">
        <v>33</v>
      </c>
      <c r="Q861" s="9" t="s">
        <v>33</v>
      </c>
      <c r="R861" s="23" t="s">
        <v>33</v>
      </c>
      <c r="S861" s="22"/>
      <c r="T861" s="8">
        <v>0</v>
      </c>
    </row>
    <row r="862" spans="5:20">
      <c r="E862" s="28"/>
      <c r="F862" s="29"/>
      <c r="G862" s="8" t="s">
        <v>45</v>
      </c>
      <c r="H862" s="9">
        <v>4</v>
      </c>
      <c r="I862" s="23">
        <v>4</v>
      </c>
      <c r="J862" s="24"/>
      <c r="K862" s="22"/>
      <c r="L862" s="23">
        <v>4</v>
      </c>
      <c r="M862" s="22"/>
      <c r="N862" s="9">
        <v>3</v>
      </c>
      <c r="O862" s="9">
        <v>3</v>
      </c>
      <c r="P862" s="9">
        <v>3</v>
      </c>
      <c r="Q862" s="9">
        <v>2</v>
      </c>
      <c r="R862" s="23">
        <v>2</v>
      </c>
      <c r="S862" s="22"/>
      <c r="T862" s="8">
        <v>25</v>
      </c>
    </row>
    <row r="863" spans="5:20">
      <c r="E863" s="6" t="s">
        <v>46</v>
      </c>
      <c r="F863" s="6">
        <v>6.14</v>
      </c>
      <c r="G863" s="8" t="s">
        <v>47</v>
      </c>
      <c r="H863" s="9">
        <v>5</v>
      </c>
      <c r="I863" s="23">
        <v>5.5</v>
      </c>
      <c r="J863" s="24"/>
      <c r="K863" s="22"/>
      <c r="L863" s="23">
        <v>8</v>
      </c>
      <c r="M863" s="22"/>
      <c r="N863" s="9">
        <v>6</v>
      </c>
      <c r="O863" s="9">
        <v>5</v>
      </c>
      <c r="P863" s="9">
        <v>4.5</v>
      </c>
      <c r="Q863" s="9">
        <v>10</v>
      </c>
      <c r="R863" s="23">
        <v>6.5</v>
      </c>
      <c r="S863" s="22"/>
      <c r="T863" s="8" t="s">
        <v>33</v>
      </c>
    </row>
    <row r="864" spans="5:20">
      <c r="E864" s="6" t="s">
        <v>48</v>
      </c>
      <c r="F864" s="10">
        <v>6.18</v>
      </c>
      <c r="G864" s="8" t="s">
        <v>49</v>
      </c>
      <c r="H864" s="9">
        <v>20</v>
      </c>
      <c r="I864" s="23">
        <v>22</v>
      </c>
      <c r="J864" s="24"/>
      <c r="K864" s="22"/>
      <c r="L864" s="23">
        <v>32</v>
      </c>
      <c r="M864" s="22"/>
      <c r="N864" s="9">
        <v>18</v>
      </c>
      <c r="O864" s="9">
        <v>15</v>
      </c>
      <c r="P864" s="9">
        <v>13.5</v>
      </c>
      <c r="Q864" s="9">
        <v>20</v>
      </c>
      <c r="R864" s="23">
        <v>13</v>
      </c>
      <c r="S864" s="22"/>
      <c r="T864" s="8">
        <v>153.5</v>
      </c>
    </row>
    <row r="865" spans="5:20">
      <c r="E865" s="21" t="s">
        <v>50</v>
      </c>
      <c r="F865" s="22"/>
      <c r="G865" s="8" t="s">
        <v>36</v>
      </c>
      <c r="H865" s="9">
        <v>46</v>
      </c>
      <c r="I865" s="23">
        <v>52</v>
      </c>
      <c r="J865" s="24"/>
      <c r="K865" s="22"/>
      <c r="L865" s="23">
        <v>77</v>
      </c>
      <c r="M865" s="22"/>
      <c r="N865" s="9">
        <v>57</v>
      </c>
      <c r="O865" s="9">
        <v>45</v>
      </c>
      <c r="P865" s="9">
        <v>40</v>
      </c>
      <c r="Q865" s="9">
        <v>48</v>
      </c>
      <c r="R865" s="23">
        <v>32</v>
      </c>
      <c r="S865" s="22"/>
      <c r="T865" s="8">
        <v>397</v>
      </c>
    </row>
    <row r="866" spans="5:20">
      <c r="E866" s="6" t="s">
        <v>51</v>
      </c>
      <c r="F866" s="6"/>
      <c r="G866" s="8" t="s">
        <v>52</v>
      </c>
      <c r="H866" s="9">
        <v>100</v>
      </c>
      <c r="I866" s="23">
        <v>100</v>
      </c>
      <c r="J866" s="24"/>
      <c r="K866" s="22"/>
      <c r="L866" s="23">
        <v>100</v>
      </c>
      <c r="M866" s="22"/>
      <c r="N866" s="9">
        <v>100</v>
      </c>
      <c r="O866" s="9">
        <v>100</v>
      </c>
      <c r="P866" s="9">
        <v>100</v>
      </c>
      <c r="Q866" s="9">
        <v>50</v>
      </c>
      <c r="R866" s="23">
        <v>50</v>
      </c>
      <c r="S866" s="22"/>
      <c r="T866" s="8">
        <v>700</v>
      </c>
    </row>
    <row r="867" spans="5:20">
      <c r="E867" s="21" t="s">
        <v>53</v>
      </c>
      <c r="F867" s="22"/>
      <c r="G867" s="8" t="s">
        <v>54</v>
      </c>
      <c r="H867" s="9" t="s">
        <v>55</v>
      </c>
      <c r="I867" s="23" t="s">
        <v>123</v>
      </c>
      <c r="J867" s="24"/>
      <c r="K867" s="22"/>
      <c r="L867" s="23" t="s">
        <v>135</v>
      </c>
      <c r="M867" s="22"/>
      <c r="N867" s="9" t="s">
        <v>147</v>
      </c>
      <c r="O867" s="9" t="s">
        <v>55</v>
      </c>
      <c r="P867" s="9" t="s">
        <v>75</v>
      </c>
      <c r="Q867" s="9" t="s">
        <v>93</v>
      </c>
      <c r="R867" s="23" t="s">
        <v>76</v>
      </c>
      <c r="S867" s="22"/>
      <c r="T867" s="8" t="s">
        <v>33</v>
      </c>
    </row>
    <row r="868" spans="5:20">
      <c r="E868" s="11" t="s">
        <v>56</v>
      </c>
      <c r="F868" s="11" t="s">
        <v>571</v>
      </c>
      <c r="G868" s="8" t="s">
        <v>58</v>
      </c>
      <c r="H868" s="9" t="s">
        <v>59</v>
      </c>
      <c r="I868" s="23" t="s">
        <v>59</v>
      </c>
      <c r="J868" s="24"/>
      <c r="K868" s="22"/>
      <c r="L868" s="23" t="s">
        <v>59</v>
      </c>
      <c r="M868" s="22"/>
      <c r="N868" s="9" t="s">
        <v>59</v>
      </c>
      <c r="O868" s="9" t="s">
        <v>59</v>
      </c>
      <c r="P868" s="9" t="s">
        <v>59</v>
      </c>
      <c r="Q868" s="9" t="s">
        <v>59</v>
      </c>
      <c r="R868" s="23" t="s">
        <v>59</v>
      </c>
      <c r="S868" s="22"/>
      <c r="T868" s="8" t="s">
        <v>33</v>
      </c>
    </row>
    <row r="869" spans="5:20">
      <c r="E869" s="12" t="s">
        <v>33</v>
      </c>
      <c r="F869" s="12" t="s">
        <v>33</v>
      </c>
      <c r="G869" s="12" t="s">
        <v>33</v>
      </c>
      <c r="H869" s="13" t="s">
        <v>33</v>
      </c>
      <c r="I869" s="20" t="s">
        <v>33</v>
      </c>
      <c r="J869" s="18"/>
      <c r="K869" s="18"/>
      <c r="L869" s="20" t="s">
        <v>33</v>
      </c>
      <c r="M869" s="18"/>
      <c r="N869" s="13" t="s">
        <v>33</v>
      </c>
      <c r="O869" s="13" t="s">
        <v>33</v>
      </c>
      <c r="P869" s="13" t="s">
        <v>33</v>
      </c>
      <c r="Q869" s="13" t="s">
        <v>33</v>
      </c>
      <c r="R869" s="20" t="s">
        <v>33</v>
      </c>
      <c r="S869" s="18"/>
      <c r="T869" s="13" t="s">
        <v>33</v>
      </c>
    </row>
    <row r="870" spans="5:20" ht="0" hidden="1" customHeight="1"/>
    <row r="871" spans="5:20" ht="0.6" customHeight="1"/>
    <row r="872" spans="5:20">
      <c r="E872" s="31" t="s">
        <v>31</v>
      </c>
      <c r="F872" s="22"/>
      <c r="G872" s="3" t="s">
        <v>32</v>
      </c>
      <c r="H872" s="5" t="s">
        <v>33</v>
      </c>
      <c r="I872" s="32" t="s">
        <v>33</v>
      </c>
      <c r="J872" s="18"/>
      <c r="K872" s="18"/>
      <c r="L872" s="32" t="s">
        <v>33</v>
      </c>
      <c r="M872" s="18"/>
      <c r="N872" s="5" t="s">
        <v>33</v>
      </c>
      <c r="O872" s="5" t="s">
        <v>33</v>
      </c>
      <c r="P872" s="5" t="s">
        <v>33</v>
      </c>
      <c r="Q872" s="5" t="s">
        <v>33</v>
      </c>
      <c r="R872" s="32" t="s">
        <v>33</v>
      </c>
      <c r="S872" s="18"/>
      <c r="T872" s="5" t="s">
        <v>33</v>
      </c>
    </row>
    <row r="873" spans="5:20" ht="21">
      <c r="E873" s="21" t="s">
        <v>572</v>
      </c>
      <c r="F873" s="22"/>
      <c r="G873" s="7" t="s">
        <v>35</v>
      </c>
      <c r="H873" s="7" t="s">
        <v>5</v>
      </c>
      <c r="I873" s="30" t="s">
        <v>7</v>
      </c>
      <c r="J873" s="24"/>
      <c r="K873" s="22"/>
      <c r="L873" s="30" t="s">
        <v>9</v>
      </c>
      <c r="M873" s="22"/>
      <c r="N873" s="7" t="s">
        <v>11</v>
      </c>
      <c r="O873" s="7" t="s">
        <v>15</v>
      </c>
      <c r="P873" s="7" t="s">
        <v>17</v>
      </c>
      <c r="Q873" s="7" t="s">
        <v>21</v>
      </c>
      <c r="R873" s="30" t="s">
        <v>23</v>
      </c>
      <c r="S873" s="22"/>
      <c r="T873" s="7" t="s">
        <v>36</v>
      </c>
    </row>
    <row r="874" spans="5:20" ht="22.5">
      <c r="E874" s="6" t="s">
        <v>37</v>
      </c>
      <c r="F874" s="6" t="s">
        <v>573</v>
      </c>
      <c r="G874" s="8" t="s">
        <v>39</v>
      </c>
      <c r="H874" s="9" t="s">
        <v>302</v>
      </c>
      <c r="I874" s="23" t="s">
        <v>274</v>
      </c>
      <c r="J874" s="24"/>
      <c r="K874" s="22"/>
      <c r="L874" s="23" t="s">
        <v>574</v>
      </c>
      <c r="M874" s="22"/>
      <c r="N874" s="9" t="s">
        <v>433</v>
      </c>
      <c r="O874" s="9" t="s">
        <v>165</v>
      </c>
      <c r="P874" s="9" t="s">
        <v>188</v>
      </c>
      <c r="Q874" s="9" t="s">
        <v>201</v>
      </c>
      <c r="R874" s="23" t="s">
        <v>43</v>
      </c>
      <c r="S874" s="22"/>
      <c r="T874" s="8" t="s">
        <v>33</v>
      </c>
    </row>
    <row r="875" spans="5:20">
      <c r="E875" s="21" t="s">
        <v>230</v>
      </c>
      <c r="F875" s="25"/>
      <c r="G875" s="8" t="s">
        <v>42</v>
      </c>
      <c r="H875" s="9" t="s">
        <v>43</v>
      </c>
      <c r="I875" s="23" t="s">
        <v>43</v>
      </c>
      <c r="J875" s="24"/>
      <c r="K875" s="22"/>
      <c r="L875" s="23" t="s">
        <v>43</v>
      </c>
      <c r="M875" s="22"/>
      <c r="N875" s="9" t="s">
        <v>43</v>
      </c>
      <c r="O875" s="9" t="s">
        <v>43</v>
      </c>
      <c r="P875" s="9" t="s">
        <v>43</v>
      </c>
      <c r="Q875" s="9" t="s">
        <v>43</v>
      </c>
      <c r="R875" s="23" t="s">
        <v>91</v>
      </c>
      <c r="S875" s="22"/>
      <c r="T875" s="8" t="s">
        <v>33</v>
      </c>
    </row>
    <row r="876" spans="5:20">
      <c r="E876" s="26"/>
      <c r="F876" s="27"/>
      <c r="G876" s="8" t="s">
        <v>44</v>
      </c>
      <c r="H876" s="9" t="s">
        <v>33</v>
      </c>
      <c r="I876" s="23" t="s">
        <v>33</v>
      </c>
      <c r="J876" s="24"/>
      <c r="K876" s="22"/>
      <c r="L876" s="23" t="s">
        <v>33</v>
      </c>
      <c r="M876" s="22"/>
      <c r="N876" s="9" t="s">
        <v>33</v>
      </c>
      <c r="O876" s="9" t="s">
        <v>33</v>
      </c>
      <c r="P876" s="9" t="s">
        <v>33</v>
      </c>
      <c r="Q876" s="9" t="s">
        <v>33</v>
      </c>
      <c r="R876" s="23" t="s">
        <v>33</v>
      </c>
      <c r="S876" s="22"/>
      <c r="T876" s="8">
        <v>0</v>
      </c>
    </row>
    <row r="877" spans="5:20">
      <c r="E877" s="28"/>
      <c r="F877" s="29"/>
      <c r="G877" s="8" t="s">
        <v>45</v>
      </c>
      <c r="H877" s="9">
        <v>4</v>
      </c>
      <c r="I877" s="23">
        <v>4</v>
      </c>
      <c r="J877" s="24"/>
      <c r="K877" s="22"/>
      <c r="L877" s="23">
        <v>4</v>
      </c>
      <c r="M877" s="22"/>
      <c r="N877" s="9">
        <v>3</v>
      </c>
      <c r="O877" s="9">
        <v>3</v>
      </c>
      <c r="P877" s="9">
        <v>3</v>
      </c>
      <c r="Q877" s="9">
        <v>2</v>
      </c>
      <c r="R877" s="23">
        <v>2</v>
      </c>
      <c r="S877" s="22"/>
      <c r="T877" s="8">
        <v>25</v>
      </c>
    </row>
    <row r="878" spans="5:20">
      <c r="E878" s="6" t="s">
        <v>46</v>
      </c>
      <c r="F878" s="6">
        <v>8.94</v>
      </c>
      <c r="G878" s="8" t="s">
        <v>47</v>
      </c>
      <c r="H878" s="9">
        <v>9</v>
      </c>
      <c r="I878" s="23">
        <v>8.5</v>
      </c>
      <c r="J878" s="24"/>
      <c r="K878" s="22"/>
      <c r="L878" s="23">
        <v>10</v>
      </c>
      <c r="M878" s="22"/>
      <c r="N878" s="9">
        <v>7.5</v>
      </c>
      <c r="O878" s="9">
        <v>10</v>
      </c>
      <c r="P878" s="9">
        <v>7</v>
      </c>
      <c r="Q878" s="9">
        <v>10</v>
      </c>
      <c r="R878" s="23">
        <v>10</v>
      </c>
      <c r="S878" s="22"/>
      <c r="T878" s="8" t="s">
        <v>33</v>
      </c>
    </row>
    <row r="879" spans="5:20">
      <c r="E879" s="6" t="s">
        <v>48</v>
      </c>
      <c r="F879" s="10">
        <v>9.01</v>
      </c>
      <c r="G879" s="8" t="s">
        <v>49</v>
      </c>
      <c r="H879" s="9">
        <v>36</v>
      </c>
      <c r="I879" s="23">
        <v>34</v>
      </c>
      <c r="J879" s="24"/>
      <c r="K879" s="22"/>
      <c r="L879" s="23">
        <v>40</v>
      </c>
      <c r="M879" s="22"/>
      <c r="N879" s="9">
        <v>22.5</v>
      </c>
      <c r="O879" s="9">
        <v>30</v>
      </c>
      <c r="P879" s="9">
        <v>21</v>
      </c>
      <c r="Q879" s="9">
        <v>20</v>
      </c>
      <c r="R879" s="23">
        <v>20</v>
      </c>
      <c r="S879" s="22"/>
      <c r="T879" s="8">
        <v>223.5</v>
      </c>
    </row>
    <row r="880" spans="5:20">
      <c r="E880" s="21" t="s">
        <v>50</v>
      </c>
      <c r="F880" s="22"/>
      <c r="G880" s="8" t="s">
        <v>36</v>
      </c>
      <c r="H880" s="9">
        <v>85</v>
      </c>
      <c r="I880" s="23">
        <v>84</v>
      </c>
      <c r="J880" s="24"/>
      <c r="K880" s="22"/>
      <c r="L880" s="23">
        <v>99</v>
      </c>
      <c r="M880" s="22"/>
      <c r="N880" s="9">
        <v>71</v>
      </c>
      <c r="O880" s="9">
        <v>97</v>
      </c>
      <c r="P880" s="9">
        <v>65</v>
      </c>
      <c r="Q880" s="9">
        <v>49</v>
      </c>
      <c r="R880" s="23">
        <v>50</v>
      </c>
      <c r="S880" s="22"/>
      <c r="T880" s="8">
        <v>600</v>
      </c>
    </row>
    <row r="881" spans="5:20">
      <c r="E881" s="6" t="s">
        <v>51</v>
      </c>
      <c r="F881" s="6"/>
      <c r="G881" s="8" t="s">
        <v>52</v>
      </c>
      <c r="H881" s="9">
        <v>100</v>
      </c>
      <c r="I881" s="23">
        <v>100</v>
      </c>
      <c r="J881" s="24"/>
      <c r="K881" s="22"/>
      <c r="L881" s="23">
        <v>100</v>
      </c>
      <c r="M881" s="22"/>
      <c r="N881" s="9">
        <v>100</v>
      </c>
      <c r="O881" s="9">
        <v>100</v>
      </c>
      <c r="P881" s="9">
        <v>100</v>
      </c>
      <c r="Q881" s="9">
        <v>50</v>
      </c>
      <c r="R881" s="23">
        <v>50</v>
      </c>
      <c r="S881" s="22"/>
      <c r="T881" s="8">
        <v>700</v>
      </c>
    </row>
    <row r="882" spans="5:20">
      <c r="E882" s="21" t="s">
        <v>170</v>
      </c>
      <c r="F882" s="22"/>
      <c r="G882" s="8" t="s">
        <v>54</v>
      </c>
      <c r="H882" s="9" t="s">
        <v>122</v>
      </c>
      <c r="I882" s="23" t="s">
        <v>95</v>
      </c>
      <c r="J882" s="24"/>
      <c r="K882" s="22"/>
      <c r="L882" s="23" t="s">
        <v>93</v>
      </c>
      <c r="M882" s="22"/>
      <c r="N882" s="9" t="s">
        <v>108</v>
      </c>
      <c r="O882" s="9" t="s">
        <v>93</v>
      </c>
      <c r="P882" s="9" t="s">
        <v>109</v>
      </c>
      <c r="Q882" s="9" t="s">
        <v>93</v>
      </c>
      <c r="R882" s="23" t="s">
        <v>93</v>
      </c>
      <c r="S882" s="22"/>
      <c r="T882" s="8" t="s">
        <v>33</v>
      </c>
    </row>
    <row r="883" spans="5:20">
      <c r="E883" s="11" t="s">
        <v>56</v>
      </c>
      <c r="F883" s="11" t="s">
        <v>575</v>
      </c>
      <c r="G883" s="8" t="s">
        <v>58</v>
      </c>
      <c r="H883" s="9" t="s">
        <v>59</v>
      </c>
      <c r="I883" s="23" t="s">
        <v>59</v>
      </c>
      <c r="J883" s="24"/>
      <c r="K883" s="22"/>
      <c r="L883" s="23" t="s">
        <v>59</v>
      </c>
      <c r="M883" s="22"/>
      <c r="N883" s="9" t="s">
        <v>59</v>
      </c>
      <c r="O883" s="9" t="s">
        <v>59</v>
      </c>
      <c r="P883" s="9" t="s">
        <v>59</v>
      </c>
      <c r="Q883" s="9" t="s">
        <v>59</v>
      </c>
      <c r="R883" s="23" t="s">
        <v>59</v>
      </c>
      <c r="S883" s="22"/>
      <c r="T883" s="8" t="s">
        <v>33</v>
      </c>
    </row>
    <row r="884" spans="5:20">
      <c r="E884" s="12" t="s">
        <v>33</v>
      </c>
      <c r="F884" s="12" t="s">
        <v>33</v>
      </c>
      <c r="G884" s="12" t="s">
        <v>33</v>
      </c>
      <c r="H884" s="13" t="s">
        <v>33</v>
      </c>
      <c r="I884" s="20" t="s">
        <v>33</v>
      </c>
      <c r="J884" s="18"/>
      <c r="K884" s="18"/>
      <c r="L884" s="20" t="s">
        <v>33</v>
      </c>
      <c r="M884" s="18"/>
      <c r="N884" s="13" t="s">
        <v>33</v>
      </c>
      <c r="O884" s="13" t="s">
        <v>33</v>
      </c>
      <c r="P884" s="13" t="s">
        <v>33</v>
      </c>
      <c r="Q884" s="13" t="s">
        <v>33</v>
      </c>
      <c r="R884" s="20" t="s">
        <v>33</v>
      </c>
      <c r="S884" s="18"/>
      <c r="T884" s="13" t="s">
        <v>33</v>
      </c>
    </row>
    <row r="885" spans="5:20" ht="0" hidden="1" customHeight="1"/>
    <row r="886" spans="5:20" ht="0.6" customHeight="1"/>
    <row r="887" spans="5:20">
      <c r="E887" s="31" t="s">
        <v>31</v>
      </c>
      <c r="F887" s="22"/>
      <c r="G887" s="3" t="s">
        <v>32</v>
      </c>
      <c r="H887" s="5" t="s">
        <v>33</v>
      </c>
      <c r="I887" s="32" t="s">
        <v>33</v>
      </c>
      <c r="J887" s="18"/>
      <c r="K887" s="18"/>
      <c r="L887" s="32" t="s">
        <v>33</v>
      </c>
      <c r="M887" s="18"/>
      <c r="N887" s="5" t="s">
        <v>33</v>
      </c>
      <c r="O887" s="5" t="s">
        <v>33</v>
      </c>
      <c r="P887" s="5" t="s">
        <v>33</v>
      </c>
      <c r="Q887" s="5" t="s">
        <v>33</v>
      </c>
      <c r="R887" s="32" t="s">
        <v>33</v>
      </c>
      <c r="S887" s="18"/>
      <c r="T887" s="5" t="s">
        <v>33</v>
      </c>
    </row>
    <row r="888" spans="5:20" ht="21">
      <c r="E888" s="21" t="s">
        <v>576</v>
      </c>
      <c r="F888" s="22"/>
      <c r="G888" s="7" t="s">
        <v>35</v>
      </c>
      <c r="H888" s="7" t="s">
        <v>5</v>
      </c>
      <c r="I888" s="30" t="s">
        <v>7</v>
      </c>
      <c r="J888" s="24"/>
      <c r="K888" s="22"/>
      <c r="L888" s="30" t="s">
        <v>9</v>
      </c>
      <c r="M888" s="22"/>
      <c r="N888" s="7" t="s">
        <v>11</v>
      </c>
      <c r="O888" s="7" t="s">
        <v>15</v>
      </c>
      <c r="P888" s="7" t="s">
        <v>17</v>
      </c>
      <c r="Q888" s="7" t="s">
        <v>21</v>
      </c>
      <c r="R888" s="30" t="s">
        <v>27</v>
      </c>
      <c r="S888" s="22"/>
      <c r="T888" s="7" t="s">
        <v>36</v>
      </c>
    </row>
    <row r="889" spans="5:20" ht="22.5">
      <c r="E889" s="6" t="s">
        <v>37</v>
      </c>
      <c r="F889" s="6" t="s">
        <v>577</v>
      </c>
      <c r="G889" s="8" t="s">
        <v>39</v>
      </c>
      <c r="H889" s="9" t="s">
        <v>88</v>
      </c>
      <c r="I889" s="23" t="s">
        <v>578</v>
      </c>
      <c r="J889" s="24"/>
      <c r="K889" s="22"/>
      <c r="L889" s="23" t="s">
        <v>88</v>
      </c>
      <c r="M889" s="22"/>
      <c r="N889" s="9" t="s">
        <v>579</v>
      </c>
      <c r="O889" s="9" t="s">
        <v>85</v>
      </c>
      <c r="P889" s="9" t="s">
        <v>273</v>
      </c>
      <c r="Q889" s="9" t="s">
        <v>201</v>
      </c>
      <c r="R889" s="23" t="s">
        <v>43</v>
      </c>
      <c r="S889" s="22"/>
      <c r="T889" s="8" t="s">
        <v>33</v>
      </c>
    </row>
    <row r="890" spans="5:20">
      <c r="E890" s="21" t="s">
        <v>580</v>
      </c>
      <c r="F890" s="25"/>
      <c r="G890" s="8" t="s">
        <v>42</v>
      </c>
      <c r="H890" s="9" t="s">
        <v>43</v>
      </c>
      <c r="I890" s="23" t="s">
        <v>43</v>
      </c>
      <c r="J890" s="24"/>
      <c r="K890" s="22"/>
      <c r="L890" s="23" t="s">
        <v>43</v>
      </c>
      <c r="M890" s="22"/>
      <c r="N890" s="9" t="s">
        <v>43</v>
      </c>
      <c r="O890" s="9" t="s">
        <v>43</v>
      </c>
      <c r="P890" s="9" t="s">
        <v>43</v>
      </c>
      <c r="Q890" s="9" t="s">
        <v>43</v>
      </c>
      <c r="R890" s="23" t="s">
        <v>91</v>
      </c>
      <c r="S890" s="22"/>
      <c r="T890" s="8" t="s">
        <v>33</v>
      </c>
    </row>
    <row r="891" spans="5:20">
      <c r="E891" s="26"/>
      <c r="F891" s="27"/>
      <c r="G891" s="8" t="s">
        <v>44</v>
      </c>
      <c r="H891" s="9" t="s">
        <v>33</v>
      </c>
      <c r="I891" s="23" t="s">
        <v>33</v>
      </c>
      <c r="J891" s="24"/>
      <c r="K891" s="22"/>
      <c r="L891" s="23" t="s">
        <v>33</v>
      </c>
      <c r="M891" s="22"/>
      <c r="N891" s="9" t="s">
        <v>33</v>
      </c>
      <c r="O891" s="9" t="s">
        <v>33</v>
      </c>
      <c r="P891" s="9" t="s">
        <v>33</v>
      </c>
      <c r="Q891" s="9" t="s">
        <v>33</v>
      </c>
      <c r="R891" s="23" t="s">
        <v>33</v>
      </c>
      <c r="S891" s="22"/>
      <c r="T891" s="8">
        <v>0</v>
      </c>
    </row>
    <row r="892" spans="5:20">
      <c r="E892" s="28"/>
      <c r="F892" s="29"/>
      <c r="G892" s="8" t="s">
        <v>45</v>
      </c>
      <c r="H892" s="9">
        <v>4</v>
      </c>
      <c r="I892" s="23">
        <v>4</v>
      </c>
      <c r="J892" s="24"/>
      <c r="K892" s="22"/>
      <c r="L892" s="23">
        <v>4</v>
      </c>
      <c r="M892" s="22"/>
      <c r="N892" s="9">
        <v>3</v>
      </c>
      <c r="O892" s="9">
        <v>3</v>
      </c>
      <c r="P892" s="9">
        <v>3</v>
      </c>
      <c r="Q892" s="9">
        <v>2</v>
      </c>
      <c r="R892" s="23">
        <v>2</v>
      </c>
      <c r="S892" s="22"/>
      <c r="T892" s="8">
        <v>25</v>
      </c>
    </row>
    <row r="893" spans="5:20">
      <c r="E893" s="6" t="s">
        <v>46</v>
      </c>
      <c r="F893" s="6">
        <v>9.68</v>
      </c>
      <c r="G893" s="8" t="s">
        <v>47</v>
      </c>
      <c r="H893" s="9">
        <v>10</v>
      </c>
      <c r="I893" s="23">
        <v>9.5</v>
      </c>
      <c r="J893" s="24"/>
      <c r="K893" s="22"/>
      <c r="L893" s="23">
        <v>10</v>
      </c>
      <c r="M893" s="22"/>
      <c r="N893" s="9">
        <v>8.5</v>
      </c>
      <c r="O893" s="9">
        <v>10</v>
      </c>
      <c r="P893" s="9">
        <v>9.5</v>
      </c>
      <c r="Q893" s="9">
        <v>10</v>
      </c>
      <c r="R893" s="23">
        <v>10</v>
      </c>
      <c r="S893" s="22"/>
      <c r="T893" s="8" t="s">
        <v>33</v>
      </c>
    </row>
    <row r="894" spans="5:20">
      <c r="E894" s="6" t="s">
        <v>48</v>
      </c>
      <c r="F894" s="10">
        <v>9.52</v>
      </c>
      <c r="G894" s="8" t="s">
        <v>49</v>
      </c>
      <c r="H894" s="9">
        <v>40</v>
      </c>
      <c r="I894" s="23">
        <v>38</v>
      </c>
      <c r="J894" s="24"/>
      <c r="K894" s="22"/>
      <c r="L894" s="23">
        <v>40</v>
      </c>
      <c r="M894" s="22"/>
      <c r="N894" s="9">
        <v>25.5</v>
      </c>
      <c r="O894" s="9">
        <v>30</v>
      </c>
      <c r="P894" s="9">
        <v>28.5</v>
      </c>
      <c r="Q894" s="9">
        <v>20</v>
      </c>
      <c r="R894" s="23">
        <v>20</v>
      </c>
      <c r="S894" s="22"/>
      <c r="T894" s="8">
        <v>242</v>
      </c>
    </row>
    <row r="895" spans="5:20">
      <c r="E895" s="21" t="s">
        <v>50</v>
      </c>
      <c r="F895" s="22"/>
      <c r="G895" s="8" t="s">
        <v>36</v>
      </c>
      <c r="H895" s="9">
        <v>100</v>
      </c>
      <c r="I895" s="23">
        <v>90</v>
      </c>
      <c r="J895" s="24"/>
      <c r="K895" s="22"/>
      <c r="L895" s="23">
        <v>100</v>
      </c>
      <c r="M895" s="22"/>
      <c r="N895" s="9">
        <v>80</v>
      </c>
      <c r="O895" s="9">
        <v>99</v>
      </c>
      <c r="P895" s="9">
        <v>93</v>
      </c>
      <c r="Q895" s="9">
        <v>49</v>
      </c>
      <c r="R895" s="23">
        <v>50</v>
      </c>
      <c r="S895" s="22"/>
      <c r="T895" s="8">
        <v>661</v>
      </c>
    </row>
    <row r="896" spans="5:20">
      <c r="E896" s="6" t="s">
        <v>51</v>
      </c>
      <c r="F896" s="6"/>
      <c r="G896" s="8" t="s">
        <v>52</v>
      </c>
      <c r="H896" s="9">
        <v>100</v>
      </c>
      <c r="I896" s="23">
        <v>100</v>
      </c>
      <c r="J896" s="24"/>
      <c r="K896" s="22"/>
      <c r="L896" s="23">
        <v>100</v>
      </c>
      <c r="M896" s="22"/>
      <c r="N896" s="9">
        <v>100</v>
      </c>
      <c r="O896" s="9">
        <v>100</v>
      </c>
      <c r="P896" s="9">
        <v>100</v>
      </c>
      <c r="Q896" s="9">
        <v>50</v>
      </c>
      <c r="R896" s="23">
        <v>50</v>
      </c>
      <c r="S896" s="22"/>
      <c r="T896" s="8">
        <v>700</v>
      </c>
    </row>
    <row r="897" spans="5:20">
      <c r="E897" s="21" t="s">
        <v>92</v>
      </c>
      <c r="F897" s="22"/>
      <c r="G897" s="8" t="s">
        <v>54</v>
      </c>
      <c r="H897" s="9" t="s">
        <v>93</v>
      </c>
      <c r="I897" s="23" t="s">
        <v>94</v>
      </c>
      <c r="J897" s="24"/>
      <c r="K897" s="22"/>
      <c r="L897" s="23" t="s">
        <v>93</v>
      </c>
      <c r="M897" s="22"/>
      <c r="N897" s="9" t="s">
        <v>95</v>
      </c>
      <c r="O897" s="9" t="s">
        <v>93</v>
      </c>
      <c r="P897" s="9" t="s">
        <v>94</v>
      </c>
      <c r="Q897" s="9" t="s">
        <v>93</v>
      </c>
      <c r="R897" s="23" t="s">
        <v>93</v>
      </c>
      <c r="S897" s="22"/>
      <c r="T897" s="8" t="s">
        <v>33</v>
      </c>
    </row>
    <row r="898" spans="5:20">
      <c r="E898" s="11" t="s">
        <v>56</v>
      </c>
      <c r="F898" s="11" t="s">
        <v>581</v>
      </c>
      <c r="G898" s="8" t="s">
        <v>58</v>
      </c>
      <c r="H898" s="9" t="s">
        <v>59</v>
      </c>
      <c r="I898" s="23" t="s">
        <v>59</v>
      </c>
      <c r="J898" s="24"/>
      <c r="K898" s="22"/>
      <c r="L898" s="23" t="s">
        <v>59</v>
      </c>
      <c r="M898" s="22"/>
      <c r="N898" s="9" t="s">
        <v>59</v>
      </c>
      <c r="O898" s="9" t="s">
        <v>59</v>
      </c>
      <c r="P898" s="9" t="s">
        <v>59</v>
      </c>
      <c r="Q898" s="9" t="s">
        <v>59</v>
      </c>
      <c r="R898" s="23" t="s">
        <v>59</v>
      </c>
      <c r="S898" s="22"/>
      <c r="T898" s="8" t="s">
        <v>33</v>
      </c>
    </row>
    <row r="899" spans="5:20">
      <c r="E899" s="12" t="s">
        <v>33</v>
      </c>
      <c r="F899" s="12" t="s">
        <v>33</v>
      </c>
      <c r="G899" s="12" t="s">
        <v>33</v>
      </c>
      <c r="H899" s="13" t="s">
        <v>33</v>
      </c>
      <c r="I899" s="20" t="s">
        <v>33</v>
      </c>
      <c r="J899" s="18"/>
      <c r="K899" s="18"/>
      <c r="L899" s="20" t="s">
        <v>33</v>
      </c>
      <c r="M899" s="18"/>
      <c r="N899" s="13" t="s">
        <v>33</v>
      </c>
      <c r="O899" s="13" t="s">
        <v>33</v>
      </c>
      <c r="P899" s="13" t="s">
        <v>33</v>
      </c>
      <c r="Q899" s="13" t="s">
        <v>33</v>
      </c>
      <c r="R899" s="20" t="s">
        <v>33</v>
      </c>
      <c r="S899" s="18"/>
      <c r="T899" s="13" t="s">
        <v>33</v>
      </c>
    </row>
    <row r="900" spans="5:20" ht="0" hidden="1" customHeight="1"/>
    <row r="901" spans="5:20" ht="0.6" customHeight="1"/>
    <row r="902" spans="5:20">
      <c r="E902" s="31" t="s">
        <v>31</v>
      </c>
      <c r="F902" s="22"/>
      <c r="G902" s="3" t="s">
        <v>32</v>
      </c>
      <c r="H902" s="5" t="s">
        <v>33</v>
      </c>
      <c r="I902" s="32" t="s">
        <v>33</v>
      </c>
      <c r="J902" s="18"/>
      <c r="K902" s="18"/>
      <c r="L902" s="32" t="s">
        <v>33</v>
      </c>
      <c r="M902" s="18"/>
      <c r="N902" s="5" t="s">
        <v>33</v>
      </c>
      <c r="O902" s="5" t="s">
        <v>33</v>
      </c>
      <c r="P902" s="5" t="s">
        <v>33</v>
      </c>
      <c r="Q902" s="5" t="s">
        <v>33</v>
      </c>
      <c r="R902" s="32" t="s">
        <v>33</v>
      </c>
      <c r="S902" s="18"/>
      <c r="T902" s="5" t="s">
        <v>33</v>
      </c>
    </row>
    <row r="903" spans="5:20" ht="21">
      <c r="E903" s="21" t="s">
        <v>582</v>
      </c>
      <c r="F903" s="22"/>
      <c r="G903" s="7" t="s">
        <v>35</v>
      </c>
      <c r="H903" s="7" t="s">
        <v>5</v>
      </c>
      <c r="I903" s="30" t="s">
        <v>7</v>
      </c>
      <c r="J903" s="24"/>
      <c r="K903" s="22"/>
      <c r="L903" s="30" t="s">
        <v>9</v>
      </c>
      <c r="M903" s="22"/>
      <c r="N903" s="7" t="s">
        <v>11</v>
      </c>
      <c r="O903" s="7" t="s">
        <v>15</v>
      </c>
      <c r="P903" s="7" t="s">
        <v>17</v>
      </c>
      <c r="Q903" s="7" t="s">
        <v>21</v>
      </c>
      <c r="R903" s="30" t="s">
        <v>27</v>
      </c>
      <c r="S903" s="22"/>
      <c r="T903" s="7" t="s">
        <v>36</v>
      </c>
    </row>
    <row r="904" spans="5:20" ht="22.5">
      <c r="E904" s="6" t="s">
        <v>37</v>
      </c>
      <c r="F904" s="6" t="s">
        <v>583</v>
      </c>
      <c r="G904" s="8" t="s">
        <v>39</v>
      </c>
      <c r="H904" s="9" t="s">
        <v>86</v>
      </c>
      <c r="I904" s="23" t="s">
        <v>474</v>
      </c>
      <c r="J904" s="24"/>
      <c r="K904" s="22"/>
      <c r="L904" s="23" t="s">
        <v>88</v>
      </c>
      <c r="M904" s="22"/>
      <c r="N904" s="9" t="s">
        <v>584</v>
      </c>
      <c r="O904" s="9" t="s">
        <v>187</v>
      </c>
      <c r="P904" s="9" t="s">
        <v>88</v>
      </c>
      <c r="Q904" s="9" t="s">
        <v>89</v>
      </c>
      <c r="R904" s="23" t="s">
        <v>43</v>
      </c>
      <c r="S904" s="22"/>
      <c r="T904" s="8" t="s">
        <v>33</v>
      </c>
    </row>
    <row r="905" spans="5:20">
      <c r="E905" s="21" t="s">
        <v>585</v>
      </c>
      <c r="F905" s="25"/>
      <c r="G905" s="8" t="s">
        <v>42</v>
      </c>
      <c r="H905" s="9" t="s">
        <v>43</v>
      </c>
      <c r="I905" s="23" t="s">
        <v>43</v>
      </c>
      <c r="J905" s="24"/>
      <c r="K905" s="22"/>
      <c r="L905" s="23" t="s">
        <v>43</v>
      </c>
      <c r="M905" s="22"/>
      <c r="N905" s="9" t="s">
        <v>43</v>
      </c>
      <c r="O905" s="9" t="s">
        <v>43</v>
      </c>
      <c r="P905" s="9" t="s">
        <v>43</v>
      </c>
      <c r="Q905" s="9" t="s">
        <v>43</v>
      </c>
      <c r="R905" s="23" t="s">
        <v>91</v>
      </c>
      <c r="S905" s="22"/>
      <c r="T905" s="8" t="s">
        <v>33</v>
      </c>
    </row>
    <row r="906" spans="5:20">
      <c r="E906" s="26"/>
      <c r="F906" s="27"/>
      <c r="G906" s="8" t="s">
        <v>44</v>
      </c>
      <c r="H906" s="9" t="s">
        <v>33</v>
      </c>
      <c r="I906" s="23" t="s">
        <v>33</v>
      </c>
      <c r="J906" s="24"/>
      <c r="K906" s="22"/>
      <c r="L906" s="23" t="s">
        <v>33</v>
      </c>
      <c r="M906" s="22"/>
      <c r="N906" s="9" t="s">
        <v>33</v>
      </c>
      <c r="O906" s="9" t="s">
        <v>33</v>
      </c>
      <c r="P906" s="9" t="s">
        <v>33</v>
      </c>
      <c r="Q906" s="9" t="s">
        <v>33</v>
      </c>
      <c r="R906" s="23" t="s">
        <v>33</v>
      </c>
      <c r="S906" s="22"/>
      <c r="T906" s="8">
        <v>0</v>
      </c>
    </row>
    <row r="907" spans="5:20">
      <c r="E907" s="28"/>
      <c r="F907" s="29"/>
      <c r="G907" s="8" t="s">
        <v>45</v>
      </c>
      <c r="H907" s="9">
        <v>4</v>
      </c>
      <c r="I907" s="23">
        <v>4</v>
      </c>
      <c r="J907" s="24"/>
      <c r="K907" s="22"/>
      <c r="L907" s="23">
        <v>4</v>
      </c>
      <c r="M907" s="22"/>
      <c r="N907" s="9">
        <v>3</v>
      </c>
      <c r="O907" s="9">
        <v>3</v>
      </c>
      <c r="P907" s="9">
        <v>3</v>
      </c>
      <c r="Q907" s="9">
        <v>2</v>
      </c>
      <c r="R907" s="23">
        <v>2</v>
      </c>
      <c r="S907" s="22"/>
      <c r="T907" s="8">
        <v>25</v>
      </c>
    </row>
    <row r="908" spans="5:20">
      <c r="E908" s="6" t="s">
        <v>46</v>
      </c>
      <c r="F908" s="6">
        <v>9.58</v>
      </c>
      <c r="G908" s="8" t="s">
        <v>47</v>
      </c>
      <c r="H908" s="9">
        <v>9.5</v>
      </c>
      <c r="I908" s="23">
        <v>9</v>
      </c>
      <c r="J908" s="24"/>
      <c r="K908" s="22"/>
      <c r="L908" s="23">
        <v>10</v>
      </c>
      <c r="M908" s="22"/>
      <c r="N908" s="9">
        <v>8.5</v>
      </c>
      <c r="O908" s="9">
        <v>10</v>
      </c>
      <c r="P908" s="9">
        <v>10</v>
      </c>
      <c r="Q908" s="9">
        <v>10</v>
      </c>
      <c r="R908" s="23">
        <v>10</v>
      </c>
      <c r="S908" s="22"/>
      <c r="T908" s="8" t="s">
        <v>33</v>
      </c>
    </row>
    <row r="909" spans="5:20">
      <c r="E909" s="6" t="s">
        <v>48</v>
      </c>
      <c r="F909" s="10">
        <v>9.5299999999999994</v>
      </c>
      <c r="G909" s="8" t="s">
        <v>49</v>
      </c>
      <c r="H909" s="9">
        <v>38</v>
      </c>
      <c r="I909" s="23">
        <v>36</v>
      </c>
      <c r="J909" s="24"/>
      <c r="K909" s="22"/>
      <c r="L909" s="23">
        <v>40</v>
      </c>
      <c r="M909" s="22"/>
      <c r="N909" s="9">
        <v>25.5</v>
      </c>
      <c r="O909" s="9">
        <v>30</v>
      </c>
      <c r="P909" s="9">
        <v>30</v>
      </c>
      <c r="Q909" s="9">
        <v>20</v>
      </c>
      <c r="R909" s="23">
        <v>20</v>
      </c>
      <c r="S909" s="22"/>
      <c r="T909" s="8">
        <v>239.5</v>
      </c>
    </row>
    <row r="910" spans="5:20">
      <c r="E910" s="21" t="s">
        <v>50</v>
      </c>
      <c r="F910" s="22"/>
      <c r="G910" s="8" t="s">
        <v>36</v>
      </c>
      <c r="H910" s="9">
        <v>94</v>
      </c>
      <c r="I910" s="23">
        <v>86</v>
      </c>
      <c r="J910" s="24"/>
      <c r="K910" s="22"/>
      <c r="L910" s="23">
        <v>100</v>
      </c>
      <c r="M910" s="22"/>
      <c r="N910" s="9">
        <v>83</v>
      </c>
      <c r="O910" s="9">
        <v>98</v>
      </c>
      <c r="P910" s="9">
        <v>100</v>
      </c>
      <c r="Q910" s="9">
        <v>50</v>
      </c>
      <c r="R910" s="23">
        <v>50</v>
      </c>
      <c r="S910" s="22"/>
      <c r="T910" s="8">
        <v>661</v>
      </c>
    </row>
    <row r="911" spans="5:20">
      <c r="E911" s="6" t="s">
        <v>51</v>
      </c>
      <c r="F911" s="6"/>
      <c r="G911" s="8" t="s">
        <v>52</v>
      </c>
      <c r="H911" s="9">
        <v>100</v>
      </c>
      <c r="I911" s="23">
        <v>100</v>
      </c>
      <c r="J911" s="24"/>
      <c r="K911" s="22"/>
      <c r="L911" s="23">
        <v>100</v>
      </c>
      <c r="M911" s="22"/>
      <c r="N911" s="9">
        <v>100</v>
      </c>
      <c r="O911" s="9">
        <v>100</v>
      </c>
      <c r="P911" s="9">
        <v>100</v>
      </c>
      <c r="Q911" s="9">
        <v>50</v>
      </c>
      <c r="R911" s="23">
        <v>50</v>
      </c>
      <c r="S911" s="22"/>
      <c r="T911" s="8">
        <v>700</v>
      </c>
    </row>
    <row r="912" spans="5:20">
      <c r="E912" s="21" t="s">
        <v>92</v>
      </c>
      <c r="F912" s="22"/>
      <c r="G912" s="8" t="s">
        <v>54</v>
      </c>
      <c r="H912" s="9" t="s">
        <v>94</v>
      </c>
      <c r="I912" s="23" t="s">
        <v>122</v>
      </c>
      <c r="J912" s="24"/>
      <c r="K912" s="22"/>
      <c r="L912" s="23" t="s">
        <v>93</v>
      </c>
      <c r="M912" s="22"/>
      <c r="N912" s="9" t="s">
        <v>95</v>
      </c>
      <c r="O912" s="9" t="s">
        <v>93</v>
      </c>
      <c r="P912" s="9" t="s">
        <v>93</v>
      </c>
      <c r="Q912" s="9" t="s">
        <v>93</v>
      </c>
      <c r="R912" s="23" t="s">
        <v>93</v>
      </c>
      <c r="S912" s="22"/>
      <c r="T912" s="8" t="s">
        <v>33</v>
      </c>
    </row>
    <row r="913" spans="5:20">
      <c r="E913" s="11" t="s">
        <v>56</v>
      </c>
      <c r="F913" s="11" t="s">
        <v>586</v>
      </c>
      <c r="G913" s="8" t="s">
        <v>58</v>
      </c>
      <c r="H913" s="9" t="s">
        <v>59</v>
      </c>
      <c r="I913" s="23" t="s">
        <v>59</v>
      </c>
      <c r="J913" s="24"/>
      <c r="K913" s="22"/>
      <c r="L913" s="23" t="s">
        <v>59</v>
      </c>
      <c r="M913" s="22"/>
      <c r="N913" s="9" t="s">
        <v>59</v>
      </c>
      <c r="O913" s="9" t="s">
        <v>59</v>
      </c>
      <c r="P913" s="9" t="s">
        <v>59</v>
      </c>
      <c r="Q913" s="9" t="s">
        <v>59</v>
      </c>
      <c r="R913" s="23" t="s">
        <v>59</v>
      </c>
      <c r="S913" s="22"/>
      <c r="T913" s="8" t="s">
        <v>33</v>
      </c>
    </row>
    <row r="914" spans="5:20">
      <c r="E914" s="12" t="s">
        <v>33</v>
      </c>
      <c r="F914" s="12" t="s">
        <v>33</v>
      </c>
      <c r="G914" s="12" t="s">
        <v>33</v>
      </c>
      <c r="H914" s="13" t="s">
        <v>33</v>
      </c>
      <c r="I914" s="20" t="s">
        <v>33</v>
      </c>
      <c r="J914" s="18"/>
      <c r="K914" s="18"/>
      <c r="L914" s="20" t="s">
        <v>33</v>
      </c>
      <c r="M914" s="18"/>
      <c r="N914" s="13" t="s">
        <v>33</v>
      </c>
      <c r="O914" s="13" t="s">
        <v>33</v>
      </c>
      <c r="P914" s="13" t="s">
        <v>33</v>
      </c>
      <c r="Q914" s="13" t="s">
        <v>33</v>
      </c>
      <c r="R914" s="20" t="s">
        <v>33</v>
      </c>
      <c r="S914" s="18"/>
      <c r="T914" s="13" t="s">
        <v>33</v>
      </c>
    </row>
    <row r="915" spans="5:20" ht="0" hidden="1" customHeight="1"/>
    <row r="916" spans="5:20" ht="0.6" customHeight="1"/>
    <row r="917" spans="5:20">
      <c r="E917" s="31" t="s">
        <v>31</v>
      </c>
      <c r="F917" s="22"/>
      <c r="G917" s="3" t="s">
        <v>32</v>
      </c>
      <c r="H917" s="5" t="s">
        <v>33</v>
      </c>
      <c r="I917" s="32" t="s">
        <v>33</v>
      </c>
      <c r="J917" s="18"/>
      <c r="K917" s="18"/>
      <c r="L917" s="32" t="s">
        <v>33</v>
      </c>
      <c r="M917" s="18"/>
      <c r="N917" s="5" t="s">
        <v>33</v>
      </c>
      <c r="O917" s="5" t="s">
        <v>33</v>
      </c>
      <c r="P917" s="5" t="s">
        <v>33</v>
      </c>
      <c r="Q917" s="5" t="s">
        <v>33</v>
      </c>
      <c r="R917" s="32" t="s">
        <v>33</v>
      </c>
      <c r="S917" s="18"/>
      <c r="T917" s="5" t="s">
        <v>33</v>
      </c>
    </row>
    <row r="918" spans="5:20" ht="21">
      <c r="E918" s="21" t="s">
        <v>587</v>
      </c>
      <c r="F918" s="22"/>
      <c r="G918" s="7" t="s">
        <v>35</v>
      </c>
      <c r="H918" s="7" t="s">
        <v>5</v>
      </c>
      <c r="I918" s="30" t="s">
        <v>7</v>
      </c>
      <c r="J918" s="24"/>
      <c r="K918" s="22"/>
      <c r="L918" s="30" t="s">
        <v>9</v>
      </c>
      <c r="M918" s="22"/>
      <c r="N918" s="7" t="s">
        <v>11</v>
      </c>
      <c r="O918" s="7" t="s">
        <v>13</v>
      </c>
      <c r="P918" s="7" t="s">
        <v>17</v>
      </c>
      <c r="Q918" s="7" t="s">
        <v>21</v>
      </c>
      <c r="R918" s="30" t="s">
        <v>29</v>
      </c>
      <c r="S918" s="22"/>
      <c r="T918" s="7" t="s">
        <v>36</v>
      </c>
    </row>
    <row r="919" spans="5:20" ht="22.5">
      <c r="E919" s="6" t="s">
        <v>37</v>
      </c>
      <c r="F919" s="6" t="s">
        <v>588</v>
      </c>
      <c r="G919" s="8" t="s">
        <v>39</v>
      </c>
      <c r="H919" s="9" t="s">
        <v>589</v>
      </c>
      <c r="I919" s="23" t="s">
        <v>590</v>
      </c>
      <c r="J919" s="24"/>
      <c r="K919" s="22"/>
      <c r="L919" s="23" t="s">
        <v>591</v>
      </c>
      <c r="M919" s="22"/>
      <c r="N919" s="9" t="s">
        <v>592</v>
      </c>
      <c r="O919" s="9" t="s">
        <v>593</v>
      </c>
      <c r="P919" s="9" t="s">
        <v>594</v>
      </c>
      <c r="Q919" s="9" t="s">
        <v>548</v>
      </c>
      <c r="R919" s="23" t="s">
        <v>43</v>
      </c>
      <c r="S919" s="22"/>
      <c r="T919" s="8" t="s">
        <v>33</v>
      </c>
    </row>
    <row r="920" spans="5:20">
      <c r="E920" s="21" t="s">
        <v>595</v>
      </c>
      <c r="F920" s="25"/>
      <c r="G920" s="8" t="s">
        <v>42</v>
      </c>
      <c r="H920" s="9" t="s">
        <v>43</v>
      </c>
      <c r="I920" s="23" t="s">
        <v>43</v>
      </c>
      <c r="J920" s="24"/>
      <c r="K920" s="22"/>
      <c r="L920" s="23" t="s">
        <v>43</v>
      </c>
      <c r="M920" s="22"/>
      <c r="N920" s="9" t="s">
        <v>43</v>
      </c>
      <c r="O920" s="9" t="s">
        <v>43</v>
      </c>
      <c r="P920" s="9" t="s">
        <v>43</v>
      </c>
      <c r="Q920" s="9" t="s">
        <v>43</v>
      </c>
      <c r="R920" s="23" t="s">
        <v>120</v>
      </c>
      <c r="S920" s="22"/>
      <c r="T920" s="8" t="s">
        <v>33</v>
      </c>
    </row>
    <row r="921" spans="5:20">
      <c r="E921" s="26"/>
      <c r="F921" s="27"/>
      <c r="G921" s="8" t="s">
        <v>44</v>
      </c>
      <c r="H921" s="9" t="s">
        <v>33</v>
      </c>
      <c r="I921" s="23" t="s">
        <v>33</v>
      </c>
      <c r="J921" s="24"/>
      <c r="K921" s="22"/>
      <c r="L921" s="23" t="s">
        <v>33</v>
      </c>
      <c r="M921" s="22"/>
      <c r="N921" s="9" t="s">
        <v>33</v>
      </c>
      <c r="O921" s="9" t="s">
        <v>33</v>
      </c>
      <c r="P921" s="9" t="s">
        <v>33</v>
      </c>
      <c r="Q921" s="9" t="s">
        <v>33</v>
      </c>
      <c r="R921" s="23" t="s">
        <v>33</v>
      </c>
      <c r="S921" s="22"/>
      <c r="T921" s="8">
        <v>0</v>
      </c>
    </row>
    <row r="922" spans="5:20">
      <c r="E922" s="28"/>
      <c r="F922" s="29"/>
      <c r="G922" s="8" t="s">
        <v>45</v>
      </c>
      <c r="H922" s="9">
        <v>4</v>
      </c>
      <c r="I922" s="23">
        <v>4</v>
      </c>
      <c r="J922" s="24"/>
      <c r="K922" s="22"/>
      <c r="L922" s="23">
        <v>4</v>
      </c>
      <c r="M922" s="22"/>
      <c r="N922" s="9">
        <v>3</v>
      </c>
      <c r="O922" s="9">
        <v>3</v>
      </c>
      <c r="P922" s="9">
        <v>3</v>
      </c>
      <c r="Q922" s="9">
        <v>2</v>
      </c>
      <c r="R922" s="23">
        <v>2</v>
      </c>
      <c r="S922" s="22"/>
      <c r="T922" s="8">
        <v>25</v>
      </c>
    </row>
    <row r="923" spans="5:20">
      <c r="E923" s="6" t="s">
        <v>46</v>
      </c>
      <c r="F923" s="6">
        <v>6.96</v>
      </c>
      <c r="G923" s="8" t="s">
        <v>47</v>
      </c>
      <c r="H923" s="9">
        <v>6.5</v>
      </c>
      <c r="I923" s="23">
        <v>6</v>
      </c>
      <c r="J923" s="24"/>
      <c r="K923" s="22"/>
      <c r="L923" s="23">
        <v>9</v>
      </c>
      <c r="M923" s="22"/>
      <c r="N923" s="9">
        <v>6.5</v>
      </c>
      <c r="O923" s="9">
        <v>6</v>
      </c>
      <c r="P923" s="9">
        <v>4.5</v>
      </c>
      <c r="Q923" s="9">
        <v>8.5</v>
      </c>
      <c r="R923" s="23">
        <v>10</v>
      </c>
      <c r="S923" s="22"/>
      <c r="T923" s="8" t="s">
        <v>33</v>
      </c>
    </row>
    <row r="924" spans="5:20">
      <c r="E924" s="6" t="s">
        <v>48</v>
      </c>
      <c r="F924" s="10">
        <v>6.7</v>
      </c>
      <c r="G924" s="8" t="s">
        <v>49</v>
      </c>
      <c r="H924" s="9">
        <v>26</v>
      </c>
      <c r="I924" s="23">
        <v>24</v>
      </c>
      <c r="J924" s="24"/>
      <c r="K924" s="22"/>
      <c r="L924" s="23">
        <v>36</v>
      </c>
      <c r="M924" s="22"/>
      <c r="N924" s="9">
        <v>19.5</v>
      </c>
      <c r="O924" s="9">
        <v>18</v>
      </c>
      <c r="P924" s="9">
        <v>13.5</v>
      </c>
      <c r="Q924" s="9">
        <v>17</v>
      </c>
      <c r="R924" s="23">
        <v>20</v>
      </c>
      <c r="S924" s="22"/>
      <c r="T924" s="8">
        <v>174</v>
      </c>
    </row>
    <row r="925" spans="5:20">
      <c r="E925" s="21" t="s">
        <v>50</v>
      </c>
      <c r="F925" s="22"/>
      <c r="G925" s="8" t="s">
        <v>36</v>
      </c>
      <c r="H925" s="9">
        <v>60</v>
      </c>
      <c r="I925" s="23">
        <v>58</v>
      </c>
      <c r="J925" s="24"/>
      <c r="K925" s="22"/>
      <c r="L925" s="23">
        <v>88</v>
      </c>
      <c r="M925" s="22"/>
      <c r="N925" s="9">
        <v>64</v>
      </c>
      <c r="O925" s="9">
        <v>59</v>
      </c>
      <c r="P925" s="9">
        <v>43</v>
      </c>
      <c r="Q925" s="9">
        <v>40</v>
      </c>
      <c r="R925" s="23">
        <v>49</v>
      </c>
      <c r="S925" s="22"/>
      <c r="T925" s="8">
        <v>461</v>
      </c>
    </row>
    <row r="926" spans="5:20">
      <c r="E926" s="6" t="s">
        <v>51</v>
      </c>
      <c r="F926" s="6"/>
      <c r="G926" s="8" t="s">
        <v>52</v>
      </c>
      <c r="H926" s="9">
        <v>100</v>
      </c>
      <c r="I926" s="23">
        <v>100</v>
      </c>
      <c r="J926" s="24"/>
      <c r="K926" s="22"/>
      <c r="L926" s="23">
        <v>100</v>
      </c>
      <c r="M926" s="22"/>
      <c r="N926" s="9">
        <v>100</v>
      </c>
      <c r="O926" s="9">
        <v>100</v>
      </c>
      <c r="P926" s="9">
        <v>100</v>
      </c>
      <c r="Q926" s="9">
        <v>50</v>
      </c>
      <c r="R926" s="23">
        <v>50</v>
      </c>
      <c r="S926" s="22"/>
      <c r="T926" s="8">
        <v>700</v>
      </c>
    </row>
    <row r="927" spans="5:20">
      <c r="E927" s="21" t="s">
        <v>596</v>
      </c>
      <c r="F927" s="22"/>
      <c r="G927" s="8" t="s">
        <v>54</v>
      </c>
      <c r="H927" s="9" t="s">
        <v>76</v>
      </c>
      <c r="I927" s="23" t="s">
        <v>147</v>
      </c>
      <c r="J927" s="24"/>
      <c r="K927" s="22"/>
      <c r="L927" s="23" t="s">
        <v>122</v>
      </c>
      <c r="M927" s="22"/>
      <c r="N927" s="9" t="s">
        <v>76</v>
      </c>
      <c r="O927" s="9" t="s">
        <v>147</v>
      </c>
      <c r="P927" s="9" t="s">
        <v>75</v>
      </c>
      <c r="Q927" s="9" t="s">
        <v>95</v>
      </c>
      <c r="R927" s="23" t="s">
        <v>93</v>
      </c>
      <c r="S927" s="22"/>
      <c r="T927" s="8" t="s">
        <v>33</v>
      </c>
    </row>
    <row r="928" spans="5:20">
      <c r="E928" s="11" t="s">
        <v>56</v>
      </c>
      <c r="F928" s="11" t="s">
        <v>597</v>
      </c>
      <c r="G928" s="8" t="s">
        <v>58</v>
      </c>
      <c r="H928" s="9" t="s">
        <v>59</v>
      </c>
      <c r="I928" s="23" t="s">
        <v>59</v>
      </c>
      <c r="J928" s="24"/>
      <c r="K928" s="22"/>
      <c r="L928" s="23" t="s">
        <v>59</v>
      </c>
      <c r="M928" s="22"/>
      <c r="N928" s="9" t="s">
        <v>59</v>
      </c>
      <c r="O928" s="9" t="s">
        <v>59</v>
      </c>
      <c r="P928" s="9" t="s">
        <v>59</v>
      </c>
      <c r="Q928" s="9" t="s">
        <v>59</v>
      </c>
      <c r="R928" s="23" t="s">
        <v>59</v>
      </c>
      <c r="S928" s="22"/>
      <c r="T928" s="8" t="s">
        <v>33</v>
      </c>
    </row>
    <row r="929" spans="5:20">
      <c r="E929" s="12" t="s">
        <v>33</v>
      </c>
      <c r="F929" s="12" t="s">
        <v>33</v>
      </c>
      <c r="G929" s="12" t="s">
        <v>33</v>
      </c>
      <c r="H929" s="13" t="s">
        <v>33</v>
      </c>
      <c r="I929" s="20" t="s">
        <v>33</v>
      </c>
      <c r="J929" s="18"/>
      <c r="K929" s="18"/>
      <c r="L929" s="20" t="s">
        <v>33</v>
      </c>
      <c r="M929" s="18"/>
      <c r="N929" s="13" t="s">
        <v>33</v>
      </c>
      <c r="O929" s="13" t="s">
        <v>33</v>
      </c>
      <c r="P929" s="13" t="s">
        <v>33</v>
      </c>
      <c r="Q929" s="13" t="s">
        <v>33</v>
      </c>
      <c r="R929" s="20" t="s">
        <v>33</v>
      </c>
      <c r="S929" s="18"/>
      <c r="T929" s="13" t="s">
        <v>33</v>
      </c>
    </row>
    <row r="930" spans="5:20" ht="0" hidden="1" customHeight="1"/>
    <row r="931" spans="5:20" ht="0.6" customHeight="1"/>
    <row r="932" spans="5:20">
      <c r="E932" s="31" t="s">
        <v>31</v>
      </c>
      <c r="F932" s="22"/>
      <c r="G932" s="3" t="s">
        <v>32</v>
      </c>
      <c r="H932" s="5" t="s">
        <v>33</v>
      </c>
      <c r="I932" s="32" t="s">
        <v>33</v>
      </c>
      <c r="J932" s="18"/>
      <c r="K932" s="18"/>
      <c r="L932" s="32" t="s">
        <v>33</v>
      </c>
      <c r="M932" s="18"/>
      <c r="N932" s="5" t="s">
        <v>33</v>
      </c>
      <c r="O932" s="5" t="s">
        <v>33</v>
      </c>
      <c r="P932" s="5" t="s">
        <v>33</v>
      </c>
      <c r="Q932" s="5" t="s">
        <v>33</v>
      </c>
      <c r="R932" s="32" t="s">
        <v>33</v>
      </c>
      <c r="S932" s="18"/>
      <c r="T932" s="5" t="s">
        <v>33</v>
      </c>
    </row>
    <row r="933" spans="5:20" ht="21">
      <c r="E933" s="21" t="s">
        <v>598</v>
      </c>
      <c r="F933" s="22"/>
      <c r="G933" s="7" t="s">
        <v>35</v>
      </c>
      <c r="H933" s="7" t="s">
        <v>5</v>
      </c>
      <c r="I933" s="30" t="s">
        <v>7</v>
      </c>
      <c r="J933" s="24"/>
      <c r="K933" s="22"/>
      <c r="L933" s="30" t="s">
        <v>9</v>
      </c>
      <c r="M933" s="22"/>
      <c r="N933" s="7" t="s">
        <v>11</v>
      </c>
      <c r="O933" s="7" t="s">
        <v>15</v>
      </c>
      <c r="P933" s="7" t="s">
        <v>17</v>
      </c>
      <c r="Q933" s="7" t="s">
        <v>21</v>
      </c>
      <c r="R933" s="30" t="s">
        <v>23</v>
      </c>
      <c r="S933" s="22"/>
      <c r="T933" s="7" t="s">
        <v>36</v>
      </c>
    </row>
    <row r="934" spans="5:20" ht="22.5">
      <c r="E934" s="6" t="s">
        <v>37</v>
      </c>
      <c r="F934" s="6" t="s">
        <v>599</v>
      </c>
      <c r="G934" s="8" t="s">
        <v>39</v>
      </c>
      <c r="H934" s="9" t="s">
        <v>600</v>
      </c>
      <c r="I934" s="23" t="s">
        <v>254</v>
      </c>
      <c r="J934" s="24"/>
      <c r="K934" s="22"/>
      <c r="L934" s="23" t="s">
        <v>432</v>
      </c>
      <c r="M934" s="22"/>
      <c r="N934" s="9" t="s">
        <v>601</v>
      </c>
      <c r="O934" s="9" t="s">
        <v>602</v>
      </c>
      <c r="P934" s="9" t="s">
        <v>603</v>
      </c>
      <c r="Q934" s="9" t="s">
        <v>483</v>
      </c>
      <c r="R934" s="23" t="s">
        <v>43</v>
      </c>
      <c r="S934" s="22"/>
      <c r="T934" s="8" t="s">
        <v>33</v>
      </c>
    </row>
    <row r="935" spans="5:20">
      <c r="E935" s="21" t="s">
        <v>604</v>
      </c>
      <c r="F935" s="25"/>
      <c r="G935" s="8" t="s">
        <v>42</v>
      </c>
      <c r="H935" s="9" t="s">
        <v>43</v>
      </c>
      <c r="I935" s="23" t="s">
        <v>43</v>
      </c>
      <c r="J935" s="24"/>
      <c r="K935" s="22"/>
      <c r="L935" s="23" t="s">
        <v>43</v>
      </c>
      <c r="M935" s="22"/>
      <c r="N935" s="9" t="s">
        <v>43</v>
      </c>
      <c r="O935" s="9" t="s">
        <v>43</v>
      </c>
      <c r="P935" s="9" t="s">
        <v>43</v>
      </c>
      <c r="Q935" s="9" t="s">
        <v>43</v>
      </c>
      <c r="R935" s="23" t="s">
        <v>605</v>
      </c>
      <c r="S935" s="22"/>
      <c r="T935" s="8" t="s">
        <v>33</v>
      </c>
    </row>
    <row r="936" spans="5:20">
      <c r="E936" s="26"/>
      <c r="F936" s="27"/>
      <c r="G936" s="8" t="s">
        <v>44</v>
      </c>
      <c r="H936" s="9" t="s">
        <v>33</v>
      </c>
      <c r="I936" s="23" t="s">
        <v>33</v>
      </c>
      <c r="J936" s="24"/>
      <c r="K936" s="22"/>
      <c r="L936" s="23" t="s">
        <v>33</v>
      </c>
      <c r="M936" s="22"/>
      <c r="N936" s="9" t="s">
        <v>33</v>
      </c>
      <c r="O936" s="9" t="s">
        <v>33</v>
      </c>
      <c r="P936" s="9" t="s">
        <v>33</v>
      </c>
      <c r="Q936" s="9" t="s">
        <v>33</v>
      </c>
      <c r="R936" s="23" t="s">
        <v>33</v>
      </c>
      <c r="S936" s="22"/>
      <c r="T936" s="8">
        <v>0</v>
      </c>
    </row>
    <row r="937" spans="5:20">
      <c r="E937" s="28"/>
      <c r="F937" s="29"/>
      <c r="G937" s="8" t="s">
        <v>45</v>
      </c>
      <c r="H937" s="9">
        <v>4</v>
      </c>
      <c r="I937" s="23">
        <v>4</v>
      </c>
      <c r="J937" s="24"/>
      <c r="K937" s="22"/>
      <c r="L937" s="23">
        <v>4</v>
      </c>
      <c r="M937" s="22"/>
      <c r="N937" s="9">
        <v>3</v>
      </c>
      <c r="O937" s="9">
        <v>3</v>
      </c>
      <c r="P937" s="9">
        <v>3</v>
      </c>
      <c r="Q937" s="9">
        <v>2</v>
      </c>
      <c r="R937" s="23">
        <v>2</v>
      </c>
      <c r="S937" s="22"/>
      <c r="T937" s="8">
        <v>25</v>
      </c>
    </row>
    <row r="938" spans="5:20">
      <c r="E938" s="6" t="s">
        <v>46</v>
      </c>
      <c r="F938" s="6">
        <v>8.34</v>
      </c>
      <c r="G938" s="8" t="s">
        <v>47</v>
      </c>
      <c r="H938" s="9">
        <v>8</v>
      </c>
      <c r="I938" s="23">
        <v>8</v>
      </c>
      <c r="J938" s="24"/>
      <c r="K938" s="22"/>
      <c r="L938" s="23">
        <v>9</v>
      </c>
      <c r="M938" s="22"/>
      <c r="N938" s="9">
        <v>7.5</v>
      </c>
      <c r="O938" s="9">
        <v>9.5</v>
      </c>
      <c r="P938" s="9">
        <v>6.5</v>
      </c>
      <c r="Q938" s="9">
        <v>10</v>
      </c>
      <c r="R938" s="23">
        <v>9</v>
      </c>
      <c r="S938" s="22"/>
      <c r="T938" s="8" t="s">
        <v>33</v>
      </c>
    </row>
    <row r="939" spans="5:20">
      <c r="E939" s="6" t="s">
        <v>48</v>
      </c>
      <c r="F939" s="10">
        <v>7.96</v>
      </c>
      <c r="G939" s="8" t="s">
        <v>49</v>
      </c>
      <c r="H939" s="9">
        <v>32</v>
      </c>
      <c r="I939" s="23">
        <v>32</v>
      </c>
      <c r="J939" s="24"/>
      <c r="K939" s="22"/>
      <c r="L939" s="23">
        <v>36</v>
      </c>
      <c r="M939" s="22"/>
      <c r="N939" s="9">
        <v>22.5</v>
      </c>
      <c r="O939" s="9">
        <v>28.5</v>
      </c>
      <c r="P939" s="9">
        <v>19.5</v>
      </c>
      <c r="Q939" s="9">
        <v>20</v>
      </c>
      <c r="R939" s="23">
        <v>18</v>
      </c>
      <c r="S939" s="22"/>
      <c r="T939" s="8">
        <v>208.5</v>
      </c>
    </row>
    <row r="940" spans="5:20">
      <c r="E940" s="21" t="s">
        <v>50</v>
      </c>
      <c r="F940" s="22"/>
      <c r="G940" s="8" t="s">
        <v>36</v>
      </c>
      <c r="H940" s="9">
        <v>75</v>
      </c>
      <c r="I940" s="23">
        <v>75</v>
      </c>
      <c r="J940" s="24"/>
      <c r="K940" s="22"/>
      <c r="L940" s="23">
        <v>88</v>
      </c>
      <c r="M940" s="22"/>
      <c r="N940" s="9">
        <v>71</v>
      </c>
      <c r="O940" s="9">
        <v>92</v>
      </c>
      <c r="P940" s="9">
        <v>60</v>
      </c>
      <c r="Q940" s="9">
        <v>48</v>
      </c>
      <c r="R940" s="23">
        <v>43</v>
      </c>
      <c r="S940" s="22"/>
      <c r="T940" s="8">
        <v>552</v>
      </c>
    </row>
    <row r="941" spans="5:20">
      <c r="E941" s="6" t="s">
        <v>51</v>
      </c>
      <c r="F941" s="6"/>
      <c r="G941" s="8" t="s">
        <v>52</v>
      </c>
      <c r="H941" s="9">
        <v>100</v>
      </c>
      <c r="I941" s="23">
        <v>100</v>
      </c>
      <c r="J941" s="24"/>
      <c r="K941" s="22"/>
      <c r="L941" s="23">
        <v>100</v>
      </c>
      <c r="M941" s="22"/>
      <c r="N941" s="9">
        <v>100</v>
      </c>
      <c r="O941" s="9">
        <v>100</v>
      </c>
      <c r="P941" s="9">
        <v>100</v>
      </c>
      <c r="Q941" s="9">
        <v>50</v>
      </c>
      <c r="R941" s="23">
        <v>50</v>
      </c>
      <c r="S941" s="22"/>
      <c r="T941" s="8">
        <v>700</v>
      </c>
    </row>
    <row r="942" spans="5:20">
      <c r="E942" s="21" t="s">
        <v>159</v>
      </c>
      <c r="F942" s="22"/>
      <c r="G942" s="8" t="s">
        <v>54</v>
      </c>
      <c r="H942" s="9" t="s">
        <v>135</v>
      </c>
      <c r="I942" s="23" t="s">
        <v>135</v>
      </c>
      <c r="J942" s="24"/>
      <c r="K942" s="22"/>
      <c r="L942" s="23" t="s">
        <v>122</v>
      </c>
      <c r="M942" s="22"/>
      <c r="N942" s="9" t="s">
        <v>108</v>
      </c>
      <c r="O942" s="9" t="s">
        <v>94</v>
      </c>
      <c r="P942" s="9" t="s">
        <v>76</v>
      </c>
      <c r="Q942" s="9" t="s">
        <v>93</v>
      </c>
      <c r="R942" s="23" t="s">
        <v>122</v>
      </c>
      <c r="S942" s="22"/>
      <c r="T942" s="8" t="s">
        <v>33</v>
      </c>
    </row>
    <row r="943" spans="5:20">
      <c r="E943" s="11" t="s">
        <v>56</v>
      </c>
      <c r="F943" s="11" t="s">
        <v>606</v>
      </c>
      <c r="G943" s="8" t="s">
        <v>58</v>
      </c>
      <c r="H943" s="9" t="s">
        <v>59</v>
      </c>
      <c r="I943" s="23" t="s">
        <v>59</v>
      </c>
      <c r="J943" s="24"/>
      <c r="K943" s="22"/>
      <c r="L943" s="23" t="s">
        <v>59</v>
      </c>
      <c r="M943" s="22"/>
      <c r="N943" s="9" t="s">
        <v>59</v>
      </c>
      <c r="O943" s="9" t="s">
        <v>59</v>
      </c>
      <c r="P943" s="9" t="s">
        <v>59</v>
      </c>
      <c r="Q943" s="9" t="s">
        <v>59</v>
      </c>
      <c r="R943" s="23" t="s">
        <v>59</v>
      </c>
      <c r="S943" s="22"/>
      <c r="T943" s="8" t="s">
        <v>33</v>
      </c>
    </row>
    <row r="944" spans="5:20">
      <c r="E944" s="12" t="s">
        <v>33</v>
      </c>
      <c r="F944" s="12" t="s">
        <v>33</v>
      </c>
      <c r="G944" s="12" t="s">
        <v>33</v>
      </c>
      <c r="H944" s="13" t="s">
        <v>33</v>
      </c>
      <c r="I944" s="20" t="s">
        <v>33</v>
      </c>
      <c r="J944" s="18"/>
      <c r="K944" s="18"/>
      <c r="L944" s="20" t="s">
        <v>33</v>
      </c>
      <c r="M944" s="18"/>
      <c r="N944" s="13" t="s">
        <v>33</v>
      </c>
      <c r="O944" s="13" t="s">
        <v>33</v>
      </c>
      <c r="P944" s="13" t="s">
        <v>33</v>
      </c>
      <c r="Q944" s="13" t="s">
        <v>33</v>
      </c>
      <c r="R944" s="20" t="s">
        <v>33</v>
      </c>
      <c r="S944" s="18"/>
      <c r="T944" s="13" t="s">
        <v>33</v>
      </c>
    </row>
    <row r="945" spans="5:20" ht="0" hidden="1" customHeight="1"/>
    <row r="946" spans="5:20" ht="0.6" customHeight="1"/>
    <row r="947" spans="5:20">
      <c r="E947" s="31" t="s">
        <v>31</v>
      </c>
      <c r="F947" s="22"/>
      <c r="G947" s="3" t="s">
        <v>32</v>
      </c>
      <c r="H947" s="5" t="s">
        <v>33</v>
      </c>
      <c r="I947" s="32" t="s">
        <v>33</v>
      </c>
      <c r="J947" s="18"/>
      <c r="K947" s="18"/>
      <c r="L947" s="32" t="s">
        <v>33</v>
      </c>
      <c r="M947" s="18"/>
      <c r="N947" s="5" t="s">
        <v>33</v>
      </c>
      <c r="O947" s="5" t="s">
        <v>33</v>
      </c>
      <c r="P947" s="5" t="s">
        <v>33</v>
      </c>
      <c r="Q947" s="5" t="s">
        <v>33</v>
      </c>
      <c r="R947" s="32" t="s">
        <v>33</v>
      </c>
      <c r="S947" s="18"/>
      <c r="T947" s="5" t="s">
        <v>33</v>
      </c>
    </row>
    <row r="948" spans="5:20" ht="21">
      <c r="E948" s="21" t="s">
        <v>607</v>
      </c>
      <c r="F948" s="22"/>
      <c r="G948" s="7" t="s">
        <v>35</v>
      </c>
      <c r="H948" s="7" t="s">
        <v>5</v>
      </c>
      <c r="I948" s="30" t="s">
        <v>7</v>
      </c>
      <c r="J948" s="24"/>
      <c r="K948" s="22"/>
      <c r="L948" s="30" t="s">
        <v>9</v>
      </c>
      <c r="M948" s="22"/>
      <c r="N948" s="7" t="s">
        <v>11</v>
      </c>
      <c r="O948" s="7" t="s">
        <v>15</v>
      </c>
      <c r="P948" s="7" t="s">
        <v>17</v>
      </c>
      <c r="Q948" s="7" t="s">
        <v>21</v>
      </c>
      <c r="R948" s="30" t="s">
        <v>23</v>
      </c>
      <c r="S948" s="22"/>
      <c r="T948" s="7" t="s">
        <v>36</v>
      </c>
    </row>
    <row r="949" spans="5:20" ht="22.5">
      <c r="E949" s="6" t="s">
        <v>37</v>
      </c>
      <c r="F949" s="6" t="s">
        <v>608</v>
      </c>
      <c r="G949" s="8" t="s">
        <v>39</v>
      </c>
      <c r="H949" s="9" t="s">
        <v>391</v>
      </c>
      <c r="I949" s="23" t="s">
        <v>265</v>
      </c>
      <c r="J949" s="24"/>
      <c r="K949" s="22"/>
      <c r="L949" s="23" t="s">
        <v>609</v>
      </c>
      <c r="M949" s="22"/>
      <c r="N949" s="9" t="s">
        <v>610</v>
      </c>
      <c r="O949" s="9" t="s">
        <v>139</v>
      </c>
      <c r="P949" s="9" t="s">
        <v>611</v>
      </c>
      <c r="Q949" s="9" t="s">
        <v>612</v>
      </c>
      <c r="R949" s="23" t="s">
        <v>43</v>
      </c>
      <c r="S949" s="22"/>
      <c r="T949" s="8" t="s">
        <v>33</v>
      </c>
    </row>
    <row r="950" spans="5:20">
      <c r="E950" s="21" t="s">
        <v>613</v>
      </c>
      <c r="F950" s="25"/>
      <c r="G950" s="8" t="s">
        <v>42</v>
      </c>
      <c r="H950" s="9" t="s">
        <v>43</v>
      </c>
      <c r="I950" s="23" t="s">
        <v>43</v>
      </c>
      <c r="J950" s="24"/>
      <c r="K950" s="22"/>
      <c r="L950" s="23" t="s">
        <v>43</v>
      </c>
      <c r="M950" s="22"/>
      <c r="N950" s="9" t="s">
        <v>43</v>
      </c>
      <c r="O950" s="9" t="s">
        <v>43</v>
      </c>
      <c r="P950" s="9" t="s">
        <v>43</v>
      </c>
      <c r="Q950" s="9" t="s">
        <v>43</v>
      </c>
      <c r="R950" s="23" t="s">
        <v>614</v>
      </c>
      <c r="S950" s="22"/>
      <c r="T950" s="8" t="s">
        <v>33</v>
      </c>
    </row>
    <row r="951" spans="5:20">
      <c r="E951" s="26"/>
      <c r="F951" s="27"/>
      <c r="G951" s="8" t="s">
        <v>44</v>
      </c>
      <c r="H951" s="9" t="s">
        <v>33</v>
      </c>
      <c r="I951" s="23" t="s">
        <v>33</v>
      </c>
      <c r="J951" s="24"/>
      <c r="K951" s="22"/>
      <c r="L951" s="23" t="s">
        <v>33</v>
      </c>
      <c r="M951" s="22"/>
      <c r="N951" s="9" t="s">
        <v>33</v>
      </c>
      <c r="O951" s="9" t="s">
        <v>33</v>
      </c>
      <c r="P951" s="9" t="s">
        <v>33</v>
      </c>
      <c r="Q951" s="9" t="s">
        <v>33</v>
      </c>
      <c r="R951" s="23" t="s">
        <v>33</v>
      </c>
      <c r="S951" s="22"/>
      <c r="T951" s="8">
        <v>0</v>
      </c>
    </row>
    <row r="952" spans="5:20">
      <c r="E952" s="28"/>
      <c r="F952" s="29"/>
      <c r="G952" s="8" t="s">
        <v>45</v>
      </c>
      <c r="H952" s="9">
        <v>4</v>
      </c>
      <c r="I952" s="23">
        <v>4</v>
      </c>
      <c r="J952" s="24"/>
      <c r="K952" s="22"/>
      <c r="L952" s="23">
        <v>4</v>
      </c>
      <c r="M952" s="22"/>
      <c r="N952" s="9">
        <v>3</v>
      </c>
      <c r="O952" s="9">
        <v>3</v>
      </c>
      <c r="P952" s="9">
        <v>3</v>
      </c>
      <c r="Q952" s="9">
        <v>2</v>
      </c>
      <c r="R952" s="23">
        <v>2</v>
      </c>
      <c r="S952" s="22"/>
      <c r="T952" s="8">
        <v>22</v>
      </c>
    </row>
    <row r="953" spans="5:20">
      <c r="E953" s="6" t="s">
        <v>46</v>
      </c>
      <c r="F953" s="6"/>
      <c r="G953" s="8" t="s">
        <v>47</v>
      </c>
      <c r="H953" s="9">
        <v>5.5</v>
      </c>
      <c r="I953" s="23">
        <v>5</v>
      </c>
      <c r="J953" s="24"/>
      <c r="K953" s="22"/>
      <c r="L953" s="23">
        <v>7.5</v>
      </c>
      <c r="M953" s="22"/>
      <c r="N953" s="9">
        <v>6</v>
      </c>
      <c r="O953" s="9">
        <v>5.5</v>
      </c>
      <c r="P953" s="9"/>
      <c r="Q953" s="9">
        <v>8</v>
      </c>
      <c r="R953" s="23">
        <v>8.5</v>
      </c>
      <c r="S953" s="22"/>
      <c r="T953" s="8" t="s">
        <v>33</v>
      </c>
    </row>
    <row r="954" spans="5:20">
      <c r="E954" s="6" t="s">
        <v>48</v>
      </c>
      <c r="F954" s="6"/>
      <c r="G954" s="8" t="s">
        <v>49</v>
      </c>
      <c r="H954" s="9">
        <v>22</v>
      </c>
      <c r="I954" s="23">
        <v>20</v>
      </c>
      <c r="J954" s="24"/>
      <c r="K954" s="22"/>
      <c r="L954" s="23">
        <v>30</v>
      </c>
      <c r="M954" s="22"/>
      <c r="N954" s="9">
        <v>18</v>
      </c>
      <c r="O954" s="9">
        <v>16.5</v>
      </c>
      <c r="P954" s="9"/>
      <c r="Q954" s="9">
        <v>16</v>
      </c>
      <c r="R954" s="23">
        <v>17</v>
      </c>
      <c r="S954" s="22"/>
      <c r="T954" s="8">
        <v>139.5</v>
      </c>
    </row>
    <row r="955" spans="5:20">
      <c r="E955" s="21" t="s">
        <v>65</v>
      </c>
      <c r="F955" s="22"/>
      <c r="G955" s="8" t="s">
        <v>36</v>
      </c>
      <c r="H955" s="9">
        <v>50</v>
      </c>
      <c r="I955" s="23">
        <v>45</v>
      </c>
      <c r="J955" s="24"/>
      <c r="K955" s="22"/>
      <c r="L955" s="23">
        <v>73</v>
      </c>
      <c r="M955" s="22"/>
      <c r="N955" s="9">
        <v>57</v>
      </c>
      <c r="O955" s="9">
        <v>52</v>
      </c>
      <c r="P955" s="9">
        <v>22</v>
      </c>
      <c r="Q955" s="9">
        <v>39</v>
      </c>
      <c r="R955" s="23">
        <v>41</v>
      </c>
      <c r="S955" s="22"/>
      <c r="T955" s="8">
        <v>379</v>
      </c>
    </row>
    <row r="956" spans="5:20">
      <c r="E956" s="6" t="s">
        <v>51</v>
      </c>
      <c r="F956" s="6"/>
      <c r="G956" s="8" t="s">
        <v>52</v>
      </c>
      <c r="H956" s="9">
        <v>100</v>
      </c>
      <c r="I956" s="23">
        <v>100</v>
      </c>
      <c r="J956" s="24"/>
      <c r="K956" s="22"/>
      <c r="L956" s="23">
        <v>100</v>
      </c>
      <c r="M956" s="22"/>
      <c r="N956" s="9">
        <v>100</v>
      </c>
      <c r="O956" s="9">
        <v>100</v>
      </c>
      <c r="P956" s="9">
        <v>100</v>
      </c>
      <c r="Q956" s="9">
        <v>50</v>
      </c>
      <c r="R956" s="23">
        <v>50</v>
      </c>
      <c r="S956" s="22"/>
      <c r="T956" s="8">
        <v>700</v>
      </c>
    </row>
    <row r="957" spans="5:20">
      <c r="E957" s="21" t="s">
        <v>66</v>
      </c>
      <c r="F957" s="22"/>
      <c r="G957" s="8" t="s">
        <v>54</v>
      </c>
      <c r="H957" s="9" t="s">
        <v>123</v>
      </c>
      <c r="I957" s="23" t="s">
        <v>55</v>
      </c>
      <c r="J957" s="24"/>
      <c r="K957" s="22"/>
      <c r="L957" s="23" t="s">
        <v>108</v>
      </c>
      <c r="M957" s="22"/>
      <c r="N957" s="9" t="s">
        <v>147</v>
      </c>
      <c r="O957" s="9" t="s">
        <v>123</v>
      </c>
      <c r="P957" s="9"/>
      <c r="Q957" s="9" t="s">
        <v>135</v>
      </c>
      <c r="R957" s="23" t="s">
        <v>95</v>
      </c>
      <c r="S957" s="22"/>
      <c r="T957" s="8" t="s">
        <v>33</v>
      </c>
    </row>
    <row r="958" spans="5:20">
      <c r="E958" s="11" t="s">
        <v>56</v>
      </c>
      <c r="F958" s="11" t="s">
        <v>615</v>
      </c>
      <c r="G958" s="8" t="s">
        <v>58</v>
      </c>
      <c r="H958" s="9" t="s">
        <v>59</v>
      </c>
      <c r="I958" s="23" t="s">
        <v>59</v>
      </c>
      <c r="J958" s="24"/>
      <c r="K958" s="22"/>
      <c r="L958" s="23" t="s">
        <v>59</v>
      </c>
      <c r="M958" s="22"/>
      <c r="N958" s="9" t="s">
        <v>59</v>
      </c>
      <c r="O958" s="9" t="s">
        <v>59</v>
      </c>
      <c r="P958" s="9" t="s">
        <v>68</v>
      </c>
      <c r="Q958" s="9" t="s">
        <v>59</v>
      </c>
      <c r="R958" s="23" t="s">
        <v>59</v>
      </c>
      <c r="S958" s="22"/>
      <c r="T958" s="8" t="s">
        <v>33</v>
      </c>
    </row>
    <row r="959" spans="5:20">
      <c r="E959" s="12" t="s">
        <v>33</v>
      </c>
      <c r="F959" s="12" t="s">
        <v>33</v>
      </c>
      <c r="G959" s="12" t="s">
        <v>33</v>
      </c>
      <c r="H959" s="13" t="s">
        <v>33</v>
      </c>
      <c r="I959" s="20" t="s">
        <v>33</v>
      </c>
      <c r="J959" s="18"/>
      <c r="K959" s="18"/>
      <c r="L959" s="20" t="s">
        <v>33</v>
      </c>
      <c r="M959" s="18"/>
      <c r="N959" s="13" t="s">
        <v>33</v>
      </c>
      <c r="O959" s="13" t="s">
        <v>33</v>
      </c>
      <c r="P959" s="13" t="s">
        <v>33</v>
      </c>
      <c r="Q959" s="13" t="s">
        <v>33</v>
      </c>
      <c r="R959" s="20" t="s">
        <v>33</v>
      </c>
      <c r="S959" s="18"/>
      <c r="T959" s="13" t="s">
        <v>33</v>
      </c>
    </row>
    <row r="960" spans="5:20" ht="0" hidden="1" customHeight="1"/>
    <row r="961" spans="5:20" ht="0.6" customHeight="1"/>
    <row r="962" spans="5:20">
      <c r="E962" s="31" t="s">
        <v>31</v>
      </c>
      <c r="F962" s="22"/>
      <c r="G962" s="3" t="s">
        <v>32</v>
      </c>
      <c r="H962" s="5" t="s">
        <v>33</v>
      </c>
      <c r="I962" s="32" t="s">
        <v>33</v>
      </c>
      <c r="J962" s="18"/>
      <c r="K962" s="18"/>
      <c r="L962" s="32" t="s">
        <v>33</v>
      </c>
      <c r="M962" s="18"/>
      <c r="N962" s="5" t="s">
        <v>33</v>
      </c>
      <c r="O962" s="5" t="s">
        <v>33</v>
      </c>
      <c r="P962" s="5" t="s">
        <v>33</v>
      </c>
      <c r="Q962" s="5" t="s">
        <v>33</v>
      </c>
      <c r="R962" s="32" t="s">
        <v>33</v>
      </c>
      <c r="S962" s="18"/>
      <c r="T962" s="5" t="s">
        <v>33</v>
      </c>
    </row>
    <row r="963" spans="5:20" ht="21">
      <c r="E963" s="21" t="s">
        <v>616</v>
      </c>
      <c r="F963" s="22"/>
      <c r="G963" s="7" t="s">
        <v>35</v>
      </c>
      <c r="H963" s="7" t="s">
        <v>5</v>
      </c>
      <c r="I963" s="30" t="s">
        <v>7</v>
      </c>
      <c r="J963" s="24"/>
      <c r="K963" s="22"/>
      <c r="L963" s="30" t="s">
        <v>9</v>
      </c>
      <c r="M963" s="22"/>
      <c r="N963" s="7" t="s">
        <v>11</v>
      </c>
      <c r="O963" s="7" t="s">
        <v>15</v>
      </c>
      <c r="P963" s="7" t="s">
        <v>17</v>
      </c>
      <c r="Q963" s="7" t="s">
        <v>19</v>
      </c>
      <c r="R963" s="30" t="s">
        <v>21</v>
      </c>
      <c r="S963" s="22"/>
      <c r="T963" s="7" t="s">
        <v>36</v>
      </c>
    </row>
    <row r="964" spans="5:20" ht="22.5">
      <c r="E964" s="6" t="s">
        <v>37</v>
      </c>
      <c r="F964" s="6" t="s">
        <v>617</v>
      </c>
      <c r="G964" s="8" t="s">
        <v>39</v>
      </c>
      <c r="H964" s="9" t="s">
        <v>284</v>
      </c>
      <c r="I964" s="23" t="s">
        <v>474</v>
      </c>
      <c r="J964" s="24"/>
      <c r="K964" s="22"/>
      <c r="L964" s="23" t="s">
        <v>187</v>
      </c>
      <c r="M964" s="22"/>
      <c r="N964" s="9" t="s">
        <v>562</v>
      </c>
      <c r="O964" s="9" t="s">
        <v>481</v>
      </c>
      <c r="P964" s="9" t="s">
        <v>85</v>
      </c>
      <c r="Q964" s="9" t="s">
        <v>43</v>
      </c>
      <c r="R964" s="23" t="s">
        <v>89</v>
      </c>
      <c r="S964" s="22"/>
      <c r="T964" s="8" t="s">
        <v>33</v>
      </c>
    </row>
    <row r="965" spans="5:20">
      <c r="E965" s="21" t="s">
        <v>618</v>
      </c>
      <c r="F965" s="25"/>
      <c r="G965" s="8" t="s">
        <v>42</v>
      </c>
      <c r="H965" s="9" t="s">
        <v>43</v>
      </c>
      <c r="I965" s="23" t="s">
        <v>43</v>
      </c>
      <c r="J965" s="24"/>
      <c r="K965" s="22"/>
      <c r="L965" s="23" t="s">
        <v>43</v>
      </c>
      <c r="M965" s="22"/>
      <c r="N965" s="9" t="s">
        <v>43</v>
      </c>
      <c r="O965" s="9" t="s">
        <v>43</v>
      </c>
      <c r="P965" s="9" t="s">
        <v>43</v>
      </c>
      <c r="Q965" s="9" t="s">
        <v>91</v>
      </c>
      <c r="R965" s="23" t="s">
        <v>43</v>
      </c>
      <c r="S965" s="22"/>
      <c r="T965" s="8" t="s">
        <v>33</v>
      </c>
    </row>
    <row r="966" spans="5:20">
      <c r="E966" s="26"/>
      <c r="F966" s="27"/>
      <c r="G966" s="8" t="s">
        <v>44</v>
      </c>
      <c r="H966" s="9" t="s">
        <v>33</v>
      </c>
      <c r="I966" s="23" t="s">
        <v>33</v>
      </c>
      <c r="J966" s="24"/>
      <c r="K966" s="22"/>
      <c r="L966" s="23" t="s">
        <v>33</v>
      </c>
      <c r="M966" s="22"/>
      <c r="N966" s="9" t="s">
        <v>33</v>
      </c>
      <c r="O966" s="9" t="s">
        <v>33</v>
      </c>
      <c r="P966" s="9" t="s">
        <v>33</v>
      </c>
      <c r="Q966" s="9" t="s">
        <v>33</v>
      </c>
      <c r="R966" s="23" t="s">
        <v>33</v>
      </c>
      <c r="S966" s="22"/>
      <c r="T966" s="8">
        <v>0</v>
      </c>
    </row>
    <row r="967" spans="5:20">
      <c r="E967" s="28"/>
      <c r="F967" s="29"/>
      <c r="G967" s="8" t="s">
        <v>45</v>
      </c>
      <c r="H967" s="9">
        <v>4</v>
      </c>
      <c r="I967" s="23">
        <v>4</v>
      </c>
      <c r="J967" s="24"/>
      <c r="K967" s="22"/>
      <c r="L967" s="23">
        <v>4</v>
      </c>
      <c r="M967" s="22"/>
      <c r="N967" s="9">
        <v>3</v>
      </c>
      <c r="O967" s="9">
        <v>3</v>
      </c>
      <c r="P967" s="9">
        <v>3</v>
      </c>
      <c r="Q967" s="9">
        <v>2</v>
      </c>
      <c r="R967" s="23">
        <v>2</v>
      </c>
      <c r="S967" s="22"/>
      <c r="T967" s="8">
        <v>25</v>
      </c>
    </row>
    <row r="968" spans="5:20">
      <c r="E968" s="6" t="s">
        <v>46</v>
      </c>
      <c r="F968" s="6">
        <v>9.66</v>
      </c>
      <c r="G968" s="8" t="s">
        <v>47</v>
      </c>
      <c r="H968" s="9">
        <v>10</v>
      </c>
      <c r="I968" s="23">
        <v>9</v>
      </c>
      <c r="J968" s="24"/>
      <c r="K968" s="22"/>
      <c r="L968" s="23">
        <v>10</v>
      </c>
      <c r="M968" s="22"/>
      <c r="N968" s="9">
        <v>8.5</v>
      </c>
      <c r="O968" s="9">
        <v>10</v>
      </c>
      <c r="P968" s="9">
        <v>10</v>
      </c>
      <c r="Q968" s="9">
        <v>10</v>
      </c>
      <c r="R968" s="23">
        <v>10</v>
      </c>
      <c r="S968" s="22"/>
      <c r="T968" s="8" t="s">
        <v>33</v>
      </c>
    </row>
    <row r="969" spans="5:20">
      <c r="E969" s="6" t="s">
        <v>48</v>
      </c>
      <c r="F969" s="10">
        <v>9.2799999999999994</v>
      </c>
      <c r="G969" s="8" t="s">
        <v>49</v>
      </c>
      <c r="H969" s="9">
        <v>40</v>
      </c>
      <c r="I969" s="23">
        <v>36</v>
      </c>
      <c r="J969" s="24"/>
      <c r="K969" s="22"/>
      <c r="L969" s="23">
        <v>40</v>
      </c>
      <c r="M969" s="22"/>
      <c r="N969" s="9">
        <v>25.5</v>
      </c>
      <c r="O969" s="9">
        <v>30</v>
      </c>
      <c r="P969" s="9">
        <v>30</v>
      </c>
      <c r="Q969" s="9">
        <v>20</v>
      </c>
      <c r="R969" s="23">
        <v>20</v>
      </c>
      <c r="S969" s="22"/>
      <c r="T969" s="8">
        <v>241.5</v>
      </c>
    </row>
    <row r="970" spans="5:20">
      <c r="E970" s="21" t="s">
        <v>50</v>
      </c>
      <c r="F970" s="22"/>
      <c r="G970" s="8" t="s">
        <v>36</v>
      </c>
      <c r="H970" s="9">
        <v>96</v>
      </c>
      <c r="I970" s="23">
        <v>86</v>
      </c>
      <c r="J970" s="24"/>
      <c r="K970" s="22"/>
      <c r="L970" s="23">
        <v>98</v>
      </c>
      <c r="M970" s="22"/>
      <c r="N970" s="9">
        <v>80</v>
      </c>
      <c r="O970" s="9">
        <v>95</v>
      </c>
      <c r="P970" s="9">
        <v>99</v>
      </c>
      <c r="Q970" s="9">
        <v>50</v>
      </c>
      <c r="R970" s="23">
        <v>50</v>
      </c>
      <c r="S970" s="22"/>
      <c r="T970" s="8">
        <v>654</v>
      </c>
    </row>
    <row r="971" spans="5:20">
      <c r="E971" s="6" t="s">
        <v>51</v>
      </c>
      <c r="F971" s="6"/>
      <c r="G971" s="8" t="s">
        <v>52</v>
      </c>
      <c r="H971" s="9">
        <v>100</v>
      </c>
      <c r="I971" s="23">
        <v>100</v>
      </c>
      <c r="J971" s="24"/>
      <c r="K971" s="22"/>
      <c r="L971" s="23">
        <v>100</v>
      </c>
      <c r="M971" s="22"/>
      <c r="N971" s="9">
        <v>100</v>
      </c>
      <c r="O971" s="9">
        <v>100</v>
      </c>
      <c r="P971" s="9">
        <v>100</v>
      </c>
      <c r="Q971" s="9">
        <v>50</v>
      </c>
      <c r="R971" s="23">
        <v>50</v>
      </c>
      <c r="S971" s="22"/>
      <c r="T971" s="8">
        <v>700</v>
      </c>
    </row>
    <row r="972" spans="5:20">
      <c r="E972" s="21" t="s">
        <v>92</v>
      </c>
      <c r="F972" s="22"/>
      <c r="G972" s="8" t="s">
        <v>54</v>
      </c>
      <c r="H972" s="9" t="s">
        <v>93</v>
      </c>
      <c r="I972" s="23" t="s">
        <v>122</v>
      </c>
      <c r="J972" s="24"/>
      <c r="K972" s="22"/>
      <c r="L972" s="23" t="s">
        <v>93</v>
      </c>
      <c r="M972" s="22"/>
      <c r="N972" s="9" t="s">
        <v>95</v>
      </c>
      <c r="O972" s="9" t="s">
        <v>93</v>
      </c>
      <c r="P972" s="9" t="s">
        <v>93</v>
      </c>
      <c r="Q972" s="9" t="s">
        <v>93</v>
      </c>
      <c r="R972" s="23" t="s">
        <v>93</v>
      </c>
      <c r="S972" s="22"/>
      <c r="T972" s="8" t="s">
        <v>33</v>
      </c>
    </row>
    <row r="973" spans="5:20">
      <c r="E973" s="11" t="s">
        <v>56</v>
      </c>
      <c r="F973" s="11" t="s">
        <v>619</v>
      </c>
      <c r="G973" s="8" t="s">
        <v>58</v>
      </c>
      <c r="H973" s="9" t="s">
        <v>59</v>
      </c>
      <c r="I973" s="23" t="s">
        <v>59</v>
      </c>
      <c r="J973" s="24"/>
      <c r="K973" s="22"/>
      <c r="L973" s="23" t="s">
        <v>59</v>
      </c>
      <c r="M973" s="22"/>
      <c r="N973" s="9" t="s">
        <v>59</v>
      </c>
      <c r="O973" s="9" t="s">
        <v>59</v>
      </c>
      <c r="P973" s="9" t="s">
        <v>59</v>
      </c>
      <c r="Q973" s="9" t="s">
        <v>59</v>
      </c>
      <c r="R973" s="23" t="s">
        <v>59</v>
      </c>
      <c r="S973" s="22"/>
      <c r="T973" s="8" t="s">
        <v>33</v>
      </c>
    </row>
    <row r="974" spans="5:20">
      <c r="E974" s="12" t="s">
        <v>33</v>
      </c>
      <c r="F974" s="12" t="s">
        <v>33</v>
      </c>
      <c r="G974" s="12" t="s">
        <v>33</v>
      </c>
      <c r="H974" s="13" t="s">
        <v>33</v>
      </c>
      <c r="I974" s="20" t="s">
        <v>33</v>
      </c>
      <c r="J974" s="18"/>
      <c r="K974" s="18"/>
      <c r="L974" s="20" t="s">
        <v>33</v>
      </c>
      <c r="M974" s="18"/>
      <c r="N974" s="13" t="s">
        <v>33</v>
      </c>
      <c r="O974" s="13" t="s">
        <v>33</v>
      </c>
      <c r="P974" s="13" t="s">
        <v>33</v>
      </c>
      <c r="Q974" s="13" t="s">
        <v>33</v>
      </c>
      <c r="R974" s="20" t="s">
        <v>33</v>
      </c>
      <c r="S974" s="18"/>
      <c r="T974" s="13" t="s">
        <v>33</v>
      </c>
    </row>
    <row r="975" spans="5:20" ht="0" hidden="1" customHeight="1"/>
    <row r="976" spans="5:20" ht="0.6" customHeight="1"/>
    <row r="977" spans="5:20">
      <c r="E977" s="31" t="s">
        <v>31</v>
      </c>
      <c r="F977" s="22"/>
      <c r="G977" s="3" t="s">
        <v>32</v>
      </c>
      <c r="H977" s="5" t="s">
        <v>33</v>
      </c>
      <c r="I977" s="32" t="s">
        <v>33</v>
      </c>
      <c r="J977" s="18"/>
      <c r="K977" s="18"/>
      <c r="L977" s="32" t="s">
        <v>33</v>
      </c>
      <c r="M977" s="18"/>
      <c r="N977" s="5" t="s">
        <v>33</v>
      </c>
      <c r="O977" s="5" t="s">
        <v>33</v>
      </c>
      <c r="P977" s="5" t="s">
        <v>33</v>
      </c>
      <c r="Q977" s="5" t="s">
        <v>33</v>
      </c>
      <c r="R977" s="32" t="s">
        <v>33</v>
      </c>
      <c r="S977" s="18"/>
      <c r="T977" s="5" t="s">
        <v>33</v>
      </c>
    </row>
    <row r="978" spans="5:20" ht="21">
      <c r="E978" s="21" t="s">
        <v>620</v>
      </c>
      <c r="F978" s="22"/>
      <c r="G978" s="7" t="s">
        <v>35</v>
      </c>
      <c r="H978" s="7" t="s">
        <v>5</v>
      </c>
      <c r="I978" s="30" t="s">
        <v>7</v>
      </c>
      <c r="J978" s="24"/>
      <c r="K978" s="22"/>
      <c r="L978" s="30" t="s">
        <v>9</v>
      </c>
      <c r="M978" s="22"/>
      <c r="N978" s="7" t="s">
        <v>11</v>
      </c>
      <c r="O978" s="7" t="s">
        <v>15</v>
      </c>
      <c r="P978" s="7" t="s">
        <v>17</v>
      </c>
      <c r="Q978" s="7" t="s">
        <v>19</v>
      </c>
      <c r="R978" s="30" t="s">
        <v>21</v>
      </c>
      <c r="S978" s="22"/>
      <c r="T978" s="7" t="s">
        <v>36</v>
      </c>
    </row>
    <row r="979" spans="5:20" ht="22.5">
      <c r="E979" s="6" t="s">
        <v>37</v>
      </c>
      <c r="F979" s="6" t="s">
        <v>621</v>
      </c>
      <c r="G979" s="8" t="s">
        <v>39</v>
      </c>
      <c r="H979" s="9" t="s">
        <v>440</v>
      </c>
      <c r="I979" s="23" t="s">
        <v>578</v>
      </c>
      <c r="J979" s="24"/>
      <c r="K979" s="22"/>
      <c r="L979" s="23" t="s">
        <v>273</v>
      </c>
      <c r="M979" s="22"/>
      <c r="N979" s="9" t="s">
        <v>152</v>
      </c>
      <c r="O979" s="9" t="s">
        <v>622</v>
      </c>
      <c r="P979" s="9" t="s">
        <v>623</v>
      </c>
      <c r="Q979" s="9" t="s">
        <v>43</v>
      </c>
      <c r="R979" s="23" t="s">
        <v>89</v>
      </c>
      <c r="S979" s="22"/>
      <c r="T979" s="8" t="s">
        <v>33</v>
      </c>
    </row>
    <row r="980" spans="5:20">
      <c r="E980" s="21" t="s">
        <v>624</v>
      </c>
      <c r="F980" s="25"/>
      <c r="G980" s="8" t="s">
        <v>42</v>
      </c>
      <c r="H980" s="9" t="s">
        <v>43</v>
      </c>
      <c r="I980" s="23" t="s">
        <v>43</v>
      </c>
      <c r="J980" s="24"/>
      <c r="K980" s="22"/>
      <c r="L980" s="23" t="s">
        <v>43</v>
      </c>
      <c r="M980" s="22"/>
      <c r="N980" s="9" t="s">
        <v>43</v>
      </c>
      <c r="O980" s="9" t="s">
        <v>43</v>
      </c>
      <c r="P980" s="9" t="s">
        <v>43</v>
      </c>
      <c r="Q980" s="9" t="s">
        <v>91</v>
      </c>
      <c r="R980" s="23" t="s">
        <v>43</v>
      </c>
      <c r="S980" s="22"/>
      <c r="T980" s="8" t="s">
        <v>33</v>
      </c>
    </row>
    <row r="981" spans="5:20">
      <c r="E981" s="26"/>
      <c r="F981" s="27"/>
      <c r="G981" s="8" t="s">
        <v>44</v>
      </c>
      <c r="H981" s="9" t="s">
        <v>33</v>
      </c>
      <c r="I981" s="23" t="s">
        <v>33</v>
      </c>
      <c r="J981" s="24"/>
      <c r="K981" s="22"/>
      <c r="L981" s="23" t="s">
        <v>33</v>
      </c>
      <c r="M981" s="22"/>
      <c r="N981" s="9" t="s">
        <v>33</v>
      </c>
      <c r="O981" s="9" t="s">
        <v>33</v>
      </c>
      <c r="P981" s="9" t="s">
        <v>33</v>
      </c>
      <c r="Q981" s="9" t="s">
        <v>33</v>
      </c>
      <c r="R981" s="23" t="s">
        <v>33</v>
      </c>
      <c r="S981" s="22"/>
      <c r="T981" s="8">
        <v>0</v>
      </c>
    </row>
    <row r="982" spans="5:20">
      <c r="E982" s="28"/>
      <c r="F982" s="29"/>
      <c r="G982" s="8" t="s">
        <v>45</v>
      </c>
      <c r="H982" s="9">
        <v>4</v>
      </c>
      <c r="I982" s="23">
        <v>4</v>
      </c>
      <c r="J982" s="24"/>
      <c r="K982" s="22"/>
      <c r="L982" s="23">
        <v>4</v>
      </c>
      <c r="M982" s="22"/>
      <c r="N982" s="9">
        <v>3</v>
      </c>
      <c r="O982" s="9">
        <v>3</v>
      </c>
      <c r="P982" s="9">
        <v>3</v>
      </c>
      <c r="Q982" s="9">
        <v>2</v>
      </c>
      <c r="R982" s="23">
        <v>2</v>
      </c>
      <c r="S982" s="22"/>
      <c r="T982" s="8">
        <v>25</v>
      </c>
    </row>
    <row r="983" spans="5:20">
      <c r="E983" s="6" t="s">
        <v>46</v>
      </c>
      <c r="F983" s="6">
        <v>8.98</v>
      </c>
      <c r="G983" s="8" t="s">
        <v>47</v>
      </c>
      <c r="H983" s="9">
        <v>8</v>
      </c>
      <c r="I983" s="23">
        <v>9.5</v>
      </c>
      <c r="J983" s="24"/>
      <c r="K983" s="22"/>
      <c r="L983" s="23">
        <v>9.5</v>
      </c>
      <c r="M983" s="22"/>
      <c r="N983" s="9">
        <v>8</v>
      </c>
      <c r="O983" s="9">
        <v>9.5</v>
      </c>
      <c r="P983" s="9">
        <v>8</v>
      </c>
      <c r="Q983" s="9">
        <v>10</v>
      </c>
      <c r="R983" s="23">
        <v>10</v>
      </c>
      <c r="S983" s="22"/>
      <c r="T983" s="8" t="s">
        <v>33</v>
      </c>
    </row>
    <row r="984" spans="5:20">
      <c r="E984" s="6" t="s">
        <v>48</v>
      </c>
      <c r="F984" s="10">
        <v>9.0299999999999994</v>
      </c>
      <c r="G984" s="8" t="s">
        <v>49</v>
      </c>
      <c r="H984" s="9">
        <v>32</v>
      </c>
      <c r="I984" s="23">
        <v>38</v>
      </c>
      <c r="J984" s="24"/>
      <c r="K984" s="22"/>
      <c r="L984" s="23">
        <v>38</v>
      </c>
      <c r="M984" s="22"/>
      <c r="N984" s="9">
        <v>24</v>
      </c>
      <c r="O984" s="9">
        <v>28.5</v>
      </c>
      <c r="P984" s="9">
        <v>24</v>
      </c>
      <c r="Q984" s="9">
        <v>20</v>
      </c>
      <c r="R984" s="23">
        <v>20</v>
      </c>
      <c r="S984" s="22"/>
      <c r="T984" s="8">
        <v>224.5</v>
      </c>
    </row>
    <row r="985" spans="5:20">
      <c r="E985" s="21" t="s">
        <v>50</v>
      </c>
      <c r="F985" s="22"/>
      <c r="G985" s="8" t="s">
        <v>36</v>
      </c>
      <c r="H985" s="9">
        <v>78</v>
      </c>
      <c r="I985" s="23">
        <v>90</v>
      </c>
      <c r="J985" s="24"/>
      <c r="K985" s="22"/>
      <c r="L985" s="23">
        <v>93</v>
      </c>
      <c r="M985" s="22"/>
      <c r="N985" s="9">
        <v>75</v>
      </c>
      <c r="O985" s="9">
        <v>93</v>
      </c>
      <c r="P985" s="9">
        <v>77</v>
      </c>
      <c r="Q985" s="9">
        <v>50</v>
      </c>
      <c r="R985" s="23">
        <v>50</v>
      </c>
      <c r="S985" s="22"/>
      <c r="T985" s="8">
        <v>606</v>
      </c>
    </row>
    <row r="986" spans="5:20">
      <c r="E986" s="6" t="s">
        <v>51</v>
      </c>
      <c r="F986" s="6"/>
      <c r="G986" s="8" t="s">
        <v>52</v>
      </c>
      <c r="H986" s="9">
        <v>100</v>
      </c>
      <c r="I986" s="23">
        <v>100</v>
      </c>
      <c r="J986" s="24"/>
      <c r="K986" s="22"/>
      <c r="L986" s="23">
        <v>100</v>
      </c>
      <c r="M986" s="22"/>
      <c r="N986" s="9">
        <v>100</v>
      </c>
      <c r="O986" s="9">
        <v>100</v>
      </c>
      <c r="P986" s="9">
        <v>100</v>
      </c>
      <c r="Q986" s="9">
        <v>50</v>
      </c>
      <c r="R986" s="23">
        <v>50</v>
      </c>
      <c r="S986" s="22"/>
      <c r="T986" s="8">
        <v>700</v>
      </c>
    </row>
    <row r="987" spans="5:20">
      <c r="E987" s="21" t="s">
        <v>170</v>
      </c>
      <c r="F987" s="22"/>
      <c r="G987" s="8" t="s">
        <v>54</v>
      </c>
      <c r="H987" s="9" t="s">
        <v>135</v>
      </c>
      <c r="I987" s="23" t="s">
        <v>94</v>
      </c>
      <c r="J987" s="24"/>
      <c r="K987" s="22"/>
      <c r="L987" s="23" t="s">
        <v>94</v>
      </c>
      <c r="M987" s="22"/>
      <c r="N987" s="9" t="s">
        <v>135</v>
      </c>
      <c r="O987" s="9" t="s">
        <v>94</v>
      </c>
      <c r="P987" s="9" t="s">
        <v>135</v>
      </c>
      <c r="Q987" s="9" t="s">
        <v>93</v>
      </c>
      <c r="R987" s="23" t="s">
        <v>93</v>
      </c>
      <c r="S987" s="22"/>
      <c r="T987" s="8" t="s">
        <v>33</v>
      </c>
    </row>
    <row r="988" spans="5:20">
      <c r="E988" s="11" t="s">
        <v>56</v>
      </c>
      <c r="F988" s="11" t="s">
        <v>625</v>
      </c>
      <c r="G988" s="8" t="s">
        <v>58</v>
      </c>
      <c r="H988" s="9" t="s">
        <v>59</v>
      </c>
      <c r="I988" s="23" t="s">
        <v>59</v>
      </c>
      <c r="J988" s="24"/>
      <c r="K988" s="22"/>
      <c r="L988" s="23" t="s">
        <v>59</v>
      </c>
      <c r="M988" s="22"/>
      <c r="N988" s="9" t="s">
        <v>59</v>
      </c>
      <c r="O988" s="9" t="s">
        <v>59</v>
      </c>
      <c r="P988" s="9" t="s">
        <v>59</v>
      </c>
      <c r="Q988" s="9" t="s">
        <v>59</v>
      </c>
      <c r="R988" s="23" t="s">
        <v>59</v>
      </c>
      <c r="S988" s="22"/>
      <c r="T988" s="8" t="s">
        <v>33</v>
      </c>
    </row>
    <row r="989" spans="5:20">
      <c r="E989" s="12" t="s">
        <v>33</v>
      </c>
      <c r="F989" s="12" t="s">
        <v>33</v>
      </c>
      <c r="G989" s="12" t="s">
        <v>33</v>
      </c>
      <c r="H989" s="13" t="s">
        <v>33</v>
      </c>
      <c r="I989" s="20" t="s">
        <v>33</v>
      </c>
      <c r="J989" s="18"/>
      <c r="K989" s="18"/>
      <c r="L989" s="20" t="s">
        <v>33</v>
      </c>
      <c r="M989" s="18"/>
      <c r="N989" s="13" t="s">
        <v>33</v>
      </c>
      <c r="O989" s="13" t="s">
        <v>33</v>
      </c>
      <c r="P989" s="13" t="s">
        <v>33</v>
      </c>
      <c r="Q989" s="13" t="s">
        <v>33</v>
      </c>
      <c r="R989" s="20" t="s">
        <v>33</v>
      </c>
      <c r="S989" s="18"/>
      <c r="T989" s="13" t="s">
        <v>33</v>
      </c>
    </row>
    <row r="990" spans="5:20" ht="0.6" customHeight="1"/>
    <row r="991" spans="5:20">
      <c r="E991" s="31" t="s">
        <v>31</v>
      </c>
      <c r="F991" s="22"/>
      <c r="G991" s="3" t="s">
        <v>32</v>
      </c>
      <c r="H991" s="5" t="s">
        <v>33</v>
      </c>
      <c r="I991" s="32" t="s">
        <v>33</v>
      </c>
      <c r="J991" s="18"/>
      <c r="K991" s="18"/>
      <c r="L991" s="32" t="s">
        <v>33</v>
      </c>
      <c r="M991" s="18"/>
      <c r="N991" s="5" t="s">
        <v>33</v>
      </c>
      <c r="O991" s="5" t="s">
        <v>33</v>
      </c>
      <c r="P991" s="5" t="s">
        <v>33</v>
      </c>
      <c r="Q991" s="5" t="s">
        <v>33</v>
      </c>
      <c r="R991" s="32" t="s">
        <v>33</v>
      </c>
      <c r="S991" s="18"/>
      <c r="T991" s="5" t="s">
        <v>33</v>
      </c>
    </row>
    <row r="992" spans="5:20" ht="21">
      <c r="E992" s="21" t="s">
        <v>626</v>
      </c>
      <c r="F992" s="22"/>
      <c r="G992" s="7" t="s">
        <v>35</v>
      </c>
      <c r="H992" s="7" t="s">
        <v>5</v>
      </c>
      <c r="I992" s="30" t="s">
        <v>7</v>
      </c>
      <c r="J992" s="24"/>
      <c r="K992" s="22"/>
      <c r="L992" s="30" t="s">
        <v>9</v>
      </c>
      <c r="M992" s="22"/>
      <c r="N992" s="7" t="s">
        <v>11</v>
      </c>
      <c r="O992" s="7" t="s">
        <v>13</v>
      </c>
      <c r="P992" s="7" t="s">
        <v>17</v>
      </c>
      <c r="Q992" s="7" t="s">
        <v>19</v>
      </c>
      <c r="R992" s="30" t="s">
        <v>21</v>
      </c>
      <c r="S992" s="22"/>
      <c r="T992" s="7" t="s">
        <v>36</v>
      </c>
    </row>
    <row r="993" spans="5:20" ht="22.5">
      <c r="E993" s="6" t="s">
        <v>37</v>
      </c>
      <c r="F993" s="6" t="s">
        <v>627</v>
      </c>
      <c r="G993" s="8" t="s">
        <v>39</v>
      </c>
      <c r="H993" s="9" t="s">
        <v>510</v>
      </c>
      <c r="I993" s="23" t="s">
        <v>628</v>
      </c>
      <c r="J993" s="24"/>
      <c r="K993" s="22"/>
      <c r="L993" s="23" t="s">
        <v>629</v>
      </c>
      <c r="M993" s="22"/>
      <c r="N993" s="9" t="s">
        <v>630</v>
      </c>
      <c r="O993" s="9" t="s">
        <v>474</v>
      </c>
      <c r="P993" s="9" t="s">
        <v>465</v>
      </c>
      <c r="Q993" s="9" t="s">
        <v>43</v>
      </c>
      <c r="R993" s="23" t="s">
        <v>276</v>
      </c>
      <c r="S993" s="22"/>
      <c r="T993" s="8" t="s">
        <v>33</v>
      </c>
    </row>
    <row r="994" spans="5:20">
      <c r="E994" s="21" t="s">
        <v>631</v>
      </c>
      <c r="F994" s="25"/>
      <c r="G994" s="8" t="s">
        <v>42</v>
      </c>
      <c r="H994" s="9" t="s">
        <v>43</v>
      </c>
      <c r="I994" s="23" t="s">
        <v>43</v>
      </c>
      <c r="J994" s="24"/>
      <c r="K994" s="22"/>
      <c r="L994" s="23" t="s">
        <v>43</v>
      </c>
      <c r="M994" s="22"/>
      <c r="N994" s="9" t="s">
        <v>43</v>
      </c>
      <c r="O994" s="9" t="s">
        <v>43</v>
      </c>
      <c r="P994" s="9" t="s">
        <v>43</v>
      </c>
      <c r="Q994" s="9" t="s">
        <v>91</v>
      </c>
      <c r="R994" s="23" t="s">
        <v>43</v>
      </c>
      <c r="S994" s="22"/>
      <c r="T994" s="8" t="s">
        <v>33</v>
      </c>
    </row>
    <row r="995" spans="5:20">
      <c r="E995" s="26"/>
      <c r="F995" s="27"/>
      <c r="G995" s="8" t="s">
        <v>44</v>
      </c>
      <c r="H995" s="9" t="s">
        <v>33</v>
      </c>
      <c r="I995" s="23" t="s">
        <v>33</v>
      </c>
      <c r="J995" s="24"/>
      <c r="K995" s="22"/>
      <c r="L995" s="23" t="s">
        <v>33</v>
      </c>
      <c r="M995" s="22"/>
      <c r="N995" s="9" t="s">
        <v>33</v>
      </c>
      <c r="O995" s="9" t="s">
        <v>33</v>
      </c>
      <c r="P995" s="9" t="s">
        <v>33</v>
      </c>
      <c r="Q995" s="9" t="s">
        <v>33</v>
      </c>
      <c r="R995" s="23" t="s">
        <v>33</v>
      </c>
      <c r="S995" s="22"/>
      <c r="T995" s="8">
        <v>0</v>
      </c>
    </row>
    <row r="996" spans="5:20">
      <c r="E996" s="28"/>
      <c r="F996" s="29"/>
      <c r="G996" s="8" t="s">
        <v>45</v>
      </c>
      <c r="H996" s="9">
        <v>4</v>
      </c>
      <c r="I996" s="23">
        <v>4</v>
      </c>
      <c r="J996" s="24"/>
      <c r="K996" s="22"/>
      <c r="L996" s="23">
        <v>4</v>
      </c>
      <c r="M996" s="22"/>
      <c r="N996" s="9">
        <v>3</v>
      </c>
      <c r="O996" s="9">
        <v>3</v>
      </c>
      <c r="P996" s="9">
        <v>3</v>
      </c>
      <c r="Q996" s="9">
        <v>2</v>
      </c>
      <c r="R996" s="23">
        <v>2</v>
      </c>
      <c r="S996" s="22"/>
      <c r="T996" s="8">
        <v>25</v>
      </c>
    </row>
    <row r="997" spans="5:20">
      <c r="E997" s="6" t="s">
        <v>46</v>
      </c>
      <c r="F997" s="6">
        <v>8.68</v>
      </c>
      <c r="G997" s="8" t="s">
        <v>47</v>
      </c>
      <c r="H997" s="9">
        <v>8</v>
      </c>
      <c r="I997" s="23">
        <v>8</v>
      </c>
      <c r="J997" s="24"/>
      <c r="K997" s="22"/>
      <c r="L997" s="23">
        <v>9.5</v>
      </c>
      <c r="M997" s="22"/>
      <c r="N997" s="9">
        <v>9</v>
      </c>
      <c r="O997" s="9">
        <v>9</v>
      </c>
      <c r="P997" s="9">
        <v>7</v>
      </c>
      <c r="Q997" s="9">
        <v>10</v>
      </c>
      <c r="R997" s="23">
        <v>10</v>
      </c>
      <c r="S997" s="22"/>
      <c r="T997" s="8" t="s">
        <v>33</v>
      </c>
    </row>
    <row r="998" spans="5:20">
      <c r="E998" s="6" t="s">
        <v>48</v>
      </c>
      <c r="F998" s="10">
        <v>7.55</v>
      </c>
      <c r="G998" s="8" t="s">
        <v>49</v>
      </c>
      <c r="H998" s="9">
        <v>32</v>
      </c>
      <c r="I998" s="23">
        <v>32</v>
      </c>
      <c r="J998" s="24"/>
      <c r="K998" s="22"/>
      <c r="L998" s="23">
        <v>38</v>
      </c>
      <c r="M998" s="22"/>
      <c r="N998" s="9">
        <v>27</v>
      </c>
      <c r="O998" s="9">
        <v>27</v>
      </c>
      <c r="P998" s="9">
        <v>21</v>
      </c>
      <c r="Q998" s="9">
        <v>20</v>
      </c>
      <c r="R998" s="23">
        <v>20</v>
      </c>
      <c r="S998" s="22"/>
      <c r="T998" s="8">
        <v>217</v>
      </c>
    </row>
    <row r="999" spans="5:20">
      <c r="E999" s="21" t="s">
        <v>50</v>
      </c>
      <c r="F999" s="22"/>
      <c r="G999" s="8" t="s">
        <v>36</v>
      </c>
      <c r="H999" s="9">
        <v>78</v>
      </c>
      <c r="I999" s="23">
        <v>75</v>
      </c>
      <c r="J999" s="24"/>
      <c r="K999" s="22"/>
      <c r="L999" s="23">
        <v>92</v>
      </c>
      <c r="M999" s="22"/>
      <c r="N999" s="9">
        <v>85</v>
      </c>
      <c r="O999" s="9">
        <v>86</v>
      </c>
      <c r="P999" s="9">
        <v>68</v>
      </c>
      <c r="Q999" s="9">
        <v>50</v>
      </c>
      <c r="R999" s="23">
        <v>48</v>
      </c>
      <c r="S999" s="22"/>
      <c r="T999" s="8">
        <v>582</v>
      </c>
    </row>
    <row r="1000" spans="5:20">
      <c r="E1000" s="6" t="s">
        <v>51</v>
      </c>
      <c r="F1000" s="6"/>
      <c r="G1000" s="8" t="s">
        <v>52</v>
      </c>
      <c r="H1000" s="9">
        <v>100</v>
      </c>
      <c r="I1000" s="23">
        <v>100</v>
      </c>
      <c r="J1000" s="24"/>
      <c r="K1000" s="22"/>
      <c r="L1000" s="23">
        <v>100</v>
      </c>
      <c r="M1000" s="22"/>
      <c r="N1000" s="9">
        <v>100</v>
      </c>
      <c r="O1000" s="9">
        <v>100</v>
      </c>
      <c r="P1000" s="9">
        <v>100</v>
      </c>
      <c r="Q1000" s="9">
        <v>50</v>
      </c>
      <c r="R1000" s="23">
        <v>50</v>
      </c>
      <c r="S1000" s="22"/>
      <c r="T1000" s="8">
        <v>700</v>
      </c>
    </row>
    <row r="1001" spans="5:20">
      <c r="E1001" s="21" t="s">
        <v>170</v>
      </c>
      <c r="F1001" s="22"/>
      <c r="G1001" s="8" t="s">
        <v>54</v>
      </c>
      <c r="H1001" s="9" t="s">
        <v>135</v>
      </c>
      <c r="I1001" s="23" t="s">
        <v>135</v>
      </c>
      <c r="J1001" s="24"/>
      <c r="K1001" s="22"/>
      <c r="L1001" s="23" t="s">
        <v>94</v>
      </c>
      <c r="M1001" s="22"/>
      <c r="N1001" s="9" t="s">
        <v>122</v>
      </c>
      <c r="O1001" s="9" t="s">
        <v>122</v>
      </c>
      <c r="P1001" s="9" t="s">
        <v>109</v>
      </c>
      <c r="Q1001" s="9" t="s">
        <v>93</v>
      </c>
      <c r="R1001" s="23" t="s">
        <v>93</v>
      </c>
      <c r="S1001" s="22"/>
      <c r="T1001" s="8" t="s">
        <v>33</v>
      </c>
    </row>
    <row r="1002" spans="5:20">
      <c r="E1002" s="11" t="s">
        <v>56</v>
      </c>
      <c r="F1002" s="11" t="s">
        <v>632</v>
      </c>
      <c r="G1002" s="8" t="s">
        <v>58</v>
      </c>
      <c r="H1002" s="9" t="s">
        <v>59</v>
      </c>
      <c r="I1002" s="23" t="s">
        <v>59</v>
      </c>
      <c r="J1002" s="24"/>
      <c r="K1002" s="22"/>
      <c r="L1002" s="23" t="s">
        <v>59</v>
      </c>
      <c r="M1002" s="22"/>
      <c r="N1002" s="9" t="s">
        <v>59</v>
      </c>
      <c r="O1002" s="9" t="s">
        <v>59</v>
      </c>
      <c r="P1002" s="9" t="s">
        <v>59</v>
      </c>
      <c r="Q1002" s="9" t="s">
        <v>59</v>
      </c>
      <c r="R1002" s="23" t="s">
        <v>59</v>
      </c>
      <c r="S1002" s="22"/>
      <c r="T1002" s="8" t="s">
        <v>33</v>
      </c>
    </row>
    <row r="1003" spans="5:20">
      <c r="E1003" s="12" t="s">
        <v>33</v>
      </c>
      <c r="F1003" s="12" t="s">
        <v>33</v>
      </c>
      <c r="G1003" s="12" t="s">
        <v>33</v>
      </c>
      <c r="H1003" s="13" t="s">
        <v>33</v>
      </c>
      <c r="I1003" s="20" t="s">
        <v>33</v>
      </c>
      <c r="J1003" s="18"/>
      <c r="K1003" s="18"/>
      <c r="L1003" s="20" t="s">
        <v>33</v>
      </c>
      <c r="M1003" s="18"/>
      <c r="N1003" s="13" t="s">
        <v>33</v>
      </c>
      <c r="O1003" s="13" t="s">
        <v>33</v>
      </c>
      <c r="P1003" s="13" t="s">
        <v>33</v>
      </c>
      <c r="Q1003" s="13" t="s">
        <v>33</v>
      </c>
      <c r="R1003" s="20" t="s">
        <v>33</v>
      </c>
      <c r="S1003" s="18"/>
      <c r="T1003" s="13" t="s">
        <v>33</v>
      </c>
    </row>
    <row r="1004" spans="5:20" ht="0" hidden="1" customHeight="1"/>
    <row r="1005" spans="5:20" ht="0" hidden="1" customHeight="1"/>
  </sheetData>
  <mergeCells count="2820">
    <mergeCell ref="I30:K30"/>
    <mergeCell ref="I31:K31"/>
    <mergeCell ref="E32:F32"/>
    <mergeCell ref="I32:K32"/>
    <mergeCell ref="I33:K33"/>
    <mergeCell ref="I26:K26"/>
    <mergeCell ref="E27:F29"/>
    <mergeCell ref="I27:K27"/>
    <mergeCell ref="I28:K28"/>
    <mergeCell ref="I29:K29"/>
    <mergeCell ref="E17:F17"/>
    <mergeCell ref="E19:F19"/>
    <mergeCell ref="E24:F24"/>
    <mergeCell ref="I24:K24"/>
    <mergeCell ref="E25:F25"/>
    <mergeCell ref="I25:K25"/>
    <mergeCell ref="D2:R2"/>
    <mergeCell ref="D4:U4"/>
    <mergeCell ref="E9:F9"/>
    <mergeCell ref="E10:F10"/>
    <mergeCell ref="E12:F14"/>
    <mergeCell ref="I45:K45"/>
    <mergeCell ref="I46:K46"/>
    <mergeCell ref="E47:F47"/>
    <mergeCell ref="I47:K47"/>
    <mergeCell ref="I48:K48"/>
    <mergeCell ref="E40:F40"/>
    <mergeCell ref="I40:K40"/>
    <mergeCell ref="I41:K41"/>
    <mergeCell ref="E42:F44"/>
    <mergeCell ref="I42:K42"/>
    <mergeCell ref="I43:K43"/>
    <mergeCell ref="I44:K44"/>
    <mergeCell ref="E34:F34"/>
    <mergeCell ref="I34:K34"/>
    <mergeCell ref="I35:K35"/>
    <mergeCell ref="I36:K36"/>
    <mergeCell ref="E39:F39"/>
    <mergeCell ref="I39:K39"/>
    <mergeCell ref="I68:K68"/>
    <mergeCell ref="L68:M68"/>
    <mergeCell ref="R68:S68"/>
    <mergeCell ref="E69:F69"/>
    <mergeCell ref="I69:K69"/>
    <mergeCell ref="L69:M69"/>
    <mergeCell ref="R69:S69"/>
    <mergeCell ref="E55:F55"/>
    <mergeCell ref="E57:F59"/>
    <mergeCell ref="E62:F62"/>
    <mergeCell ref="E64:F64"/>
    <mergeCell ref="E68:F68"/>
    <mergeCell ref="E49:F49"/>
    <mergeCell ref="I49:K49"/>
    <mergeCell ref="I50:K50"/>
    <mergeCell ref="I51:K51"/>
    <mergeCell ref="E54:F54"/>
    <mergeCell ref="I74:K74"/>
    <mergeCell ref="L74:M74"/>
    <mergeCell ref="R74:S74"/>
    <mergeCell ref="I75:K75"/>
    <mergeCell ref="L75:M75"/>
    <mergeCell ref="R75:S75"/>
    <mergeCell ref="I70:K70"/>
    <mergeCell ref="L70:M70"/>
    <mergeCell ref="R70:S70"/>
    <mergeCell ref="E71:F73"/>
    <mergeCell ref="I71:K71"/>
    <mergeCell ref="L71:M71"/>
    <mergeCell ref="R71:S71"/>
    <mergeCell ref="I72:K72"/>
    <mergeCell ref="L72:M72"/>
    <mergeCell ref="R72:S72"/>
    <mergeCell ref="I73:K73"/>
    <mergeCell ref="L73:M73"/>
    <mergeCell ref="R73:S73"/>
    <mergeCell ref="I80:K80"/>
    <mergeCell ref="L80:M80"/>
    <mergeCell ref="R80:S80"/>
    <mergeCell ref="E83:F83"/>
    <mergeCell ref="I83:K83"/>
    <mergeCell ref="L83:M83"/>
    <mergeCell ref="R83:S83"/>
    <mergeCell ref="E78:F78"/>
    <mergeCell ref="I78:K78"/>
    <mergeCell ref="L78:M78"/>
    <mergeCell ref="R78:S78"/>
    <mergeCell ref="I79:K79"/>
    <mergeCell ref="L79:M79"/>
    <mergeCell ref="R79:S79"/>
    <mergeCell ref="E76:F76"/>
    <mergeCell ref="I76:K76"/>
    <mergeCell ref="L76:M76"/>
    <mergeCell ref="R76:S76"/>
    <mergeCell ref="I77:K77"/>
    <mergeCell ref="L77:M77"/>
    <mergeCell ref="R77:S77"/>
    <mergeCell ref="I89:K89"/>
    <mergeCell ref="L89:M89"/>
    <mergeCell ref="R89:S89"/>
    <mergeCell ref="I90:K90"/>
    <mergeCell ref="L90:M90"/>
    <mergeCell ref="R90:S90"/>
    <mergeCell ref="E86:F88"/>
    <mergeCell ref="I86:K86"/>
    <mergeCell ref="L86:M86"/>
    <mergeCell ref="R86:S86"/>
    <mergeCell ref="I87:K87"/>
    <mergeCell ref="L87:M87"/>
    <mergeCell ref="R87:S87"/>
    <mergeCell ref="I88:K88"/>
    <mergeCell ref="L88:M88"/>
    <mergeCell ref="R88:S88"/>
    <mergeCell ref="E84:F84"/>
    <mergeCell ref="I84:K84"/>
    <mergeCell ref="L84:M84"/>
    <mergeCell ref="R84:S84"/>
    <mergeCell ref="I85:K85"/>
    <mergeCell ref="L85:M85"/>
    <mergeCell ref="R85:S85"/>
    <mergeCell ref="I95:K95"/>
    <mergeCell ref="L95:M95"/>
    <mergeCell ref="R95:S95"/>
    <mergeCell ref="E98:F98"/>
    <mergeCell ref="I98:K98"/>
    <mergeCell ref="L98:M98"/>
    <mergeCell ref="R98:S98"/>
    <mergeCell ref="E93:F93"/>
    <mergeCell ref="I93:K93"/>
    <mergeCell ref="L93:M93"/>
    <mergeCell ref="R93:S93"/>
    <mergeCell ref="I94:K94"/>
    <mergeCell ref="L94:M94"/>
    <mergeCell ref="R94:S94"/>
    <mergeCell ref="E91:F91"/>
    <mergeCell ref="I91:K91"/>
    <mergeCell ref="L91:M91"/>
    <mergeCell ref="R91:S91"/>
    <mergeCell ref="I92:K92"/>
    <mergeCell ref="L92:M92"/>
    <mergeCell ref="R92:S92"/>
    <mergeCell ref="I104:K104"/>
    <mergeCell ref="L104:M104"/>
    <mergeCell ref="R104:S104"/>
    <mergeCell ref="I105:K105"/>
    <mergeCell ref="L105:M105"/>
    <mergeCell ref="R105:S105"/>
    <mergeCell ref="E101:F103"/>
    <mergeCell ref="I101:K101"/>
    <mergeCell ref="L101:M101"/>
    <mergeCell ref="R101:S101"/>
    <mergeCell ref="I102:K102"/>
    <mergeCell ref="L102:M102"/>
    <mergeCell ref="R102:S102"/>
    <mergeCell ref="I103:K103"/>
    <mergeCell ref="L103:M103"/>
    <mergeCell ref="R103:S103"/>
    <mergeCell ref="E99:F99"/>
    <mergeCell ref="I99:K99"/>
    <mergeCell ref="L99:M99"/>
    <mergeCell ref="R99:S99"/>
    <mergeCell ref="I100:K100"/>
    <mergeCell ref="L100:M100"/>
    <mergeCell ref="R100:S100"/>
    <mergeCell ref="I110:K110"/>
    <mergeCell ref="L110:M110"/>
    <mergeCell ref="R110:S110"/>
    <mergeCell ref="E113:F113"/>
    <mergeCell ref="I113:K113"/>
    <mergeCell ref="L113:M113"/>
    <mergeCell ref="R113:S113"/>
    <mergeCell ref="E108:F108"/>
    <mergeCell ref="I108:K108"/>
    <mergeCell ref="L108:M108"/>
    <mergeCell ref="R108:S108"/>
    <mergeCell ref="I109:K109"/>
    <mergeCell ref="L109:M109"/>
    <mergeCell ref="R109:S109"/>
    <mergeCell ref="E106:F106"/>
    <mergeCell ref="I106:K106"/>
    <mergeCell ref="L106:M106"/>
    <mergeCell ref="R106:S106"/>
    <mergeCell ref="I107:K107"/>
    <mergeCell ref="L107:M107"/>
    <mergeCell ref="R107:S107"/>
    <mergeCell ref="I119:K119"/>
    <mergeCell ref="L119:M119"/>
    <mergeCell ref="R119:S119"/>
    <mergeCell ref="I120:K120"/>
    <mergeCell ref="L120:M120"/>
    <mergeCell ref="R120:S120"/>
    <mergeCell ref="E116:F118"/>
    <mergeCell ref="I116:K116"/>
    <mergeCell ref="L116:M116"/>
    <mergeCell ref="R116:S116"/>
    <mergeCell ref="I117:K117"/>
    <mergeCell ref="L117:M117"/>
    <mergeCell ref="R117:S117"/>
    <mergeCell ref="I118:K118"/>
    <mergeCell ref="L118:M118"/>
    <mergeCell ref="R118:S118"/>
    <mergeCell ref="E114:F114"/>
    <mergeCell ref="I114:K114"/>
    <mergeCell ref="L114:M114"/>
    <mergeCell ref="R114:S114"/>
    <mergeCell ref="I115:K115"/>
    <mergeCell ref="L115:M115"/>
    <mergeCell ref="R115:S115"/>
    <mergeCell ref="I125:K125"/>
    <mergeCell ref="L125:M125"/>
    <mergeCell ref="R125:S125"/>
    <mergeCell ref="E128:F128"/>
    <mergeCell ref="I128:K128"/>
    <mergeCell ref="L128:M128"/>
    <mergeCell ref="R128:S128"/>
    <mergeCell ref="E123:F123"/>
    <mergeCell ref="I123:K123"/>
    <mergeCell ref="L123:M123"/>
    <mergeCell ref="R123:S123"/>
    <mergeCell ref="I124:K124"/>
    <mergeCell ref="L124:M124"/>
    <mergeCell ref="R124:S124"/>
    <mergeCell ref="E121:F121"/>
    <mergeCell ref="I121:K121"/>
    <mergeCell ref="L121:M121"/>
    <mergeCell ref="R121:S121"/>
    <mergeCell ref="I122:K122"/>
    <mergeCell ref="L122:M122"/>
    <mergeCell ref="R122:S122"/>
    <mergeCell ref="I134:K134"/>
    <mergeCell ref="L134:M134"/>
    <mergeCell ref="R134:S134"/>
    <mergeCell ref="I135:K135"/>
    <mergeCell ref="L135:M135"/>
    <mergeCell ref="R135:S135"/>
    <mergeCell ref="E131:F133"/>
    <mergeCell ref="I131:K131"/>
    <mergeCell ref="L131:M131"/>
    <mergeCell ref="R131:S131"/>
    <mergeCell ref="I132:K132"/>
    <mergeCell ref="L132:M132"/>
    <mergeCell ref="R132:S132"/>
    <mergeCell ref="I133:K133"/>
    <mergeCell ref="L133:M133"/>
    <mergeCell ref="R133:S133"/>
    <mergeCell ref="E129:F129"/>
    <mergeCell ref="I129:K129"/>
    <mergeCell ref="L129:M129"/>
    <mergeCell ref="R129:S129"/>
    <mergeCell ref="I130:K130"/>
    <mergeCell ref="L130:M130"/>
    <mergeCell ref="R130:S130"/>
    <mergeCell ref="I140:K140"/>
    <mergeCell ref="L140:M140"/>
    <mergeCell ref="R140:S140"/>
    <mergeCell ref="E143:F143"/>
    <mergeCell ref="I143:K143"/>
    <mergeCell ref="L143:M143"/>
    <mergeCell ref="R143:S143"/>
    <mergeCell ref="E138:F138"/>
    <mergeCell ref="I138:K138"/>
    <mergeCell ref="L138:M138"/>
    <mergeCell ref="R138:S138"/>
    <mergeCell ref="I139:K139"/>
    <mergeCell ref="L139:M139"/>
    <mergeCell ref="R139:S139"/>
    <mergeCell ref="E136:F136"/>
    <mergeCell ref="I136:K136"/>
    <mergeCell ref="L136:M136"/>
    <mergeCell ref="R136:S136"/>
    <mergeCell ref="I137:K137"/>
    <mergeCell ref="L137:M137"/>
    <mergeCell ref="R137:S137"/>
    <mergeCell ref="I149:K149"/>
    <mergeCell ref="L149:M149"/>
    <mergeCell ref="R149:S149"/>
    <mergeCell ref="I150:K150"/>
    <mergeCell ref="L150:M150"/>
    <mergeCell ref="R150:S150"/>
    <mergeCell ref="E146:F148"/>
    <mergeCell ref="I146:K146"/>
    <mergeCell ref="L146:M146"/>
    <mergeCell ref="R146:S146"/>
    <mergeCell ref="I147:K147"/>
    <mergeCell ref="L147:M147"/>
    <mergeCell ref="R147:S147"/>
    <mergeCell ref="I148:K148"/>
    <mergeCell ref="L148:M148"/>
    <mergeCell ref="R148:S148"/>
    <mergeCell ref="E144:F144"/>
    <mergeCell ref="I144:K144"/>
    <mergeCell ref="L144:M144"/>
    <mergeCell ref="R144:S144"/>
    <mergeCell ref="I145:K145"/>
    <mergeCell ref="L145:M145"/>
    <mergeCell ref="R145:S145"/>
    <mergeCell ref="I155:K155"/>
    <mergeCell ref="L155:M155"/>
    <mergeCell ref="R155:S155"/>
    <mergeCell ref="E158:F158"/>
    <mergeCell ref="I158:K158"/>
    <mergeCell ref="L158:M158"/>
    <mergeCell ref="R158:S158"/>
    <mergeCell ref="E153:F153"/>
    <mergeCell ref="I153:K153"/>
    <mergeCell ref="L153:M153"/>
    <mergeCell ref="R153:S153"/>
    <mergeCell ref="I154:K154"/>
    <mergeCell ref="L154:M154"/>
    <mergeCell ref="R154:S154"/>
    <mergeCell ref="E151:F151"/>
    <mergeCell ref="I151:K151"/>
    <mergeCell ref="L151:M151"/>
    <mergeCell ref="R151:S151"/>
    <mergeCell ref="I152:K152"/>
    <mergeCell ref="L152:M152"/>
    <mergeCell ref="R152:S152"/>
    <mergeCell ref="I164:K164"/>
    <mergeCell ref="L164:M164"/>
    <mergeCell ref="R164:S164"/>
    <mergeCell ref="I165:K165"/>
    <mergeCell ref="L165:M165"/>
    <mergeCell ref="R165:S165"/>
    <mergeCell ref="E161:F163"/>
    <mergeCell ref="I161:K161"/>
    <mergeCell ref="L161:M161"/>
    <mergeCell ref="R161:S161"/>
    <mergeCell ref="I162:K162"/>
    <mergeCell ref="L162:M162"/>
    <mergeCell ref="R162:S162"/>
    <mergeCell ref="I163:K163"/>
    <mergeCell ref="L163:M163"/>
    <mergeCell ref="R163:S163"/>
    <mergeCell ref="E159:F159"/>
    <mergeCell ref="I159:K159"/>
    <mergeCell ref="L159:M159"/>
    <mergeCell ref="R159:S159"/>
    <mergeCell ref="I160:K160"/>
    <mergeCell ref="L160:M160"/>
    <mergeCell ref="R160:S160"/>
    <mergeCell ref="I170:K170"/>
    <mergeCell ref="L170:M170"/>
    <mergeCell ref="R170:S170"/>
    <mergeCell ref="E173:F173"/>
    <mergeCell ref="I173:K173"/>
    <mergeCell ref="L173:M173"/>
    <mergeCell ref="R173:S173"/>
    <mergeCell ref="E168:F168"/>
    <mergeCell ref="I168:K168"/>
    <mergeCell ref="L168:M168"/>
    <mergeCell ref="R168:S168"/>
    <mergeCell ref="I169:K169"/>
    <mergeCell ref="L169:M169"/>
    <mergeCell ref="R169:S169"/>
    <mergeCell ref="E166:F166"/>
    <mergeCell ref="I166:K166"/>
    <mergeCell ref="L166:M166"/>
    <mergeCell ref="R166:S166"/>
    <mergeCell ref="I167:K167"/>
    <mergeCell ref="L167:M167"/>
    <mergeCell ref="R167:S167"/>
    <mergeCell ref="I179:K179"/>
    <mergeCell ref="L179:M179"/>
    <mergeCell ref="R179:S179"/>
    <mergeCell ref="I180:K180"/>
    <mergeCell ref="L180:M180"/>
    <mergeCell ref="R180:S180"/>
    <mergeCell ref="E176:F178"/>
    <mergeCell ref="I176:K176"/>
    <mergeCell ref="L176:M176"/>
    <mergeCell ref="R176:S176"/>
    <mergeCell ref="I177:K177"/>
    <mergeCell ref="L177:M177"/>
    <mergeCell ref="R177:S177"/>
    <mergeCell ref="I178:K178"/>
    <mergeCell ref="L178:M178"/>
    <mergeCell ref="R178:S178"/>
    <mergeCell ref="E174:F174"/>
    <mergeCell ref="I174:K174"/>
    <mergeCell ref="L174:M174"/>
    <mergeCell ref="R174:S174"/>
    <mergeCell ref="I175:K175"/>
    <mergeCell ref="L175:M175"/>
    <mergeCell ref="R175:S175"/>
    <mergeCell ref="I185:K185"/>
    <mergeCell ref="L185:M185"/>
    <mergeCell ref="R185:S185"/>
    <mergeCell ref="E188:F188"/>
    <mergeCell ref="I188:K188"/>
    <mergeCell ref="L188:M188"/>
    <mergeCell ref="R188:S188"/>
    <mergeCell ref="E183:F183"/>
    <mergeCell ref="I183:K183"/>
    <mergeCell ref="L183:M183"/>
    <mergeCell ref="R183:S183"/>
    <mergeCell ref="I184:K184"/>
    <mergeCell ref="L184:M184"/>
    <mergeCell ref="R184:S184"/>
    <mergeCell ref="E181:F181"/>
    <mergeCell ref="I181:K181"/>
    <mergeCell ref="L181:M181"/>
    <mergeCell ref="R181:S181"/>
    <mergeCell ref="I182:K182"/>
    <mergeCell ref="L182:M182"/>
    <mergeCell ref="R182:S182"/>
    <mergeCell ref="I194:K194"/>
    <mergeCell ref="L194:M194"/>
    <mergeCell ref="R194:S194"/>
    <mergeCell ref="I195:K195"/>
    <mergeCell ref="L195:M195"/>
    <mergeCell ref="R195:S195"/>
    <mergeCell ref="E191:F193"/>
    <mergeCell ref="I191:K191"/>
    <mergeCell ref="L191:M191"/>
    <mergeCell ref="R191:S191"/>
    <mergeCell ref="I192:K192"/>
    <mergeCell ref="L192:M192"/>
    <mergeCell ref="R192:S192"/>
    <mergeCell ref="I193:K193"/>
    <mergeCell ref="L193:M193"/>
    <mergeCell ref="R193:S193"/>
    <mergeCell ref="E189:F189"/>
    <mergeCell ref="I189:K189"/>
    <mergeCell ref="L189:M189"/>
    <mergeCell ref="R189:S189"/>
    <mergeCell ref="I190:K190"/>
    <mergeCell ref="L190:M190"/>
    <mergeCell ref="R190:S190"/>
    <mergeCell ref="I200:K200"/>
    <mergeCell ref="L200:M200"/>
    <mergeCell ref="R200:S200"/>
    <mergeCell ref="E202:F202"/>
    <mergeCell ref="I202:K202"/>
    <mergeCell ref="L202:M202"/>
    <mergeCell ref="R202:S202"/>
    <mergeCell ref="E198:F198"/>
    <mergeCell ref="I198:K198"/>
    <mergeCell ref="L198:M198"/>
    <mergeCell ref="R198:S198"/>
    <mergeCell ref="I199:K199"/>
    <mergeCell ref="L199:M199"/>
    <mergeCell ref="R199:S199"/>
    <mergeCell ref="E196:F196"/>
    <mergeCell ref="I196:K196"/>
    <mergeCell ref="L196:M196"/>
    <mergeCell ref="R196:S196"/>
    <mergeCell ref="I197:K197"/>
    <mergeCell ref="L197:M197"/>
    <mergeCell ref="R197:S197"/>
    <mergeCell ref="I208:K208"/>
    <mergeCell ref="L208:M208"/>
    <mergeCell ref="R208:S208"/>
    <mergeCell ref="I209:K209"/>
    <mergeCell ref="L209:M209"/>
    <mergeCell ref="R209:S209"/>
    <mergeCell ref="E205:F207"/>
    <mergeCell ref="I205:K205"/>
    <mergeCell ref="L205:M205"/>
    <mergeCell ref="R205:S205"/>
    <mergeCell ref="I206:K206"/>
    <mergeCell ref="L206:M206"/>
    <mergeCell ref="R206:S206"/>
    <mergeCell ref="I207:K207"/>
    <mergeCell ref="L207:M207"/>
    <mergeCell ref="R207:S207"/>
    <mergeCell ref="E203:F203"/>
    <mergeCell ref="I203:K203"/>
    <mergeCell ref="L203:M203"/>
    <mergeCell ref="R203:S203"/>
    <mergeCell ref="I204:K204"/>
    <mergeCell ref="L204:M204"/>
    <mergeCell ref="R204:S204"/>
    <mergeCell ref="I214:K214"/>
    <mergeCell ref="L214:M214"/>
    <mergeCell ref="R214:S214"/>
    <mergeCell ref="E217:F217"/>
    <mergeCell ref="I217:K217"/>
    <mergeCell ref="L217:M217"/>
    <mergeCell ref="R217:S217"/>
    <mergeCell ref="E212:F212"/>
    <mergeCell ref="I212:K212"/>
    <mergeCell ref="L212:M212"/>
    <mergeCell ref="R212:S212"/>
    <mergeCell ref="I213:K213"/>
    <mergeCell ref="L213:M213"/>
    <mergeCell ref="R213:S213"/>
    <mergeCell ref="E210:F210"/>
    <mergeCell ref="I210:K210"/>
    <mergeCell ref="L210:M210"/>
    <mergeCell ref="R210:S210"/>
    <mergeCell ref="I211:K211"/>
    <mergeCell ref="L211:M211"/>
    <mergeCell ref="R211:S211"/>
    <mergeCell ref="I223:K223"/>
    <mergeCell ref="L223:M223"/>
    <mergeCell ref="R223:S223"/>
    <mergeCell ref="I224:K224"/>
    <mergeCell ref="L224:M224"/>
    <mergeCell ref="R224:S224"/>
    <mergeCell ref="E220:F222"/>
    <mergeCell ref="I220:K220"/>
    <mergeCell ref="L220:M220"/>
    <mergeCell ref="R220:S220"/>
    <mergeCell ref="I221:K221"/>
    <mergeCell ref="L221:M221"/>
    <mergeCell ref="R221:S221"/>
    <mergeCell ref="I222:K222"/>
    <mergeCell ref="L222:M222"/>
    <mergeCell ref="R222:S222"/>
    <mergeCell ref="E218:F218"/>
    <mergeCell ref="I218:K218"/>
    <mergeCell ref="L218:M218"/>
    <mergeCell ref="R218:S218"/>
    <mergeCell ref="I219:K219"/>
    <mergeCell ref="L219:M219"/>
    <mergeCell ref="R219:S219"/>
    <mergeCell ref="I229:K229"/>
    <mergeCell ref="L229:M229"/>
    <mergeCell ref="R229:S229"/>
    <mergeCell ref="E232:F232"/>
    <mergeCell ref="I232:K232"/>
    <mergeCell ref="L232:M232"/>
    <mergeCell ref="R232:S232"/>
    <mergeCell ref="E227:F227"/>
    <mergeCell ref="I227:K227"/>
    <mergeCell ref="L227:M227"/>
    <mergeCell ref="R227:S227"/>
    <mergeCell ref="I228:K228"/>
    <mergeCell ref="L228:M228"/>
    <mergeCell ref="R228:S228"/>
    <mergeCell ref="E225:F225"/>
    <mergeCell ref="I225:K225"/>
    <mergeCell ref="L225:M225"/>
    <mergeCell ref="R225:S225"/>
    <mergeCell ref="I226:K226"/>
    <mergeCell ref="L226:M226"/>
    <mergeCell ref="R226:S226"/>
    <mergeCell ref="I238:K238"/>
    <mergeCell ref="L238:M238"/>
    <mergeCell ref="R238:S238"/>
    <mergeCell ref="I239:K239"/>
    <mergeCell ref="L239:M239"/>
    <mergeCell ref="R239:S239"/>
    <mergeCell ref="E235:F237"/>
    <mergeCell ref="I235:K235"/>
    <mergeCell ref="L235:M235"/>
    <mergeCell ref="R235:S235"/>
    <mergeCell ref="I236:K236"/>
    <mergeCell ref="L236:M236"/>
    <mergeCell ref="R236:S236"/>
    <mergeCell ref="I237:K237"/>
    <mergeCell ref="L237:M237"/>
    <mergeCell ref="R237:S237"/>
    <mergeCell ref="E233:F233"/>
    <mergeCell ref="I233:K233"/>
    <mergeCell ref="L233:M233"/>
    <mergeCell ref="R233:S233"/>
    <mergeCell ref="I234:K234"/>
    <mergeCell ref="L234:M234"/>
    <mergeCell ref="R234:S234"/>
    <mergeCell ref="I244:K244"/>
    <mergeCell ref="L244:M244"/>
    <mergeCell ref="R244:S244"/>
    <mergeCell ref="E247:F247"/>
    <mergeCell ref="I247:K247"/>
    <mergeCell ref="L247:M247"/>
    <mergeCell ref="R247:S247"/>
    <mergeCell ref="E242:F242"/>
    <mergeCell ref="I242:K242"/>
    <mergeCell ref="L242:M242"/>
    <mergeCell ref="R242:S242"/>
    <mergeCell ref="I243:K243"/>
    <mergeCell ref="L243:M243"/>
    <mergeCell ref="R243:S243"/>
    <mergeCell ref="E240:F240"/>
    <mergeCell ref="I240:K240"/>
    <mergeCell ref="L240:M240"/>
    <mergeCell ref="R240:S240"/>
    <mergeCell ref="I241:K241"/>
    <mergeCell ref="L241:M241"/>
    <mergeCell ref="R241:S241"/>
    <mergeCell ref="I253:K253"/>
    <mergeCell ref="L253:M253"/>
    <mergeCell ref="R253:S253"/>
    <mergeCell ref="I254:K254"/>
    <mergeCell ref="L254:M254"/>
    <mergeCell ref="R254:S254"/>
    <mergeCell ref="E250:F252"/>
    <mergeCell ref="I250:K250"/>
    <mergeCell ref="L250:M250"/>
    <mergeCell ref="R250:S250"/>
    <mergeCell ref="I251:K251"/>
    <mergeCell ref="L251:M251"/>
    <mergeCell ref="R251:S251"/>
    <mergeCell ref="I252:K252"/>
    <mergeCell ref="L252:M252"/>
    <mergeCell ref="R252:S252"/>
    <mergeCell ref="E248:F248"/>
    <mergeCell ref="I248:K248"/>
    <mergeCell ref="L248:M248"/>
    <mergeCell ref="R248:S248"/>
    <mergeCell ref="I249:K249"/>
    <mergeCell ref="L249:M249"/>
    <mergeCell ref="R249:S249"/>
    <mergeCell ref="I259:K259"/>
    <mergeCell ref="L259:M259"/>
    <mergeCell ref="R259:S259"/>
    <mergeCell ref="E262:F262"/>
    <mergeCell ref="I262:K262"/>
    <mergeCell ref="L262:M262"/>
    <mergeCell ref="R262:S262"/>
    <mergeCell ref="E257:F257"/>
    <mergeCell ref="I257:K257"/>
    <mergeCell ref="L257:M257"/>
    <mergeCell ref="R257:S257"/>
    <mergeCell ref="I258:K258"/>
    <mergeCell ref="L258:M258"/>
    <mergeCell ref="R258:S258"/>
    <mergeCell ref="E255:F255"/>
    <mergeCell ref="I255:K255"/>
    <mergeCell ref="L255:M255"/>
    <mergeCell ref="R255:S255"/>
    <mergeCell ref="I256:K256"/>
    <mergeCell ref="L256:M256"/>
    <mergeCell ref="R256:S256"/>
    <mergeCell ref="I268:K268"/>
    <mergeCell ref="L268:M268"/>
    <mergeCell ref="R268:S268"/>
    <mergeCell ref="I269:K269"/>
    <mergeCell ref="L269:M269"/>
    <mergeCell ref="R269:S269"/>
    <mergeCell ref="E265:F267"/>
    <mergeCell ref="I265:K265"/>
    <mergeCell ref="L265:M265"/>
    <mergeCell ref="R265:S265"/>
    <mergeCell ref="I266:K266"/>
    <mergeCell ref="L266:M266"/>
    <mergeCell ref="R266:S266"/>
    <mergeCell ref="I267:K267"/>
    <mergeCell ref="L267:M267"/>
    <mergeCell ref="R267:S267"/>
    <mergeCell ref="E263:F263"/>
    <mergeCell ref="I263:K263"/>
    <mergeCell ref="L263:M263"/>
    <mergeCell ref="R263:S263"/>
    <mergeCell ref="I264:K264"/>
    <mergeCell ref="L264:M264"/>
    <mergeCell ref="R264:S264"/>
    <mergeCell ref="I274:K274"/>
    <mergeCell ref="L274:M274"/>
    <mergeCell ref="R274:S274"/>
    <mergeCell ref="E277:F277"/>
    <mergeCell ref="I277:K277"/>
    <mergeCell ref="L277:M277"/>
    <mergeCell ref="R277:S277"/>
    <mergeCell ref="E272:F272"/>
    <mergeCell ref="I272:K272"/>
    <mergeCell ref="L272:M272"/>
    <mergeCell ref="R272:S272"/>
    <mergeCell ref="I273:K273"/>
    <mergeCell ref="L273:M273"/>
    <mergeCell ref="R273:S273"/>
    <mergeCell ref="E270:F270"/>
    <mergeCell ref="I270:K270"/>
    <mergeCell ref="L270:M270"/>
    <mergeCell ref="R270:S270"/>
    <mergeCell ref="I271:K271"/>
    <mergeCell ref="L271:M271"/>
    <mergeCell ref="R271:S271"/>
    <mergeCell ref="I283:K283"/>
    <mergeCell ref="L283:M283"/>
    <mergeCell ref="R283:S283"/>
    <mergeCell ref="I284:K284"/>
    <mergeCell ref="L284:M284"/>
    <mergeCell ref="R284:S284"/>
    <mergeCell ref="E280:F282"/>
    <mergeCell ref="I280:K280"/>
    <mergeCell ref="L280:M280"/>
    <mergeCell ref="R280:S280"/>
    <mergeCell ref="I281:K281"/>
    <mergeCell ref="L281:M281"/>
    <mergeCell ref="R281:S281"/>
    <mergeCell ref="I282:K282"/>
    <mergeCell ref="L282:M282"/>
    <mergeCell ref="R282:S282"/>
    <mergeCell ref="E278:F278"/>
    <mergeCell ref="I278:K278"/>
    <mergeCell ref="L278:M278"/>
    <mergeCell ref="R278:S278"/>
    <mergeCell ref="I279:K279"/>
    <mergeCell ref="L279:M279"/>
    <mergeCell ref="R279:S279"/>
    <mergeCell ref="I289:K289"/>
    <mergeCell ref="L289:M289"/>
    <mergeCell ref="R289:S289"/>
    <mergeCell ref="E292:F292"/>
    <mergeCell ref="I292:K292"/>
    <mergeCell ref="L292:M292"/>
    <mergeCell ref="R292:S292"/>
    <mergeCell ref="E287:F287"/>
    <mergeCell ref="I287:K287"/>
    <mergeCell ref="L287:M287"/>
    <mergeCell ref="R287:S287"/>
    <mergeCell ref="I288:K288"/>
    <mergeCell ref="L288:M288"/>
    <mergeCell ref="R288:S288"/>
    <mergeCell ref="E285:F285"/>
    <mergeCell ref="I285:K285"/>
    <mergeCell ref="L285:M285"/>
    <mergeCell ref="R285:S285"/>
    <mergeCell ref="I286:K286"/>
    <mergeCell ref="L286:M286"/>
    <mergeCell ref="R286:S286"/>
    <mergeCell ref="I298:K298"/>
    <mergeCell ref="L298:M298"/>
    <mergeCell ref="R298:S298"/>
    <mergeCell ref="I299:K299"/>
    <mergeCell ref="L299:M299"/>
    <mergeCell ref="R299:S299"/>
    <mergeCell ref="E295:F297"/>
    <mergeCell ref="I295:K295"/>
    <mergeCell ref="L295:M295"/>
    <mergeCell ref="R295:S295"/>
    <mergeCell ref="I296:K296"/>
    <mergeCell ref="L296:M296"/>
    <mergeCell ref="R296:S296"/>
    <mergeCell ref="I297:K297"/>
    <mergeCell ref="L297:M297"/>
    <mergeCell ref="R297:S297"/>
    <mergeCell ref="E293:F293"/>
    <mergeCell ref="I293:K293"/>
    <mergeCell ref="L293:M293"/>
    <mergeCell ref="R293:S293"/>
    <mergeCell ref="I294:K294"/>
    <mergeCell ref="L294:M294"/>
    <mergeCell ref="R294:S294"/>
    <mergeCell ref="I304:K304"/>
    <mergeCell ref="L304:M304"/>
    <mergeCell ref="R304:S304"/>
    <mergeCell ref="E307:F307"/>
    <mergeCell ref="I307:K307"/>
    <mergeCell ref="L307:M307"/>
    <mergeCell ref="R307:S307"/>
    <mergeCell ref="E302:F302"/>
    <mergeCell ref="I302:K302"/>
    <mergeCell ref="L302:M302"/>
    <mergeCell ref="R302:S302"/>
    <mergeCell ref="I303:K303"/>
    <mergeCell ref="L303:M303"/>
    <mergeCell ref="R303:S303"/>
    <mergeCell ref="E300:F300"/>
    <mergeCell ref="I300:K300"/>
    <mergeCell ref="L300:M300"/>
    <mergeCell ref="R300:S300"/>
    <mergeCell ref="I301:K301"/>
    <mergeCell ref="L301:M301"/>
    <mergeCell ref="R301:S301"/>
    <mergeCell ref="I313:K313"/>
    <mergeCell ref="L313:M313"/>
    <mergeCell ref="R313:S313"/>
    <mergeCell ref="I314:K314"/>
    <mergeCell ref="L314:M314"/>
    <mergeCell ref="R314:S314"/>
    <mergeCell ref="E310:F312"/>
    <mergeCell ref="I310:K310"/>
    <mergeCell ref="L310:M310"/>
    <mergeCell ref="R310:S310"/>
    <mergeCell ref="I311:K311"/>
    <mergeCell ref="L311:M311"/>
    <mergeCell ref="R311:S311"/>
    <mergeCell ref="I312:K312"/>
    <mergeCell ref="L312:M312"/>
    <mergeCell ref="R312:S312"/>
    <mergeCell ref="E308:F308"/>
    <mergeCell ref="I308:K308"/>
    <mergeCell ref="L308:M308"/>
    <mergeCell ref="R308:S308"/>
    <mergeCell ref="I309:K309"/>
    <mergeCell ref="L309:M309"/>
    <mergeCell ref="R309:S309"/>
    <mergeCell ref="I319:K319"/>
    <mergeCell ref="L319:M319"/>
    <mergeCell ref="R319:S319"/>
    <mergeCell ref="E322:F322"/>
    <mergeCell ref="I322:K322"/>
    <mergeCell ref="L322:M322"/>
    <mergeCell ref="R322:S322"/>
    <mergeCell ref="E317:F317"/>
    <mergeCell ref="I317:K317"/>
    <mergeCell ref="L317:M317"/>
    <mergeCell ref="R317:S317"/>
    <mergeCell ref="I318:K318"/>
    <mergeCell ref="L318:M318"/>
    <mergeCell ref="R318:S318"/>
    <mergeCell ref="E315:F315"/>
    <mergeCell ref="I315:K315"/>
    <mergeCell ref="L315:M315"/>
    <mergeCell ref="R315:S315"/>
    <mergeCell ref="I316:K316"/>
    <mergeCell ref="L316:M316"/>
    <mergeCell ref="R316:S316"/>
    <mergeCell ref="I328:K328"/>
    <mergeCell ref="L328:M328"/>
    <mergeCell ref="R328:S328"/>
    <mergeCell ref="I329:K329"/>
    <mergeCell ref="L329:M329"/>
    <mergeCell ref="R329:S329"/>
    <mergeCell ref="E325:F327"/>
    <mergeCell ref="I325:K325"/>
    <mergeCell ref="L325:M325"/>
    <mergeCell ref="R325:S325"/>
    <mergeCell ref="I326:K326"/>
    <mergeCell ref="L326:M326"/>
    <mergeCell ref="R326:S326"/>
    <mergeCell ref="I327:K327"/>
    <mergeCell ref="L327:M327"/>
    <mergeCell ref="R327:S327"/>
    <mergeCell ref="E323:F323"/>
    <mergeCell ref="I323:K323"/>
    <mergeCell ref="L323:M323"/>
    <mergeCell ref="R323:S323"/>
    <mergeCell ref="I324:K324"/>
    <mergeCell ref="L324:M324"/>
    <mergeCell ref="R324:S324"/>
    <mergeCell ref="I334:K334"/>
    <mergeCell ref="L334:M334"/>
    <mergeCell ref="R334:S334"/>
    <mergeCell ref="E336:F336"/>
    <mergeCell ref="I336:K336"/>
    <mergeCell ref="L336:M336"/>
    <mergeCell ref="R336:S336"/>
    <mergeCell ref="E332:F332"/>
    <mergeCell ref="I332:K332"/>
    <mergeCell ref="L332:M332"/>
    <mergeCell ref="R332:S332"/>
    <mergeCell ref="I333:K333"/>
    <mergeCell ref="L333:M333"/>
    <mergeCell ref="R333:S333"/>
    <mergeCell ref="E330:F330"/>
    <mergeCell ref="I330:K330"/>
    <mergeCell ref="L330:M330"/>
    <mergeCell ref="R330:S330"/>
    <mergeCell ref="I331:K331"/>
    <mergeCell ref="L331:M331"/>
    <mergeCell ref="R331:S331"/>
    <mergeCell ref="I342:K342"/>
    <mergeCell ref="L342:M342"/>
    <mergeCell ref="R342:S342"/>
    <mergeCell ref="I343:K343"/>
    <mergeCell ref="L343:M343"/>
    <mergeCell ref="R343:S343"/>
    <mergeCell ref="E339:F341"/>
    <mergeCell ref="I339:K339"/>
    <mergeCell ref="L339:M339"/>
    <mergeCell ref="R339:S339"/>
    <mergeCell ref="I340:K340"/>
    <mergeCell ref="L340:M340"/>
    <mergeCell ref="R340:S340"/>
    <mergeCell ref="I341:K341"/>
    <mergeCell ref="L341:M341"/>
    <mergeCell ref="R341:S341"/>
    <mergeCell ref="E337:F337"/>
    <mergeCell ref="I337:K337"/>
    <mergeCell ref="L337:M337"/>
    <mergeCell ref="R337:S337"/>
    <mergeCell ref="I338:K338"/>
    <mergeCell ref="L338:M338"/>
    <mergeCell ref="R338:S338"/>
    <mergeCell ref="I348:K348"/>
    <mergeCell ref="L348:M348"/>
    <mergeCell ref="R348:S348"/>
    <mergeCell ref="E351:F351"/>
    <mergeCell ref="I351:K351"/>
    <mergeCell ref="L351:M351"/>
    <mergeCell ref="R351:S351"/>
    <mergeCell ref="E346:F346"/>
    <mergeCell ref="I346:K346"/>
    <mergeCell ref="L346:M346"/>
    <mergeCell ref="R346:S346"/>
    <mergeCell ref="I347:K347"/>
    <mergeCell ref="L347:M347"/>
    <mergeCell ref="R347:S347"/>
    <mergeCell ref="E344:F344"/>
    <mergeCell ref="I344:K344"/>
    <mergeCell ref="L344:M344"/>
    <mergeCell ref="R344:S344"/>
    <mergeCell ref="I345:K345"/>
    <mergeCell ref="L345:M345"/>
    <mergeCell ref="R345:S345"/>
    <mergeCell ref="I357:K357"/>
    <mergeCell ref="L357:M357"/>
    <mergeCell ref="R357:S357"/>
    <mergeCell ref="I358:K358"/>
    <mergeCell ref="L358:M358"/>
    <mergeCell ref="R358:S358"/>
    <mergeCell ref="E354:F356"/>
    <mergeCell ref="I354:K354"/>
    <mergeCell ref="L354:M354"/>
    <mergeCell ref="R354:S354"/>
    <mergeCell ref="I355:K355"/>
    <mergeCell ref="L355:M355"/>
    <mergeCell ref="R355:S355"/>
    <mergeCell ref="I356:K356"/>
    <mergeCell ref="L356:M356"/>
    <mergeCell ref="R356:S356"/>
    <mergeCell ref="E352:F352"/>
    <mergeCell ref="I352:K352"/>
    <mergeCell ref="L352:M352"/>
    <mergeCell ref="R352:S352"/>
    <mergeCell ref="I353:K353"/>
    <mergeCell ref="L353:M353"/>
    <mergeCell ref="R353:S353"/>
    <mergeCell ref="I363:K363"/>
    <mergeCell ref="L363:M363"/>
    <mergeCell ref="R363:S363"/>
    <mergeCell ref="E366:F366"/>
    <mergeCell ref="I366:K366"/>
    <mergeCell ref="L366:M366"/>
    <mergeCell ref="R366:S366"/>
    <mergeCell ref="E361:F361"/>
    <mergeCell ref="I361:K361"/>
    <mergeCell ref="L361:M361"/>
    <mergeCell ref="R361:S361"/>
    <mergeCell ref="I362:K362"/>
    <mergeCell ref="L362:M362"/>
    <mergeCell ref="R362:S362"/>
    <mergeCell ref="E359:F359"/>
    <mergeCell ref="I359:K359"/>
    <mergeCell ref="L359:M359"/>
    <mergeCell ref="R359:S359"/>
    <mergeCell ref="I360:K360"/>
    <mergeCell ref="L360:M360"/>
    <mergeCell ref="R360:S360"/>
    <mergeCell ref="I372:K372"/>
    <mergeCell ref="L372:M372"/>
    <mergeCell ref="R372:S372"/>
    <mergeCell ref="I373:K373"/>
    <mergeCell ref="L373:M373"/>
    <mergeCell ref="R373:S373"/>
    <mergeCell ref="E369:F371"/>
    <mergeCell ref="I369:K369"/>
    <mergeCell ref="L369:M369"/>
    <mergeCell ref="R369:S369"/>
    <mergeCell ref="I370:K370"/>
    <mergeCell ref="L370:M370"/>
    <mergeCell ref="R370:S370"/>
    <mergeCell ref="I371:K371"/>
    <mergeCell ref="L371:M371"/>
    <mergeCell ref="R371:S371"/>
    <mergeCell ref="E367:F367"/>
    <mergeCell ref="I367:K367"/>
    <mergeCell ref="L367:M367"/>
    <mergeCell ref="R367:S367"/>
    <mergeCell ref="I368:K368"/>
    <mergeCell ref="L368:M368"/>
    <mergeCell ref="R368:S368"/>
    <mergeCell ref="I378:K378"/>
    <mergeCell ref="L378:M378"/>
    <mergeCell ref="R378:S378"/>
    <mergeCell ref="E381:F381"/>
    <mergeCell ref="I381:K381"/>
    <mergeCell ref="L381:M381"/>
    <mergeCell ref="R381:S381"/>
    <mergeCell ref="E376:F376"/>
    <mergeCell ref="I376:K376"/>
    <mergeCell ref="L376:M376"/>
    <mergeCell ref="R376:S376"/>
    <mergeCell ref="I377:K377"/>
    <mergeCell ref="L377:M377"/>
    <mergeCell ref="R377:S377"/>
    <mergeCell ref="E374:F374"/>
    <mergeCell ref="I374:K374"/>
    <mergeCell ref="L374:M374"/>
    <mergeCell ref="R374:S374"/>
    <mergeCell ref="I375:K375"/>
    <mergeCell ref="L375:M375"/>
    <mergeCell ref="R375:S375"/>
    <mergeCell ref="I387:K387"/>
    <mergeCell ref="L387:M387"/>
    <mergeCell ref="R387:S387"/>
    <mergeCell ref="I388:K388"/>
    <mergeCell ref="L388:M388"/>
    <mergeCell ref="R388:S388"/>
    <mergeCell ref="E384:F386"/>
    <mergeCell ref="I384:K384"/>
    <mergeCell ref="L384:M384"/>
    <mergeCell ref="R384:S384"/>
    <mergeCell ref="I385:K385"/>
    <mergeCell ref="L385:M385"/>
    <mergeCell ref="R385:S385"/>
    <mergeCell ref="I386:K386"/>
    <mergeCell ref="L386:M386"/>
    <mergeCell ref="R386:S386"/>
    <mergeCell ref="E382:F382"/>
    <mergeCell ref="I382:K382"/>
    <mergeCell ref="L382:M382"/>
    <mergeCell ref="R382:S382"/>
    <mergeCell ref="I383:K383"/>
    <mergeCell ref="L383:M383"/>
    <mergeCell ref="R383:S383"/>
    <mergeCell ref="I393:K393"/>
    <mergeCell ref="L393:M393"/>
    <mergeCell ref="R393:S393"/>
    <mergeCell ref="E396:F396"/>
    <mergeCell ref="I396:K396"/>
    <mergeCell ref="L396:M396"/>
    <mergeCell ref="R396:S396"/>
    <mergeCell ref="E391:F391"/>
    <mergeCell ref="I391:K391"/>
    <mergeCell ref="L391:M391"/>
    <mergeCell ref="R391:S391"/>
    <mergeCell ref="I392:K392"/>
    <mergeCell ref="L392:M392"/>
    <mergeCell ref="R392:S392"/>
    <mergeCell ref="E389:F389"/>
    <mergeCell ref="I389:K389"/>
    <mergeCell ref="L389:M389"/>
    <mergeCell ref="R389:S389"/>
    <mergeCell ref="I390:K390"/>
    <mergeCell ref="L390:M390"/>
    <mergeCell ref="R390:S390"/>
    <mergeCell ref="I402:K402"/>
    <mergeCell ref="L402:M402"/>
    <mergeCell ref="R402:S402"/>
    <mergeCell ref="I403:K403"/>
    <mergeCell ref="L403:M403"/>
    <mergeCell ref="R403:S403"/>
    <mergeCell ref="E399:F401"/>
    <mergeCell ref="I399:K399"/>
    <mergeCell ref="L399:M399"/>
    <mergeCell ref="R399:S399"/>
    <mergeCell ref="I400:K400"/>
    <mergeCell ref="L400:M400"/>
    <mergeCell ref="R400:S400"/>
    <mergeCell ref="I401:K401"/>
    <mergeCell ref="L401:M401"/>
    <mergeCell ref="R401:S401"/>
    <mergeCell ref="E397:F397"/>
    <mergeCell ref="I397:K397"/>
    <mergeCell ref="L397:M397"/>
    <mergeCell ref="R397:S397"/>
    <mergeCell ref="I398:K398"/>
    <mergeCell ref="L398:M398"/>
    <mergeCell ref="R398:S398"/>
    <mergeCell ref="I408:K408"/>
    <mergeCell ref="L408:M408"/>
    <mergeCell ref="R408:S408"/>
    <mergeCell ref="E411:F411"/>
    <mergeCell ref="I411:K411"/>
    <mergeCell ref="L411:M411"/>
    <mergeCell ref="R411:S411"/>
    <mergeCell ref="E406:F406"/>
    <mergeCell ref="I406:K406"/>
    <mergeCell ref="L406:M406"/>
    <mergeCell ref="R406:S406"/>
    <mergeCell ref="I407:K407"/>
    <mergeCell ref="L407:M407"/>
    <mergeCell ref="R407:S407"/>
    <mergeCell ref="E404:F404"/>
    <mergeCell ref="I404:K404"/>
    <mergeCell ref="L404:M404"/>
    <mergeCell ref="R404:S404"/>
    <mergeCell ref="I405:K405"/>
    <mergeCell ref="L405:M405"/>
    <mergeCell ref="R405:S405"/>
    <mergeCell ref="I417:K417"/>
    <mergeCell ref="L417:M417"/>
    <mergeCell ref="R417:S417"/>
    <mergeCell ref="I418:K418"/>
    <mergeCell ref="L418:M418"/>
    <mergeCell ref="R418:S418"/>
    <mergeCell ref="E414:F416"/>
    <mergeCell ref="I414:K414"/>
    <mergeCell ref="L414:M414"/>
    <mergeCell ref="R414:S414"/>
    <mergeCell ref="I415:K415"/>
    <mergeCell ref="L415:M415"/>
    <mergeCell ref="R415:S415"/>
    <mergeCell ref="I416:K416"/>
    <mergeCell ref="L416:M416"/>
    <mergeCell ref="R416:S416"/>
    <mergeCell ref="E412:F412"/>
    <mergeCell ref="I412:K412"/>
    <mergeCell ref="L412:M412"/>
    <mergeCell ref="R412:S412"/>
    <mergeCell ref="I413:K413"/>
    <mergeCell ref="L413:M413"/>
    <mergeCell ref="R413:S413"/>
    <mergeCell ref="I423:K423"/>
    <mergeCell ref="L423:M423"/>
    <mergeCell ref="R423:S423"/>
    <mergeCell ref="E426:F426"/>
    <mergeCell ref="I426:K426"/>
    <mergeCell ref="L426:M426"/>
    <mergeCell ref="R426:S426"/>
    <mergeCell ref="E421:F421"/>
    <mergeCell ref="I421:K421"/>
    <mergeCell ref="L421:M421"/>
    <mergeCell ref="R421:S421"/>
    <mergeCell ref="I422:K422"/>
    <mergeCell ref="L422:M422"/>
    <mergeCell ref="R422:S422"/>
    <mergeCell ref="E419:F419"/>
    <mergeCell ref="I419:K419"/>
    <mergeCell ref="L419:M419"/>
    <mergeCell ref="R419:S419"/>
    <mergeCell ref="I420:K420"/>
    <mergeCell ref="L420:M420"/>
    <mergeCell ref="R420:S420"/>
    <mergeCell ref="I432:K432"/>
    <mergeCell ref="L432:M432"/>
    <mergeCell ref="R432:S432"/>
    <mergeCell ref="I433:K433"/>
    <mergeCell ref="L433:M433"/>
    <mergeCell ref="R433:S433"/>
    <mergeCell ref="E429:F431"/>
    <mergeCell ref="I429:K429"/>
    <mergeCell ref="L429:M429"/>
    <mergeCell ref="R429:S429"/>
    <mergeCell ref="I430:K430"/>
    <mergeCell ref="L430:M430"/>
    <mergeCell ref="R430:S430"/>
    <mergeCell ref="I431:K431"/>
    <mergeCell ref="L431:M431"/>
    <mergeCell ref="R431:S431"/>
    <mergeCell ref="E427:F427"/>
    <mergeCell ref="I427:K427"/>
    <mergeCell ref="L427:M427"/>
    <mergeCell ref="R427:S427"/>
    <mergeCell ref="I428:K428"/>
    <mergeCell ref="L428:M428"/>
    <mergeCell ref="R428:S428"/>
    <mergeCell ref="I438:K438"/>
    <mergeCell ref="L438:M438"/>
    <mergeCell ref="R438:S438"/>
    <mergeCell ref="E441:F441"/>
    <mergeCell ref="I441:K441"/>
    <mergeCell ref="L441:M441"/>
    <mergeCell ref="R441:S441"/>
    <mergeCell ref="E436:F436"/>
    <mergeCell ref="I436:K436"/>
    <mergeCell ref="L436:M436"/>
    <mergeCell ref="R436:S436"/>
    <mergeCell ref="I437:K437"/>
    <mergeCell ref="L437:M437"/>
    <mergeCell ref="R437:S437"/>
    <mergeCell ref="E434:F434"/>
    <mergeCell ref="I434:K434"/>
    <mergeCell ref="L434:M434"/>
    <mergeCell ref="R434:S434"/>
    <mergeCell ref="I435:K435"/>
    <mergeCell ref="L435:M435"/>
    <mergeCell ref="R435:S435"/>
    <mergeCell ref="I447:K447"/>
    <mergeCell ref="L447:M447"/>
    <mergeCell ref="R447:S447"/>
    <mergeCell ref="I448:K448"/>
    <mergeCell ref="L448:M448"/>
    <mergeCell ref="R448:S448"/>
    <mergeCell ref="E444:F446"/>
    <mergeCell ref="I444:K444"/>
    <mergeCell ref="L444:M444"/>
    <mergeCell ref="R444:S444"/>
    <mergeCell ref="I445:K445"/>
    <mergeCell ref="L445:M445"/>
    <mergeCell ref="R445:S445"/>
    <mergeCell ref="I446:K446"/>
    <mergeCell ref="L446:M446"/>
    <mergeCell ref="R446:S446"/>
    <mergeCell ref="E442:F442"/>
    <mergeCell ref="I442:K442"/>
    <mergeCell ref="L442:M442"/>
    <mergeCell ref="R442:S442"/>
    <mergeCell ref="I443:K443"/>
    <mergeCell ref="L443:M443"/>
    <mergeCell ref="R443:S443"/>
    <mergeCell ref="I453:K453"/>
    <mergeCell ref="L453:M453"/>
    <mergeCell ref="R453:S453"/>
    <mergeCell ref="E455:F455"/>
    <mergeCell ref="I455:K455"/>
    <mergeCell ref="L455:M455"/>
    <mergeCell ref="R455:S455"/>
    <mergeCell ref="E451:F451"/>
    <mergeCell ref="I451:K451"/>
    <mergeCell ref="L451:M451"/>
    <mergeCell ref="R451:S451"/>
    <mergeCell ref="I452:K452"/>
    <mergeCell ref="L452:M452"/>
    <mergeCell ref="R452:S452"/>
    <mergeCell ref="E449:F449"/>
    <mergeCell ref="I449:K449"/>
    <mergeCell ref="L449:M449"/>
    <mergeCell ref="R449:S449"/>
    <mergeCell ref="I450:K450"/>
    <mergeCell ref="L450:M450"/>
    <mergeCell ref="R450:S450"/>
    <mergeCell ref="I461:K461"/>
    <mergeCell ref="L461:M461"/>
    <mergeCell ref="R461:S461"/>
    <mergeCell ref="I462:K462"/>
    <mergeCell ref="L462:M462"/>
    <mergeCell ref="R462:S462"/>
    <mergeCell ref="E458:F460"/>
    <mergeCell ref="I458:K458"/>
    <mergeCell ref="L458:M458"/>
    <mergeCell ref="R458:S458"/>
    <mergeCell ref="I459:K459"/>
    <mergeCell ref="L459:M459"/>
    <mergeCell ref="R459:S459"/>
    <mergeCell ref="I460:K460"/>
    <mergeCell ref="L460:M460"/>
    <mergeCell ref="R460:S460"/>
    <mergeCell ref="E456:F456"/>
    <mergeCell ref="I456:K456"/>
    <mergeCell ref="L456:M456"/>
    <mergeCell ref="R456:S456"/>
    <mergeCell ref="I457:K457"/>
    <mergeCell ref="L457:M457"/>
    <mergeCell ref="R457:S457"/>
    <mergeCell ref="I467:K467"/>
    <mergeCell ref="L467:M467"/>
    <mergeCell ref="R467:S467"/>
    <mergeCell ref="E470:F470"/>
    <mergeCell ref="I470:K470"/>
    <mergeCell ref="L470:M470"/>
    <mergeCell ref="R470:S470"/>
    <mergeCell ref="E465:F465"/>
    <mergeCell ref="I465:K465"/>
    <mergeCell ref="L465:M465"/>
    <mergeCell ref="R465:S465"/>
    <mergeCell ref="I466:K466"/>
    <mergeCell ref="L466:M466"/>
    <mergeCell ref="R466:S466"/>
    <mergeCell ref="E463:F463"/>
    <mergeCell ref="I463:K463"/>
    <mergeCell ref="L463:M463"/>
    <mergeCell ref="R463:S463"/>
    <mergeCell ref="I464:K464"/>
    <mergeCell ref="L464:M464"/>
    <mergeCell ref="R464:S464"/>
    <mergeCell ref="I476:K476"/>
    <mergeCell ref="L476:M476"/>
    <mergeCell ref="R476:S476"/>
    <mergeCell ref="I477:K477"/>
    <mergeCell ref="L477:M477"/>
    <mergeCell ref="R477:S477"/>
    <mergeCell ref="E473:F475"/>
    <mergeCell ref="I473:K473"/>
    <mergeCell ref="L473:M473"/>
    <mergeCell ref="R473:S473"/>
    <mergeCell ref="I474:K474"/>
    <mergeCell ref="L474:M474"/>
    <mergeCell ref="R474:S474"/>
    <mergeCell ref="I475:K475"/>
    <mergeCell ref="L475:M475"/>
    <mergeCell ref="R475:S475"/>
    <mergeCell ref="E471:F471"/>
    <mergeCell ref="I471:K471"/>
    <mergeCell ref="L471:M471"/>
    <mergeCell ref="R471:S471"/>
    <mergeCell ref="I472:K472"/>
    <mergeCell ref="L472:M472"/>
    <mergeCell ref="R472:S472"/>
    <mergeCell ref="I482:K482"/>
    <mergeCell ref="L482:M482"/>
    <mergeCell ref="R482:S482"/>
    <mergeCell ref="E485:F485"/>
    <mergeCell ref="I485:K485"/>
    <mergeCell ref="L485:M485"/>
    <mergeCell ref="R485:S485"/>
    <mergeCell ref="E480:F480"/>
    <mergeCell ref="I480:K480"/>
    <mergeCell ref="L480:M480"/>
    <mergeCell ref="R480:S480"/>
    <mergeCell ref="I481:K481"/>
    <mergeCell ref="L481:M481"/>
    <mergeCell ref="R481:S481"/>
    <mergeCell ref="E478:F478"/>
    <mergeCell ref="I478:K478"/>
    <mergeCell ref="L478:M478"/>
    <mergeCell ref="R478:S478"/>
    <mergeCell ref="I479:K479"/>
    <mergeCell ref="L479:M479"/>
    <mergeCell ref="R479:S479"/>
    <mergeCell ref="I491:K491"/>
    <mergeCell ref="L491:M491"/>
    <mergeCell ref="R491:S491"/>
    <mergeCell ref="I492:K492"/>
    <mergeCell ref="L492:M492"/>
    <mergeCell ref="R492:S492"/>
    <mergeCell ref="E488:F490"/>
    <mergeCell ref="I488:K488"/>
    <mergeCell ref="L488:M488"/>
    <mergeCell ref="R488:S488"/>
    <mergeCell ref="I489:K489"/>
    <mergeCell ref="L489:M489"/>
    <mergeCell ref="R489:S489"/>
    <mergeCell ref="I490:K490"/>
    <mergeCell ref="L490:M490"/>
    <mergeCell ref="R490:S490"/>
    <mergeCell ref="E486:F486"/>
    <mergeCell ref="I486:K486"/>
    <mergeCell ref="L486:M486"/>
    <mergeCell ref="R486:S486"/>
    <mergeCell ref="I487:K487"/>
    <mergeCell ref="L487:M487"/>
    <mergeCell ref="R487:S487"/>
    <mergeCell ref="I497:K497"/>
    <mergeCell ref="L497:M497"/>
    <mergeCell ref="R497:S497"/>
    <mergeCell ref="E500:F500"/>
    <mergeCell ref="I500:K500"/>
    <mergeCell ref="L500:M500"/>
    <mergeCell ref="R500:S500"/>
    <mergeCell ref="E495:F495"/>
    <mergeCell ref="I495:K495"/>
    <mergeCell ref="L495:M495"/>
    <mergeCell ref="R495:S495"/>
    <mergeCell ref="I496:K496"/>
    <mergeCell ref="L496:M496"/>
    <mergeCell ref="R496:S496"/>
    <mergeCell ref="E493:F493"/>
    <mergeCell ref="I493:K493"/>
    <mergeCell ref="L493:M493"/>
    <mergeCell ref="R493:S493"/>
    <mergeCell ref="I494:K494"/>
    <mergeCell ref="L494:M494"/>
    <mergeCell ref="R494:S494"/>
    <mergeCell ref="I506:K506"/>
    <mergeCell ref="L506:M506"/>
    <mergeCell ref="R506:S506"/>
    <mergeCell ref="I507:K507"/>
    <mergeCell ref="L507:M507"/>
    <mergeCell ref="R507:S507"/>
    <mergeCell ref="E503:F505"/>
    <mergeCell ref="I503:K503"/>
    <mergeCell ref="L503:M503"/>
    <mergeCell ref="R503:S503"/>
    <mergeCell ref="I504:K504"/>
    <mergeCell ref="L504:M504"/>
    <mergeCell ref="R504:S504"/>
    <mergeCell ref="I505:K505"/>
    <mergeCell ref="L505:M505"/>
    <mergeCell ref="R505:S505"/>
    <mergeCell ref="E501:F501"/>
    <mergeCell ref="I501:K501"/>
    <mergeCell ref="L501:M501"/>
    <mergeCell ref="R501:S501"/>
    <mergeCell ref="I502:K502"/>
    <mergeCell ref="L502:M502"/>
    <mergeCell ref="R502:S502"/>
    <mergeCell ref="I512:K512"/>
    <mergeCell ref="L512:M512"/>
    <mergeCell ref="R512:S512"/>
    <mergeCell ref="E515:F515"/>
    <mergeCell ref="I515:K515"/>
    <mergeCell ref="L515:M515"/>
    <mergeCell ref="R515:S515"/>
    <mergeCell ref="E510:F510"/>
    <mergeCell ref="I510:K510"/>
    <mergeCell ref="L510:M510"/>
    <mergeCell ref="R510:S510"/>
    <mergeCell ref="I511:K511"/>
    <mergeCell ref="L511:M511"/>
    <mergeCell ref="R511:S511"/>
    <mergeCell ref="E508:F508"/>
    <mergeCell ref="I508:K508"/>
    <mergeCell ref="L508:M508"/>
    <mergeCell ref="R508:S508"/>
    <mergeCell ref="I509:K509"/>
    <mergeCell ref="L509:M509"/>
    <mergeCell ref="R509:S509"/>
    <mergeCell ref="I521:K521"/>
    <mergeCell ref="L521:M521"/>
    <mergeCell ref="R521:S521"/>
    <mergeCell ref="I522:K522"/>
    <mergeCell ref="L522:M522"/>
    <mergeCell ref="R522:S522"/>
    <mergeCell ref="E518:F520"/>
    <mergeCell ref="I518:K518"/>
    <mergeCell ref="L518:M518"/>
    <mergeCell ref="R518:S518"/>
    <mergeCell ref="I519:K519"/>
    <mergeCell ref="L519:M519"/>
    <mergeCell ref="R519:S519"/>
    <mergeCell ref="I520:K520"/>
    <mergeCell ref="L520:M520"/>
    <mergeCell ref="R520:S520"/>
    <mergeCell ref="E516:F516"/>
    <mergeCell ref="I516:K516"/>
    <mergeCell ref="L516:M516"/>
    <mergeCell ref="R516:S516"/>
    <mergeCell ref="I517:K517"/>
    <mergeCell ref="L517:M517"/>
    <mergeCell ref="R517:S517"/>
    <mergeCell ref="I527:K527"/>
    <mergeCell ref="L527:M527"/>
    <mergeCell ref="R527:S527"/>
    <mergeCell ref="E530:F530"/>
    <mergeCell ref="I530:K530"/>
    <mergeCell ref="L530:M530"/>
    <mergeCell ref="R530:S530"/>
    <mergeCell ref="E525:F525"/>
    <mergeCell ref="I525:K525"/>
    <mergeCell ref="L525:M525"/>
    <mergeCell ref="R525:S525"/>
    <mergeCell ref="I526:K526"/>
    <mergeCell ref="L526:M526"/>
    <mergeCell ref="R526:S526"/>
    <mergeCell ref="E523:F523"/>
    <mergeCell ref="I523:K523"/>
    <mergeCell ref="L523:M523"/>
    <mergeCell ref="R523:S523"/>
    <mergeCell ref="I524:K524"/>
    <mergeCell ref="L524:M524"/>
    <mergeCell ref="R524:S524"/>
    <mergeCell ref="I536:K536"/>
    <mergeCell ref="L536:M536"/>
    <mergeCell ref="R536:S536"/>
    <mergeCell ref="I537:K537"/>
    <mergeCell ref="L537:M537"/>
    <mergeCell ref="R537:S537"/>
    <mergeCell ref="E533:F535"/>
    <mergeCell ref="I533:K533"/>
    <mergeCell ref="L533:M533"/>
    <mergeCell ref="R533:S533"/>
    <mergeCell ref="I534:K534"/>
    <mergeCell ref="L534:M534"/>
    <mergeCell ref="R534:S534"/>
    <mergeCell ref="I535:K535"/>
    <mergeCell ref="L535:M535"/>
    <mergeCell ref="R535:S535"/>
    <mergeCell ref="E531:F531"/>
    <mergeCell ref="I531:K531"/>
    <mergeCell ref="L531:M531"/>
    <mergeCell ref="R531:S531"/>
    <mergeCell ref="I532:K532"/>
    <mergeCell ref="L532:M532"/>
    <mergeCell ref="R532:S532"/>
    <mergeCell ref="I542:K542"/>
    <mergeCell ref="L542:M542"/>
    <mergeCell ref="R542:S542"/>
    <mergeCell ref="E545:F545"/>
    <mergeCell ref="I545:K545"/>
    <mergeCell ref="L545:M545"/>
    <mergeCell ref="R545:S545"/>
    <mergeCell ref="E540:F540"/>
    <mergeCell ref="I540:K540"/>
    <mergeCell ref="L540:M540"/>
    <mergeCell ref="R540:S540"/>
    <mergeCell ref="I541:K541"/>
    <mergeCell ref="L541:M541"/>
    <mergeCell ref="R541:S541"/>
    <mergeCell ref="E538:F538"/>
    <mergeCell ref="I538:K538"/>
    <mergeCell ref="L538:M538"/>
    <mergeCell ref="R538:S538"/>
    <mergeCell ref="I539:K539"/>
    <mergeCell ref="L539:M539"/>
    <mergeCell ref="R539:S539"/>
    <mergeCell ref="I551:K551"/>
    <mergeCell ref="L551:M551"/>
    <mergeCell ref="R551:S551"/>
    <mergeCell ref="I552:K552"/>
    <mergeCell ref="L552:M552"/>
    <mergeCell ref="R552:S552"/>
    <mergeCell ref="E548:F550"/>
    <mergeCell ref="I548:K548"/>
    <mergeCell ref="L548:M548"/>
    <mergeCell ref="R548:S548"/>
    <mergeCell ref="I549:K549"/>
    <mergeCell ref="L549:M549"/>
    <mergeCell ref="R549:S549"/>
    <mergeCell ref="I550:K550"/>
    <mergeCell ref="L550:M550"/>
    <mergeCell ref="R550:S550"/>
    <mergeCell ref="E546:F546"/>
    <mergeCell ref="I546:K546"/>
    <mergeCell ref="L546:M546"/>
    <mergeCell ref="R546:S546"/>
    <mergeCell ref="I547:K547"/>
    <mergeCell ref="L547:M547"/>
    <mergeCell ref="R547:S547"/>
    <mergeCell ref="I557:K557"/>
    <mergeCell ref="L557:M557"/>
    <mergeCell ref="R557:S557"/>
    <mergeCell ref="E560:F560"/>
    <mergeCell ref="I560:K560"/>
    <mergeCell ref="L560:M560"/>
    <mergeCell ref="R560:S560"/>
    <mergeCell ref="E555:F555"/>
    <mergeCell ref="I555:K555"/>
    <mergeCell ref="L555:M555"/>
    <mergeCell ref="R555:S555"/>
    <mergeCell ref="I556:K556"/>
    <mergeCell ref="L556:M556"/>
    <mergeCell ref="R556:S556"/>
    <mergeCell ref="E553:F553"/>
    <mergeCell ref="I553:K553"/>
    <mergeCell ref="L553:M553"/>
    <mergeCell ref="R553:S553"/>
    <mergeCell ref="I554:K554"/>
    <mergeCell ref="L554:M554"/>
    <mergeCell ref="R554:S554"/>
    <mergeCell ref="I566:K566"/>
    <mergeCell ref="L566:M566"/>
    <mergeCell ref="R566:S566"/>
    <mergeCell ref="I567:K567"/>
    <mergeCell ref="L567:M567"/>
    <mergeCell ref="R567:S567"/>
    <mergeCell ref="E563:F565"/>
    <mergeCell ref="I563:K563"/>
    <mergeCell ref="L563:M563"/>
    <mergeCell ref="R563:S563"/>
    <mergeCell ref="I564:K564"/>
    <mergeCell ref="L564:M564"/>
    <mergeCell ref="R564:S564"/>
    <mergeCell ref="I565:K565"/>
    <mergeCell ref="L565:M565"/>
    <mergeCell ref="R565:S565"/>
    <mergeCell ref="E561:F561"/>
    <mergeCell ref="I561:K561"/>
    <mergeCell ref="L561:M561"/>
    <mergeCell ref="R561:S561"/>
    <mergeCell ref="I562:K562"/>
    <mergeCell ref="L562:M562"/>
    <mergeCell ref="R562:S562"/>
    <mergeCell ref="I572:K572"/>
    <mergeCell ref="L572:M572"/>
    <mergeCell ref="R572:S572"/>
    <mergeCell ref="E575:F575"/>
    <mergeCell ref="I575:K575"/>
    <mergeCell ref="L575:M575"/>
    <mergeCell ref="R575:S575"/>
    <mergeCell ref="E570:F570"/>
    <mergeCell ref="I570:K570"/>
    <mergeCell ref="L570:M570"/>
    <mergeCell ref="R570:S570"/>
    <mergeCell ref="I571:K571"/>
    <mergeCell ref="L571:M571"/>
    <mergeCell ref="R571:S571"/>
    <mergeCell ref="E568:F568"/>
    <mergeCell ref="I568:K568"/>
    <mergeCell ref="L568:M568"/>
    <mergeCell ref="R568:S568"/>
    <mergeCell ref="I569:K569"/>
    <mergeCell ref="L569:M569"/>
    <mergeCell ref="R569:S569"/>
    <mergeCell ref="I581:K581"/>
    <mergeCell ref="L581:M581"/>
    <mergeCell ref="R581:S581"/>
    <mergeCell ref="I582:K582"/>
    <mergeCell ref="L582:M582"/>
    <mergeCell ref="R582:S582"/>
    <mergeCell ref="E578:F580"/>
    <mergeCell ref="I578:K578"/>
    <mergeCell ref="L578:M578"/>
    <mergeCell ref="R578:S578"/>
    <mergeCell ref="I579:K579"/>
    <mergeCell ref="L579:M579"/>
    <mergeCell ref="R579:S579"/>
    <mergeCell ref="I580:K580"/>
    <mergeCell ref="L580:M580"/>
    <mergeCell ref="R580:S580"/>
    <mergeCell ref="E576:F576"/>
    <mergeCell ref="I576:K576"/>
    <mergeCell ref="L576:M576"/>
    <mergeCell ref="R576:S576"/>
    <mergeCell ref="I577:K577"/>
    <mergeCell ref="L577:M577"/>
    <mergeCell ref="R577:S577"/>
    <mergeCell ref="I587:K587"/>
    <mergeCell ref="L587:M587"/>
    <mergeCell ref="R587:S587"/>
    <mergeCell ref="E589:F589"/>
    <mergeCell ref="I589:K589"/>
    <mergeCell ref="L589:M589"/>
    <mergeCell ref="R589:S589"/>
    <mergeCell ref="E585:F585"/>
    <mergeCell ref="I585:K585"/>
    <mergeCell ref="L585:M585"/>
    <mergeCell ref="R585:S585"/>
    <mergeCell ref="I586:K586"/>
    <mergeCell ref="L586:M586"/>
    <mergeCell ref="R586:S586"/>
    <mergeCell ref="E583:F583"/>
    <mergeCell ref="I583:K583"/>
    <mergeCell ref="L583:M583"/>
    <mergeCell ref="R583:S583"/>
    <mergeCell ref="I584:K584"/>
    <mergeCell ref="L584:M584"/>
    <mergeCell ref="R584:S584"/>
    <mergeCell ref="I595:K595"/>
    <mergeCell ref="L595:M595"/>
    <mergeCell ref="R595:S595"/>
    <mergeCell ref="I596:K596"/>
    <mergeCell ref="L596:M596"/>
    <mergeCell ref="R596:S596"/>
    <mergeCell ref="E592:F594"/>
    <mergeCell ref="I592:K592"/>
    <mergeCell ref="L592:M592"/>
    <mergeCell ref="R592:S592"/>
    <mergeCell ref="I593:K593"/>
    <mergeCell ref="L593:M593"/>
    <mergeCell ref="R593:S593"/>
    <mergeCell ref="I594:K594"/>
    <mergeCell ref="L594:M594"/>
    <mergeCell ref="R594:S594"/>
    <mergeCell ref="E590:F590"/>
    <mergeCell ref="I590:K590"/>
    <mergeCell ref="L590:M590"/>
    <mergeCell ref="R590:S590"/>
    <mergeCell ref="I591:K591"/>
    <mergeCell ref="L591:M591"/>
    <mergeCell ref="R591:S591"/>
    <mergeCell ref="I601:K601"/>
    <mergeCell ref="L601:M601"/>
    <mergeCell ref="R601:S601"/>
    <mergeCell ref="E604:F604"/>
    <mergeCell ref="I604:K604"/>
    <mergeCell ref="L604:M604"/>
    <mergeCell ref="R604:S604"/>
    <mergeCell ref="E599:F599"/>
    <mergeCell ref="I599:K599"/>
    <mergeCell ref="L599:M599"/>
    <mergeCell ref="R599:S599"/>
    <mergeCell ref="I600:K600"/>
    <mergeCell ref="L600:M600"/>
    <mergeCell ref="R600:S600"/>
    <mergeCell ref="E597:F597"/>
    <mergeCell ref="I597:K597"/>
    <mergeCell ref="L597:M597"/>
    <mergeCell ref="R597:S597"/>
    <mergeCell ref="I598:K598"/>
    <mergeCell ref="L598:M598"/>
    <mergeCell ref="R598:S598"/>
    <mergeCell ref="I610:K610"/>
    <mergeCell ref="L610:M610"/>
    <mergeCell ref="R610:S610"/>
    <mergeCell ref="I611:K611"/>
    <mergeCell ref="L611:M611"/>
    <mergeCell ref="R611:S611"/>
    <mergeCell ref="E607:F609"/>
    <mergeCell ref="I607:K607"/>
    <mergeCell ref="L607:M607"/>
    <mergeCell ref="R607:S607"/>
    <mergeCell ref="I608:K608"/>
    <mergeCell ref="L608:M608"/>
    <mergeCell ref="R608:S608"/>
    <mergeCell ref="I609:K609"/>
    <mergeCell ref="L609:M609"/>
    <mergeCell ref="R609:S609"/>
    <mergeCell ref="E605:F605"/>
    <mergeCell ref="I605:K605"/>
    <mergeCell ref="L605:M605"/>
    <mergeCell ref="R605:S605"/>
    <mergeCell ref="I606:K606"/>
    <mergeCell ref="L606:M606"/>
    <mergeCell ref="R606:S606"/>
    <mergeCell ref="I616:K616"/>
    <mergeCell ref="L616:M616"/>
    <mergeCell ref="R616:S616"/>
    <mergeCell ref="E619:F619"/>
    <mergeCell ref="I619:K619"/>
    <mergeCell ref="L619:M619"/>
    <mergeCell ref="R619:S619"/>
    <mergeCell ref="E614:F614"/>
    <mergeCell ref="I614:K614"/>
    <mergeCell ref="L614:M614"/>
    <mergeCell ref="R614:S614"/>
    <mergeCell ref="I615:K615"/>
    <mergeCell ref="L615:M615"/>
    <mergeCell ref="R615:S615"/>
    <mergeCell ref="E612:F612"/>
    <mergeCell ref="I612:K612"/>
    <mergeCell ref="L612:M612"/>
    <mergeCell ref="R612:S612"/>
    <mergeCell ref="I613:K613"/>
    <mergeCell ref="L613:M613"/>
    <mergeCell ref="R613:S613"/>
    <mergeCell ref="I625:K625"/>
    <mergeCell ref="L625:M625"/>
    <mergeCell ref="R625:S625"/>
    <mergeCell ref="I626:K626"/>
    <mergeCell ref="L626:M626"/>
    <mergeCell ref="R626:S626"/>
    <mergeCell ref="E622:F624"/>
    <mergeCell ref="I622:K622"/>
    <mergeCell ref="L622:M622"/>
    <mergeCell ref="R622:S622"/>
    <mergeCell ref="I623:K623"/>
    <mergeCell ref="L623:M623"/>
    <mergeCell ref="R623:S623"/>
    <mergeCell ref="I624:K624"/>
    <mergeCell ref="L624:M624"/>
    <mergeCell ref="R624:S624"/>
    <mergeCell ref="E620:F620"/>
    <mergeCell ref="I620:K620"/>
    <mergeCell ref="L620:M620"/>
    <mergeCell ref="R620:S620"/>
    <mergeCell ref="I621:K621"/>
    <mergeCell ref="L621:M621"/>
    <mergeCell ref="R621:S621"/>
    <mergeCell ref="I631:K631"/>
    <mergeCell ref="L631:M631"/>
    <mergeCell ref="R631:S631"/>
    <mergeCell ref="E634:F634"/>
    <mergeCell ref="I634:K634"/>
    <mergeCell ref="L634:M634"/>
    <mergeCell ref="R634:S634"/>
    <mergeCell ref="E629:F629"/>
    <mergeCell ref="I629:K629"/>
    <mergeCell ref="L629:M629"/>
    <mergeCell ref="R629:S629"/>
    <mergeCell ref="I630:K630"/>
    <mergeCell ref="L630:M630"/>
    <mergeCell ref="R630:S630"/>
    <mergeCell ref="E627:F627"/>
    <mergeCell ref="I627:K627"/>
    <mergeCell ref="L627:M627"/>
    <mergeCell ref="R627:S627"/>
    <mergeCell ref="I628:K628"/>
    <mergeCell ref="L628:M628"/>
    <mergeCell ref="R628:S628"/>
    <mergeCell ref="I640:K640"/>
    <mergeCell ref="L640:M640"/>
    <mergeCell ref="R640:S640"/>
    <mergeCell ref="I641:K641"/>
    <mergeCell ref="L641:M641"/>
    <mergeCell ref="R641:S641"/>
    <mergeCell ref="E637:F639"/>
    <mergeCell ref="I637:K637"/>
    <mergeCell ref="L637:M637"/>
    <mergeCell ref="R637:S637"/>
    <mergeCell ref="I638:K638"/>
    <mergeCell ref="L638:M638"/>
    <mergeCell ref="R638:S638"/>
    <mergeCell ref="I639:K639"/>
    <mergeCell ref="L639:M639"/>
    <mergeCell ref="R639:S639"/>
    <mergeCell ref="E635:F635"/>
    <mergeCell ref="I635:K635"/>
    <mergeCell ref="L635:M635"/>
    <mergeCell ref="R635:S635"/>
    <mergeCell ref="I636:K636"/>
    <mergeCell ref="L636:M636"/>
    <mergeCell ref="R636:S636"/>
    <mergeCell ref="I646:K646"/>
    <mergeCell ref="L646:M646"/>
    <mergeCell ref="R646:S646"/>
    <mergeCell ref="E649:F649"/>
    <mergeCell ref="I649:K649"/>
    <mergeCell ref="L649:M649"/>
    <mergeCell ref="R649:S649"/>
    <mergeCell ref="E644:F644"/>
    <mergeCell ref="I644:K644"/>
    <mergeCell ref="L644:M644"/>
    <mergeCell ref="R644:S644"/>
    <mergeCell ref="I645:K645"/>
    <mergeCell ref="L645:M645"/>
    <mergeCell ref="R645:S645"/>
    <mergeCell ref="E642:F642"/>
    <mergeCell ref="I642:K642"/>
    <mergeCell ref="L642:M642"/>
    <mergeCell ref="R642:S642"/>
    <mergeCell ref="I643:K643"/>
    <mergeCell ref="L643:M643"/>
    <mergeCell ref="R643:S643"/>
    <mergeCell ref="I655:K655"/>
    <mergeCell ref="L655:M655"/>
    <mergeCell ref="R655:S655"/>
    <mergeCell ref="I656:K656"/>
    <mergeCell ref="L656:M656"/>
    <mergeCell ref="R656:S656"/>
    <mergeCell ref="E652:F654"/>
    <mergeCell ref="I652:K652"/>
    <mergeCell ref="L652:M652"/>
    <mergeCell ref="R652:S652"/>
    <mergeCell ref="I653:K653"/>
    <mergeCell ref="L653:M653"/>
    <mergeCell ref="R653:S653"/>
    <mergeCell ref="I654:K654"/>
    <mergeCell ref="L654:M654"/>
    <mergeCell ref="R654:S654"/>
    <mergeCell ref="E650:F650"/>
    <mergeCell ref="I650:K650"/>
    <mergeCell ref="L650:M650"/>
    <mergeCell ref="R650:S650"/>
    <mergeCell ref="I651:K651"/>
    <mergeCell ref="L651:M651"/>
    <mergeCell ref="R651:S651"/>
    <mergeCell ref="I661:K661"/>
    <mergeCell ref="L661:M661"/>
    <mergeCell ref="R661:S661"/>
    <mergeCell ref="E664:F664"/>
    <mergeCell ref="I664:K664"/>
    <mergeCell ref="L664:M664"/>
    <mergeCell ref="R664:S664"/>
    <mergeCell ref="E659:F659"/>
    <mergeCell ref="I659:K659"/>
    <mergeCell ref="L659:M659"/>
    <mergeCell ref="R659:S659"/>
    <mergeCell ref="I660:K660"/>
    <mergeCell ref="L660:M660"/>
    <mergeCell ref="R660:S660"/>
    <mergeCell ref="E657:F657"/>
    <mergeCell ref="I657:K657"/>
    <mergeCell ref="L657:M657"/>
    <mergeCell ref="R657:S657"/>
    <mergeCell ref="I658:K658"/>
    <mergeCell ref="L658:M658"/>
    <mergeCell ref="R658:S658"/>
    <mergeCell ref="I670:K670"/>
    <mergeCell ref="L670:M670"/>
    <mergeCell ref="R670:S670"/>
    <mergeCell ref="I671:K671"/>
    <mergeCell ref="L671:M671"/>
    <mergeCell ref="R671:S671"/>
    <mergeCell ref="E667:F669"/>
    <mergeCell ref="I667:K667"/>
    <mergeCell ref="L667:M667"/>
    <mergeCell ref="R667:S667"/>
    <mergeCell ref="I668:K668"/>
    <mergeCell ref="L668:M668"/>
    <mergeCell ref="R668:S668"/>
    <mergeCell ref="I669:K669"/>
    <mergeCell ref="L669:M669"/>
    <mergeCell ref="R669:S669"/>
    <mergeCell ref="E665:F665"/>
    <mergeCell ref="I665:K665"/>
    <mergeCell ref="L665:M665"/>
    <mergeCell ref="R665:S665"/>
    <mergeCell ref="I666:K666"/>
    <mergeCell ref="L666:M666"/>
    <mergeCell ref="R666:S666"/>
    <mergeCell ref="I676:K676"/>
    <mergeCell ref="L676:M676"/>
    <mergeCell ref="R676:S676"/>
    <mergeCell ref="E679:F679"/>
    <mergeCell ref="I679:K679"/>
    <mergeCell ref="L679:M679"/>
    <mergeCell ref="R679:S679"/>
    <mergeCell ref="E674:F674"/>
    <mergeCell ref="I674:K674"/>
    <mergeCell ref="L674:M674"/>
    <mergeCell ref="R674:S674"/>
    <mergeCell ref="I675:K675"/>
    <mergeCell ref="L675:M675"/>
    <mergeCell ref="R675:S675"/>
    <mergeCell ref="E672:F672"/>
    <mergeCell ref="I672:K672"/>
    <mergeCell ref="L672:M672"/>
    <mergeCell ref="R672:S672"/>
    <mergeCell ref="I673:K673"/>
    <mergeCell ref="L673:M673"/>
    <mergeCell ref="R673:S673"/>
    <mergeCell ref="I685:K685"/>
    <mergeCell ref="L685:M685"/>
    <mergeCell ref="R685:S685"/>
    <mergeCell ref="I686:K686"/>
    <mergeCell ref="L686:M686"/>
    <mergeCell ref="R686:S686"/>
    <mergeCell ref="E682:F684"/>
    <mergeCell ref="I682:K682"/>
    <mergeCell ref="L682:M682"/>
    <mergeCell ref="R682:S682"/>
    <mergeCell ref="I683:K683"/>
    <mergeCell ref="L683:M683"/>
    <mergeCell ref="R683:S683"/>
    <mergeCell ref="I684:K684"/>
    <mergeCell ref="L684:M684"/>
    <mergeCell ref="R684:S684"/>
    <mergeCell ref="E680:F680"/>
    <mergeCell ref="I680:K680"/>
    <mergeCell ref="L680:M680"/>
    <mergeCell ref="R680:S680"/>
    <mergeCell ref="I681:K681"/>
    <mergeCell ref="L681:M681"/>
    <mergeCell ref="R681:S681"/>
    <mergeCell ref="I691:K691"/>
    <mergeCell ref="L691:M691"/>
    <mergeCell ref="R691:S691"/>
    <mergeCell ref="E694:F694"/>
    <mergeCell ref="I694:K694"/>
    <mergeCell ref="L694:M694"/>
    <mergeCell ref="R694:S694"/>
    <mergeCell ref="E689:F689"/>
    <mergeCell ref="I689:K689"/>
    <mergeCell ref="L689:M689"/>
    <mergeCell ref="R689:S689"/>
    <mergeCell ref="I690:K690"/>
    <mergeCell ref="L690:M690"/>
    <mergeCell ref="R690:S690"/>
    <mergeCell ref="E687:F687"/>
    <mergeCell ref="I687:K687"/>
    <mergeCell ref="L687:M687"/>
    <mergeCell ref="R687:S687"/>
    <mergeCell ref="I688:K688"/>
    <mergeCell ref="L688:M688"/>
    <mergeCell ref="R688:S688"/>
    <mergeCell ref="I700:K700"/>
    <mergeCell ref="L700:M700"/>
    <mergeCell ref="R700:S700"/>
    <mergeCell ref="I701:K701"/>
    <mergeCell ref="L701:M701"/>
    <mergeCell ref="R701:S701"/>
    <mergeCell ref="E697:F699"/>
    <mergeCell ref="I697:K697"/>
    <mergeCell ref="L697:M697"/>
    <mergeCell ref="R697:S697"/>
    <mergeCell ref="I698:K698"/>
    <mergeCell ref="L698:M698"/>
    <mergeCell ref="R698:S698"/>
    <mergeCell ref="I699:K699"/>
    <mergeCell ref="L699:M699"/>
    <mergeCell ref="R699:S699"/>
    <mergeCell ref="E695:F695"/>
    <mergeCell ref="I695:K695"/>
    <mergeCell ref="L695:M695"/>
    <mergeCell ref="R695:S695"/>
    <mergeCell ref="I696:K696"/>
    <mergeCell ref="L696:M696"/>
    <mergeCell ref="R696:S696"/>
    <mergeCell ref="I706:K706"/>
    <mergeCell ref="L706:M706"/>
    <mergeCell ref="R706:S706"/>
    <mergeCell ref="E709:F709"/>
    <mergeCell ref="I709:K709"/>
    <mergeCell ref="L709:M709"/>
    <mergeCell ref="R709:S709"/>
    <mergeCell ref="E704:F704"/>
    <mergeCell ref="I704:K704"/>
    <mergeCell ref="L704:M704"/>
    <mergeCell ref="R704:S704"/>
    <mergeCell ref="I705:K705"/>
    <mergeCell ref="L705:M705"/>
    <mergeCell ref="R705:S705"/>
    <mergeCell ref="E702:F702"/>
    <mergeCell ref="I702:K702"/>
    <mergeCell ref="L702:M702"/>
    <mergeCell ref="R702:S702"/>
    <mergeCell ref="I703:K703"/>
    <mergeCell ref="L703:M703"/>
    <mergeCell ref="R703:S703"/>
    <mergeCell ref="I715:K715"/>
    <mergeCell ref="L715:M715"/>
    <mergeCell ref="R715:S715"/>
    <mergeCell ref="I716:K716"/>
    <mergeCell ref="L716:M716"/>
    <mergeCell ref="R716:S716"/>
    <mergeCell ref="E712:F714"/>
    <mergeCell ref="I712:K712"/>
    <mergeCell ref="L712:M712"/>
    <mergeCell ref="R712:S712"/>
    <mergeCell ref="I713:K713"/>
    <mergeCell ref="L713:M713"/>
    <mergeCell ref="R713:S713"/>
    <mergeCell ref="I714:K714"/>
    <mergeCell ref="L714:M714"/>
    <mergeCell ref="R714:S714"/>
    <mergeCell ref="E710:F710"/>
    <mergeCell ref="I710:K710"/>
    <mergeCell ref="L710:M710"/>
    <mergeCell ref="R710:S710"/>
    <mergeCell ref="I711:K711"/>
    <mergeCell ref="L711:M711"/>
    <mergeCell ref="R711:S711"/>
    <mergeCell ref="I721:K721"/>
    <mergeCell ref="L721:M721"/>
    <mergeCell ref="R721:S721"/>
    <mergeCell ref="E723:F723"/>
    <mergeCell ref="I723:K723"/>
    <mergeCell ref="L723:M723"/>
    <mergeCell ref="R723:S723"/>
    <mergeCell ref="E719:F719"/>
    <mergeCell ref="I719:K719"/>
    <mergeCell ref="L719:M719"/>
    <mergeCell ref="R719:S719"/>
    <mergeCell ref="I720:K720"/>
    <mergeCell ref="L720:M720"/>
    <mergeCell ref="R720:S720"/>
    <mergeCell ref="E717:F717"/>
    <mergeCell ref="I717:K717"/>
    <mergeCell ref="L717:M717"/>
    <mergeCell ref="R717:S717"/>
    <mergeCell ref="I718:K718"/>
    <mergeCell ref="L718:M718"/>
    <mergeCell ref="R718:S718"/>
    <mergeCell ref="I729:K729"/>
    <mergeCell ref="L729:M729"/>
    <mergeCell ref="R729:S729"/>
    <mergeCell ref="I730:K730"/>
    <mergeCell ref="L730:M730"/>
    <mergeCell ref="R730:S730"/>
    <mergeCell ref="E726:F728"/>
    <mergeCell ref="I726:K726"/>
    <mergeCell ref="L726:M726"/>
    <mergeCell ref="R726:S726"/>
    <mergeCell ref="I727:K727"/>
    <mergeCell ref="L727:M727"/>
    <mergeCell ref="R727:S727"/>
    <mergeCell ref="I728:K728"/>
    <mergeCell ref="L728:M728"/>
    <mergeCell ref="R728:S728"/>
    <mergeCell ref="E724:F724"/>
    <mergeCell ref="I724:K724"/>
    <mergeCell ref="L724:M724"/>
    <mergeCell ref="R724:S724"/>
    <mergeCell ref="I725:K725"/>
    <mergeCell ref="L725:M725"/>
    <mergeCell ref="R725:S725"/>
    <mergeCell ref="I735:K735"/>
    <mergeCell ref="L735:M735"/>
    <mergeCell ref="R735:S735"/>
    <mergeCell ref="E738:F738"/>
    <mergeCell ref="I738:K738"/>
    <mergeCell ref="L738:M738"/>
    <mergeCell ref="R738:S738"/>
    <mergeCell ref="E733:F733"/>
    <mergeCell ref="I733:K733"/>
    <mergeCell ref="L733:M733"/>
    <mergeCell ref="R733:S733"/>
    <mergeCell ref="I734:K734"/>
    <mergeCell ref="L734:M734"/>
    <mergeCell ref="R734:S734"/>
    <mergeCell ref="E731:F731"/>
    <mergeCell ref="I731:K731"/>
    <mergeCell ref="L731:M731"/>
    <mergeCell ref="R731:S731"/>
    <mergeCell ref="I732:K732"/>
    <mergeCell ref="L732:M732"/>
    <mergeCell ref="R732:S732"/>
    <mergeCell ref="I744:K744"/>
    <mergeCell ref="L744:M744"/>
    <mergeCell ref="R744:S744"/>
    <mergeCell ref="I745:K745"/>
    <mergeCell ref="L745:M745"/>
    <mergeCell ref="R745:S745"/>
    <mergeCell ref="E741:F743"/>
    <mergeCell ref="I741:K741"/>
    <mergeCell ref="L741:M741"/>
    <mergeCell ref="R741:S741"/>
    <mergeCell ref="I742:K742"/>
    <mergeCell ref="L742:M742"/>
    <mergeCell ref="R742:S742"/>
    <mergeCell ref="I743:K743"/>
    <mergeCell ref="L743:M743"/>
    <mergeCell ref="R743:S743"/>
    <mergeCell ref="E739:F739"/>
    <mergeCell ref="I739:K739"/>
    <mergeCell ref="L739:M739"/>
    <mergeCell ref="R739:S739"/>
    <mergeCell ref="I740:K740"/>
    <mergeCell ref="L740:M740"/>
    <mergeCell ref="R740:S740"/>
    <mergeCell ref="I750:K750"/>
    <mergeCell ref="L750:M750"/>
    <mergeCell ref="R750:S750"/>
    <mergeCell ref="E753:F753"/>
    <mergeCell ref="I753:K753"/>
    <mergeCell ref="L753:M753"/>
    <mergeCell ref="R753:S753"/>
    <mergeCell ref="E748:F748"/>
    <mergeCell ref="I748:K748"/>
    <mergeCell ref="L748:M748"/>
    <mergeCell ref="R748:S748"/>
    <mergeCell ref="I749:K749"/>
    <mergeCell ref="L749:M749"/>
    <mergeCell ref="R749:S749"/>
    <mergeCell ref="E746:F746"/>
    <mergeCell ref="I746:K746"/>
    <mergeCell ref="L746:M746"/>
    <mergeCell ref="R746:S746"/>
    <mergeCell ref="I747:K747"/>
    <mergeCell ref="L747:M747"/>
    <mergeCell ref="R747:S747"/>
    <mergeCell ref="I759:K759"/>
    <mergeCell ref="L759:M759"/>
    <mergeCell ref="R759:S759"/>
    <mergeCell ref="I760:K760"/>
    <mergeCell ref="L760:M760"/>
    <mergeCell ref="R760:S760"/>
    <mergeCell ref="E756:F758"/>
    <mergeCell ref="I756:K756"/>
    <mergeCell ref="L756:M756"/>
    <mergeCell ref="R756:S756"/>
    <mergeCell ref="I757:K757"/>
    <mergeCell ref="L757:M757"/>
    <mergeCell ref="R757:S757"/>
    <mergeCell ref="I758:K758"/>
    <mergeCell ref="L758:M758"/>
    <mergeCell ref="R758:S758"/>
    <mergeCell ref="E754:F754"/>
    <mergeCell ref="I754:K754"/>
    <mergeCell ref="L754:M754"/>
    <mergeCell ref="R754:S754"/>
    <mergeCell ref="I755:K755"/>
    <mergeCell ref="L755:M755"/>
    <mergeCell ref="R755:S755"/>
    <mergeCell ref="I765:K765"/>
    <mergeCell ref="L765:M765"/>
    <mergeCell ref="R765:S765"/>
    <mergeCell ref="E768:F768"/>
    <mergeCell ref="I768:K768"/>
    <mergeCell ref="L768:M768"/>
    <mergeCell ref="R768:S768"/>
    <mergeCell ref="E763:F763"/>
    <mergeCell ref="I763:K763"/>
    <mergeCell ref="L763:M763"/>
    <mergeCell ref="R763:S763"/>
    <mergeCell ref="I764:K764"/>
    <mergeCell ref="L764:M764"/>
    <mergeCell ref="R764:S764"/>
    <mergeCell ref="E761:F761"/>
    <mergeCell ref="I761:K761"/>
    <mergeCell ref="L761:M761"/>
    <mergeCell ref="R761:S761"/>
    <mergeCell ref="I762:K762"/>
    <mergeCell ref="L762:M762"/>
    <mergeCell ref="R762:S762"/>
    <mergeCell ref="I774:K774"/>
    <mergeCell ref="L774:M774"/>
    <mergeCell ref="R774:S774"/>
    <mergeCell ref="I775:K775"/>
    <mergeCell ref="L775:M775"/>
    <mergeCell ref="R775:S775"/>
    <mergeCell ref="E771:F773"/>
    <mergeCell ref="I771:K771"/>
    <mergeCell ref="L771:M771"/>
    <mergeCell ref="R771:S771"/>
    <mergeCell ref="I772:K772"/>
    <mergeCell ref="L772:M772"/>
    <mergeCell ref="R772:S772"/>
    <mergeCell ref="I773:K773"/>
    <mergeCell ref="L773:M773"/>
    <mergeCell ref="R773:S773"/>
    <mergeCell ref="E769:F769"/>
    <mergeCell ref="I769:K769"/>
    <mergeCell ref="L769:M769"/>
    <mergeCell ref="R769:S769"/>
    <mergeCell ref="I770:K770"/>
    <mergeCell ref="L770:M770"/>
    <mergeCell ref="R770:S770"/>
    <mergeCell ref="I780:K780"/>
    <mergeCell ref="L780:M780"/>
    <mergeCell ref="R780:S780"/>
    <mergeCell ref="E783:F783"/>
    <mergeCell ref="I783:K783"/>
    <mergeCell ref="L783:M783"/>
    <mergeCell ref="R783:S783"/>
    <mergeCell ref="E778:F778"/>
    <mergeCell ref="I778:K778"/>
    <mergeCell ref="L778:M778"/>
    <mergeCell ref="R778:S778"/>
    <mergeCell ref="I779:K779"/>
    <mergeCell ref="L779:M779"/>
    <mergeCell ref="R779:S779"/>
    <mergeCell ref="E776:F776"/>
    <mergeCell ref="I776:K776"/>
    <mergeCell ref="L776:M776"/>
    <mergeCell ref="R776:S776"/>
    <mergeCell ref="I777:K777"/>
    <mergeCell ref="L777:M777"/>
    <mergeCell ref="R777:S777"/>
    <mergeCell ref="I789:K789"/>
    <mergeCell ref="L789:M789"/>
    <mergeCell ref="R789:S789"/>
    <mergeCell ref="I790:K790"/>
    <mergeCell ref="L790:M790"/>
    <mergeCell ref="R790:S790"/>
    <mergeCell ref="E786:F788"/>
    <mergeCell ref="I786:K786"/>
    <mergeCell ref="L786:M786"/>
    <mergeCell ref="R786:S786"/>
    <mergeCell ref="I787:K787"/>
    <mergeCell ref="L787:M787"/>
    <mergeCell ref="R787:S787"/>
    <mergeCell ref="I788:K788"/>
    <mergeCell ref="L788:M788"/>
    <mergeCell ref="R788:S788"/>
    <mergeCell ref="E784:F784"/>
    <mergeCell ref="I784:K784"/>
    <mergeCell ref="L784:M784"/>
    <mergeCell ref="R784:S784"/>
    <mergeCell ref="I785:K785"/>
    <mergeCell ref="L785:M785"/>
    <mergeCell ref="R785:S785"/>
    <mergeCell ref="I795:K795"/>
    <mergeCell ref="L795:M795"/>
    <mergeCell ref="R795:S795"/>
    <mergeCell ref="E798:F798"/>
    <mergeCell ref="I798:K798"/>
    <mergeCell ref="L798:M798"/>
    <mergeCell ref="R798:S798"/>
    <mergeCell ref="E793:F793"/>
    <mergeCell ref="I793:K793"/>
    <mergeCell ref="L793:M793"/>
    <mergeCell ref="R793:S793"/>
    <mergeCell ref="I794:K794"/>
    <mergeCell ref="L794:M794"/>
    <mergeCell ref="R794:S794"/>
    <mergeCell ref="E791:F791"/>
    <mergeCell ref="I791:K791"/>
    <mergeCell ref="L791:M791"/>
    <mergeCell ref="R791:S791"/>
    <mergeCell ref="I792:K792"/>
    <mergeCell ref="L792:M792"/>
    <mergeCell ref="R792:S792"/>
    <mergeCell ref="I804:K804"/>
    <mergeCell ref="L804:M804"/>
    <mergeCell ref="R804:S804"/>
    <mergeCell ref="I805:K805"/>
    <mergeCell ref="L805:M805"/>
    <mergeCell ref="R805:S805"/>
    <mergeCell ref="E801:F803"/>
    <mergeCell ref="I801:K801"/>
    <mergeCell ref="L801:M801"/>
    <mergeCell ref="R801:S801"/>
    <mergeCell ref="I802:K802"/>
    <mergeCell ref="L802:M802"/>
    <mergeCell ref="R802:S802"/>
    <mergeCell ref="I803:K803"/>
    <mergeCell ref="L803:M803"/>
    <mergeCell ref="R803:S803"/>
    <mergeCell ref="E799:F799"/>
    <mergeCell ref="I799:K799"/>
    <mergeCell ref="L799:M799"/>
    <mergeCell ref="R799:S799"/>
    <mergeCell ref="I800:K800"/>
    <mergeCell ref="L800:M800"/>
    <mergeCell ref="R800:S800"/>
    <mergeCell ref="I810:K810"/>
    <mergeCell ref="L810:M810"/>
    <mergeCell ref="R810:S810"/>
    <mergeCell ref="E813:F813"/>
    <mergeCell ref="I813:K813"/>
    <mergeCell ref="L813:M813"/>
    <mergeCell ref="R813:S813"/>
    <mergeCell ref="E808:F808"/>
    <mergeCell ref="I808:K808"/>
    <mergeCell ref="L808:M808"/>
    <mergeCell ref="R808:S808"/>
    <mergeCell ref="I809:K809"/>
    <mergeCell ref="L809:M809"/>
    <mergeCell ref="R809:S809"/>
    <mergeCell ref="E806:F806"/>
    <mergeCell ref="I806:K806"/>
    <mergeCell ref="L806:M806"/>
    <mergeCell ref="R806:S806"/>
    <mergeCell ref="I807:K807"/>
    <mergeCell ref="L807:M807"/>
    <mergeCell ref="R807:S807"/>
    <mergeCell ref="I819:K819"/>
    <mergeCell ref="L819:M819"/>
    <mergeCell ref="R819:S819"/>
    <mergeCell ref="I820:K820"/>
    <mergeCell ref="L820:M820"/>
    <mergeCell ref="R820:S820"/>
    <mergeCell ref="E816:F818"/>
    <mergeCell ref="I816:K816"/>
    <mergeCell ref="L816:M816"/>
    <mergeCell ref="R816:S816"/>
    <mergeCell ref="I817:K817"/>
    <mergeCell ref="L817:M817"/>
    <mergeCell ref="R817:S817"/>
    <mergeCell ref="I818:K818"/>
    <mergeCell ref="L818:M818"/>
    <mergeCell ref="R818:S818"/>
    <mergeCell ref="E814:F814"/>
    <mergeCell ref="I814:K814"/>
    <mergeCell ref="L814:M814"/>
    <mergeCell ref="R814:S814"/>
    <mergeCell ref="I815:K815"/>
    <mergeCell ref="L815:M815"/>
    <mergeCell ref="R815:S815"/>
    <mergeCell ref="I825:K825"/>
    <mergeCell ref="L825:M825"/>
    <mergeCell ref="R825:S825"/>
    <mergeCell ref="E828:F828"/>
    <mergeCell ref="I828:K828"/>
    <mergeCell ref="L828:M828"/>
    <mergeCell ref="R828:S828"/>
    <mergeCell ref="E823:F823"/>
    <mergeCell ref="I823:K823"/>
    <mergeCell ref="L823:M823"/>
    <mergeCell ref="R823:S823"/>
    <mergeCell ref="I824:K824"/>
    <mergeCell ref="L824:M824"/>
    <mergeCell ref="R824:S824"/>
    <mergeCell ref="E821:F821"/>
    <mergeCell ref="I821:K821"/>
    <mergeCell ref="L821:M821"/>
    <mergeCell ref="R821:S821"/>
    <mergeCell ref="I822:K822"/>
    <mergeCell ref="L822:M822"/>
    <mergeCell ref="R822:S822"/>
    <mergeCell ref="I834:K834"/>
    <mergeCell ref="L834:M834"/>
    <mergeCell ref="R834:S834"/>
    <mergeCell ref="I835:K835"/>
    <mergeCell ref="L835:M835"/>
    <mergeCell ref="R835:S835"/>
    <mergeCell ref="E831:F833"/>
    <mergeCell ref="I831:K831"/>
    <mergeCell ref="L831:M831"/>
    <mergeCell ref="R831:S831"/>
    <mergeCell ref="I832:K832"/>
    <mergeCell ref="L832:M832"/>
    <mergeCell ref="R832:S832"/>
    <mergeCell ref="I833:K833"/>
    <mergeCell ref="L833:M833"/>
    <mergeCell ref="R833:S833"/>
    <mergeCell ref="E829:F829"/>
    <mergeCell ref="I829:K829"/>
    <mergeCell ref="L829:M829"/>
    <mergeCell ref="R829:S829"/>
    <mergeCell ref="I830:K830"/>
    <mergeCell ref="L830:M830"/>
    <mergeCell ref="R830:S830"/>
    <mergeCell ref="I840:K840"/>
    <mergeCell ref="L840:M840"/>
    <mergeCell ref="R840:S840"/>
    <mergeCell ref="E843:F843"/>
    <mergeCell ref="I843:K843"/>
    <mergeCell ref="L843:M843"/>
    <mergeCell ref="R843:S843"/>
    <mergeCell ref="E838:F838"/>
    <mergeCell ref="I838:K838"/>
    <mergeCell ref="L838:M838"/>
    <mergeCell ref="R838:S838"/>
    <mergeCell ref="I839:K839"/>
    <mergeCell ref="L839:M839"/>
    <mergeCell ref="R839:S839"/>
    <mergeCell ref="E836:F836"/>
    <mergeCell ref="I836:K836"/>
    <mergeCell ref="L836:M836"/>
    <mergeCell ref="R836:S836"/>
    <mergeCell ref="I837:K837"/>
    <mergeCell ref="L837:M837"/>
    <mergeCell ref="R837:S837"/>
    <mergeCell ref="I849:K849"/>
    <mergeCell ref="L849:M849"/>
    <mergeCell ref="R849:S849"/>
    <mergeCell ref="I850:K850"/>
    <mergeCell ref="L850:M850"/>
    <mergeCell ref="R850:S850"/>
    <mergeCell ref="E846:F848"/>
    <mergeCell ref="I846:K846"/>
    <mergeCell ref="L846:M846"/>
    <mergeCell ref="R846:S846"/>
    <mergeCell ref="I847:K847"/>
    <mergeCell ref="L847:M847"/>
    <mergeCell ref="R847:S847"/>
    <mergeCell ref="I848:K848"/>
    <mergeCell ref="L848:M848"/>
    <mergeCell ref="R848:S848"/>
    <mergeCell ref="E844:F844"/>
    <mergeCell ref="I844:K844"/>
    <mergeCell ref="L844:M844"/>
    <mergeCell ref="R844:S844"/>
    <mergeCell ref="I845:K845"/>
    <mergeCell ref="L845:M845"/>
    <mergeCell ref="R845:S845"/>
    <mergeCell ref="I855:K855"/>
    <mergeCell ref="L855:M855"/>
    <mergeCell ref="R855:S855"/>
    <mergeCell ref="E857:F857"/>
    <mergeCell ref="I857:K857"/>
    <mergeCell ref="L857:M857"/>
    <mergeCell ref="R857:S857"/>
    <mergeCell ref="E853:F853"/>
    <mergeCell ref="I853:K853"/>
    <mergeCell ref="L853:M853"/>
    <mergeCell ref="R853:S853"/>
    <mergeCell ref="I854:K854"/>
    <mergeCell ref="L854:M854"/>
    <mergeCell ref="R854:S854"/>
    <mergeCell ref="E851:F851"/>
    <mergeCell ref="I851:K851"/>
    <mergeCell ref="L851:M851"/>
    <mergeCell ref="R851:S851"/>
    <mergeCell ref="I852:K852"/>
    <mergeCell ref="L852:M852"/>
    <mergeCell ref="R852:S852"/>
    <mergeCell ref="I863:K863"/>
    <mergeCell ref="L863:M863"/>
    <mergeCell ref="R863:S863"/>
    <mergeCell ref="I864:K864"/>
    <mergeCell ref="L864:M864"/>
    <mergeCell ref="R864:S864"/>
    <mergeCell ref="E860:F862"/>
    <mergeCell ref="I860:K860"/>
    <mergeCell ref="L860:M860"/>
    <mergeCell ref="R860:S860"/>
    <mergeCell ref="I861:K861"/>
    <mergeCell ref="L861:M861"/>
    <mergeCell ref="R861:S861"/>
    <mergeCell ref="I862:K862"/>
    <mergeCell ref="L862:M862"/>
    <mergeCell ref="R862:S862"/>
    <mergeCell ref="E858:F858"/>
    <mergeCell ref="I858:K858"/>
    <mergeCell ref="L858:M858"/>
    <mergeCell ref="R858:S858"/>
    <mergeCell ref="I859:K859"/>
    <mergeCell ref="L859:M859"/>
    <mergeCell ref="R859:S859"/>
    <mergeCell ref="I869:K869"/>
    <mergeCell ref="L869:M869"/>
    <mergeCell ref="R869:S869"/>
    <mergeCell ref="E872:F872"/>
    <mergeCell ref="I872:K872"/>
    <mergeCell ref="L872:M872"/>
    <mergeCell ref="R872:S872"/>
    <mergeCell ref="E867:F867"/>
    <mergeCell ref="I867:K867"/>
    <mergeCell ref="L867:M867"/>
    <mergeCell ref="R867:S867"/>
    <mergeCell ref="I868:K868"/>
    <mergeCell ref="L868:M868"/>
    <mergeCell ref="R868:S868"/>
    <mergeCell ref="E865:F865"/>
    <mergeCell ref="I865:K865"/>
    <mergeCell ref="L865:M865"/>
    <mergeCell ref="R865:S865"/>
    <mergeCell ref="I866:K866"/>
    <mergeCell ref="L866:M866"/>
    <mergeCell ref="R866:S866"/>
    <mergeCell ref="I878:K878"/>
    <mergeCell ref="L878:M878"/>
    <mergeCell ref="R878:S878"/>
    <mergeCell ref="I879:K879"/>
    <mergeCell ref="L879:M879"/>
    <mergeCell ref="R879:S879"/>
    <mergeCell ref="E875:F877"/>
    <mergeCell ref="I875:K875"/>
    <mergeCell ref="L875:M875"/>
    <mergeCell ref="R875:S875"/>
    <mergeCell ref="I876:K876"/>
    <mergeCell ref="L876:M876"/>
    <mergeCell ref="R876:S876"/>
    <mergeCell ref="I877:K877"/>
    <mergeCell ref="L877:M877"/>
    <mergeCell ref="R877:S877"/>
    <mergeCell ref="E873:F873"/>
    <mergeCell ref="I873:K873"/>
    <mergeCell ref="L873:M873"/>
    <mergeCell ref="R873:S873"/>
    <mergeCell ref="I874:K874"/>
    <mergeCell ref="L874:M874"/>
    <mergeCell ref="R874:S874"/>
    <mergeCell ref="I884:K884"/>
    <mergeCell ref="L884:M884"/>
    <mergeCell ref="R884:S884"/>
    <mergeCell ref="E887:F887"/>
    <mergeCell ref="I887:K887"/>
    <mergeCell ref="L887:M887"/>
    <mergeCell ref="R887:S887"/>
    <mergeCell ref="E882:F882"/>
    <mergeCell ref="I882:K882"/>
    <mergeCell ref="L882:M882"/>
    <mergeCell ref="R882:S882"/>
    <mergeCell ref="I883:K883"/>
    <mergeCell ref="L883:M883"/>
    <mergeCell ref="R883:S883"/>
    <mergeCell ref="E880:F880"/>
    <mergeCell ref="I880:K880"/>
    <mergeCell ref="L880:M880"/>
    <mergeCell ref="R880:S880"/>
    <mergeCell ref="I881:K881"/>
    <mergeCell ref="L881:M881"/>
    <mergeCell ref="R881:S881"/>
    <mergeCell ref="I893:K893"/>
    <mergeCell ref="L893:M893"/>
    <mergeCell ref="R893:S893"/>
    <mergeCell ref="I894:K894"/>
    <mergeCell ref="L894:M894"/>
    <mergeCell ref="R894:S894"/>
    <mergeCell ref="E890:F892"/>
    <mergeCell ref="I890:K890"/>
    <mergeCell ref="L890:M890"/>
    <mergeCell ref="R890:S890"/>
    <mergeCell ref="I891:K891"/>
    <mergeCell ref="L891:M891"/>
    <mergeCell ref="R891:S891"/>
    <mergeCell ref="I892:K892"/>
    <mergeCell ref="L892:M892"/>
    <mergeCell ref="R892:S892"/>
    <mergeCell ref="E888:F888"/>
    <mergeCell ref="I888:K888"/>
    <mergeCell ref="L888:M888"/>
    <mergeCell ref="R888:S888"/>
    <mergeCell ref="I889:K889"/>
    <mergeCell ref="L889:M889"/>
    <mergeCell ref="R889:S889"/>
    <mergeCell ref="I899:K899"/>
    <mergeCell ref="L899:M899"/>
    <mergeCell ref="R899:S899"/>
    <mergeCell ref="E902:F902"/>
    <mergeCell ref="I902:K902"/>
    <mergeCell ref="L902:M902"/>
    <mergeCell ref="R902:S902"/>
    <mergeCell ref="E897:F897"/>
    <mergeCell ref="I897:K897"/>
    <mergeCell ref="L897:M897"/>
    <mergeCell ref="R897:S897"/>
    <mergeCell ref="I898:K898"/>
    <mergeCell ref="L898:M898"/>
    <mergeCell ref="R898:S898"/>
    <mergeCell ref="E895:F895"/>
    <mergeCell ref="I895:K895"/>
    <mergeCell ref="L895:M895"/>
    <mergeCell ref="R895:S895"/>
    <mergeCell ref="I896:K896"/>
    <mergeCell ref="L896:M896"/>
    <mergeCell ref="R896:S896"/>
    <mergeCell ref="I908:K908"/>
    <mergeCell ref="L908:M908"/>
    <mergeCell ref="R908:S908"/>
    <mergeCell ref="I909:K909"/>
    <mergeCell ref="L909:M909"/>
    <mergeCell ref="R909:S909"/>
    <mergeCell ref="E905:F907"/>
    <mergeCell ref="I905:K905"/>
    <mergeCell ref="L905:M905"/>
    <mergeCell ref="R905:S905"/>
    <mergeCell ref="I906:K906"/>
    <mergeCell ref="L906:M906"/>
    <mergeCell ref="R906:S906"/>
    <mergeCell ref="I907:K907"/>
    <mergeCell ref="L907:M907"/>
    <mergeCell ref="R907:S907"/>
    <mergeCell ref="E903:F903"/>
    <mergeCell ref="I903:K903"/>
    <mergeCell ref="L903:M903"/>
    <mergeCell ref="R903:S903"/>
    <mergeCell ref="I904:K904"/>
    <mergeCell ref="L904:M904"/>
    <mergeCell ref="R904:S904"/>
    <mergeCell ref="I914:K914"/>
    <mergeCell ref="L914:M914"/>
    <mergeCell ref="R914:S914"/>
    <mergeCell ref="E917:F917"/>
    <mergeCell ref="I917:K917"/>
    <mergeCell ref="L917:M917"/>
    <mergeCell ref="R917:S917"/>
    <mergeCell ref="E912:F912"/>
    <mergeCell ref="I912:K912"/>
    <mergeCell ref="L912:M912"/>
    <mergeCell ref="R912:S912"/>
    <mergeCell ref="I913:K913"/>
    <mergeCell ref="L913:M913"/>
    <mergeCell ref="R913:S913"/>
    <mergeCell ref="E910:F910"/>
    <mergeCell ref="I910:K910"/>
    <mergeCell ref="L910:M910"/>
    <mergeCell ref="R910:S910"/>
    <mergeCell ref="I911:K911"/>
    <mergeCell ref="L911:M911"/>
    <mergeCell ref="R911:S911"/>
    <mergeCell ref="I923:K923"/>
    <mergeCell ref="L923:M923"/>
    <mergeCell ref="R923:S923"/>
    <mergeCell ref="I924:K924"/>
    <mergeCell ref="L924:M924"/>
    <mergeCell ref="R924:S924"/>
    <mergeCell ref="E920:F922"/>
    <mergeCell ref="I920:K920"/>
    <mergeCell ref="L920:M920"/>
    <mergeCell ref="R920:S920"/>
    <mergeCell ref="I921:K921"/>
    <mergeCell ref="L921:M921"/>
    <mergeCell ref="R921:S921"/>
    <mergeCell ref="I922:K922"/>
    <mergeCell ref="L922:M922"/>
    <mergeCell ref="R922:S922"/>
    <mergeCell ref="E918:F918"/>
    <mergeCell ref="I918:K918"/>
    <mergeCell ref="L918:M918"/>
    <mergeCell ref="R918:S918"/>
    <mergeCell ref="I919:K919"/>
    <mergeCell ref="L919:M919"/>
    <mergeCell ref="R919:S919"/>
    <mergeCell ref="I929:K929"/>
    <mergeCell ref="L929:M929"/>
    <mergeCell ref="R929:S929"/>
    <mergeCell ref="E932:F932"/>
    <mergeCell ref="I932:K932"/>
    <mergeCell ref="L932:M932"/>
    <mergeCell ref="R932:S932"/>
    <mergeCell ref="E927:F927"/>
    <mergeCell ref="I927:K927"/>
    <mergeCell ref="L927:M927"/>
    <mergeCell ref="R927:S927"/>
    <mergeCell ref="I928:K928"/>
    <mergeCell ref="L928:M928"/>
    <mergeCell ref="R928:S928"/>
    <mergeCell ref="E925:F925"/>
    <mergeCell ref="I925:K925"/>
    <mergeCell ref="L925:M925"/>
    <mergeCell ref="R925:S925"/>
    <mergeCell ref="I926:K926"/>
    <mergeCell ref="L926:M926"/>
    <mergeCell ref="R926:S926"/>
    <mergeCell ref="I938:K938"/>
    <mergeCell ref="L938:M938"/>
    <mergeCell ref="R938:S938"/>
    <mergeCell ref="I939:K939"/>
    <mergeCell ref="L939:M939"/>
    <mergeCell ref="R939:S939"/>
    <mergeCell ref="E935:F937"/>
    <mergeCell ref="I935:K935"/>
    <mergeCell ref="L935:M935"/>
    <mergeCell ref="R935:S935"/>
    <mergeCell ref="I936:K936"/>
    <mergeCell ref="L936:M936"/>
    <mergeCell ref="R936:S936"/>
    <mergeCell ref="I937:K937"/>
    <mergeCell ref="L937:M937"/>
    <mergeCell ref="R937:S937"/>
    <mergeCell ref="E933:F933"/>
    <mergeCell ref="I933:K933"/>
    <mergeCell ref="L933:M933"/>
    <mergeCell ref="R933:S933"/>
    <mergeCell ref="I934:K934"/>
    <mergeCell ref="L934:M934"/>
    <mergeCell ref="R934:S934"/>
    <mergeCell ref="I944:K944"/>
    <mergeCell ref="L944:M944"/>
    <mergeCell ref="R944:S944"/>
    <mergeCell ref="E947:F947"/>
    <mergeCell ref="I947:K947"/>
    <mergeCell ref="L947:M947"/>
    <mergeCell ref="R947:S947"/>
    <mergeCell ref="E942:F942"/>
    <mergeCell ref="I942:K942"/>
    <mergeCell ref="L942:M942"/>
    <mergeCell ref="R942:S942"/>
    <mergeCell ref="I943:K943"/>
    <mergeCell ref="L943:M943"/>
    <mergeCell ref="R943:S943"/>
    <mergeCell ref="E940:F940"/>
    <mergeCell ref="I940:K940"/>
    <mergeCell ref="L940:M940"/>
    <mergeCell ref="R940:S940"/>
    <mergeCell ref="I941:K941"/>
    <mergeCell ref="L941:M941"/>
    <mergeCell ref="R941:S941"/>
    <mergeCell ref="I953:K953"/>
    <mergeCell ref="L953:M953"/>
    <mergeCell ref="R953:S953"/>
    <mergeCell ref="I954:K954"/>
    <mergeCell ref="L954:M954"/>
    <mergeCell ref="R954:S954"/>
    <mergeCell ref="E950:F952"/>
    <mergeCell ref="I950:K950"/>
    <mergeCell ref="L950:M950"/>
    <mergeCell ref="R950:S950"/>
    <mergeCell ref="I951:K951"/>
    <mergeCell ref="L951:M951"/>
    <mergeCell ref="R951:S951"/>
    <mergeCell ref="I952:K952"/>
    <mergeCell ref="L952:M952"/>
    <mergeCell ref="R952:S952"/>
    <mergeCell ref="E948:F948"/>
    <mergeCell ref="I948:K948"/>
    <mergeCell ref="L948:M948"/>
    <mergeCell ref="R948:S948"/>
    <mergeCell ref="I949:K949"/>
    <mergeCell ref="L949:M949"/>
    <mergeCell ref="R949:S949"/>
    <mergeCell ref="I959:K959"/>
    <mergeCell ref="L959:M959"/>
    <mergeCell ref="R959:S959"/>
    <mergeCell ref="E962:F962"/>
    <mergeCell ref="I962:K962"/>
    <mergeCell ref="L962:M962"/>
    <mergeCell ref="R962:S962"/>
    <mergeCell ref="E957:F957"/>
    <mergeCell ref="I957:K957"/>
    <mergeCell ref="L957:M957"/>
    <mergeCell ref="R957:S957"/>
    <mergeCell ref="I958:K958"/>
    <mergeCell ref="L958:M958"/>
    <mergeCell ref="R958:S958"/>
    <mergeCell ref="E955:F955"/>
    <mergeCell ref="I955:K955"/>
    <mergeCell ref="L955:M955"/>
    <mergeCell ref="R955:S955"/>
    <mergeCell ref="I956:K956"/>
    <mergeCell ref="L956:M956"/>
    <mergeCell ref="R956:S956"/>
    <mergeCell ref="I968:K968"/>
    <mergeCell ref="L968:M968"/>
    <mergeCell ref="R968:S968"/>
    <mergeCell ref="I969:K969"/>
    <mergeCell ref="L969:M969"/>
    <mergeCell ref="R969:S969"/>
    <mergeCell ref="E965:F967"/>
    <mergeCell ref="I965:K965"/>
    <mergeCell ref="L965:M965"/>
    <mergeCell ref="R965:S965"/>
    <mergeCell ref="I966:K966"/>
    <mergeCell ref="L966:M966"/>
    <mergeCell ref="R966:S966"/>
    <mergeCell ref="I967:K967"/>
    <mergeCell ref="L967:M967"/>
    <mergeCell ref="R967:S967"/>
    <mergeCell ref="E963:F963"/>
    <mergeCell ref="I963:K963"/>
    <mergeCell ref="L963:M963"/>
    <mergeCell ref="R963:S963"/>
    <mergeCell ref="I964:K964"/>
    <mergeCell ref="L964:M964"/>
    <mergeCell ref="R964:S964"/>
    <mergeCell ref="I974:K974"/>
    <mergeCell ref="L974:M974"/>
    <mergeCell ref="R974:S974"/>
    <mergeCell ref="E977:F977"/>
    <mergeCell ref="I977:K977"/>
    <mergeCell ref="L977:M977"/>
    <mergeCell ref="R977:S977"/>
    <mergeCell ref="E972:F972"/>
    <mergeCell ref="I972:K972"/>
    <mergeCell ref="L972:M972"/>
    <mergeCell ref="R972:S972"/>
    <mergeCell ref="I973:K973"/>
    <mergeCell ref="L973:M973"/>
    <mergeCell ref="R973:S973"/>
    <mergeCell ref="E970:F970"/>
    <mergeCell ref="I970:K970"/>
    <mergeCell ref="L970:M970"/>
    <mergeCell ref="R970:S970"/>
    <mergeCell ref="I971:K971"/>
    <mergeCell ref="L971:M971"/>
    <mergeCell ref="R971:S971"/>
    <mergeCell ref="I983:K983"/>
    <mergeCell ref="L983:M983"/>
    <mergeCell ref="R983:S983"/>
    <mergeCell ref="I984:K984"/>
    <mergeCell ref="L984:M984"/>
    <mergeCell ref="R984:S984"/>
    <mergeCell ref="E980:F982"/>
    <mergeCell ref="I980:K980"/>
    <mergeCell ref="L980:M980"/>
    <mergeCell ref="R980:S980"/>
    <mergeCell ref="I981:K981"/>
    <mergeCell ref="L981:M981"/>
    <mergeCell ref="R981:S981"/>
    <mergeCell ref="I982:K982"/>
    <mergeCell ref="L982:M982"/>
    <mergeCell ref="R982:S982"/>
    <mergeCell ref="E978:F978"/>
    <mergeCell ref="I978:K978"/>
    <mergeCell ref="L978:M978"/>
    <mergeCell ref="R978:S978"/>
    <mergeCell ref="I979:K979"/>
    <mergeCell ref="L979:M979"/>
    <mergeCell ref="R979:S979"/>
    <mergeCell ref="I989:K989"/>
    <mergeCell ref="L989:M989"/>
    <mergeCell ref="R989:S989"/>
    <mergeCell ref="E991:F991"/>
    <mergeCell ref="I991:K991"/>
    <mergeCell ref="L991:M991"/>
    <mergeCell ref="R991:S991"/>
    <mergeCell ref="E987:F987"/>
    <mergeCell ref="I987:K987"/>
    <mergeCell ref="L987:M987"/>
    <mergeCell ref="R987:S987"/>
    <mergeCell ref="I988:K988"/>
    <mergeCell ref="L988:M988"/>
    <mergeCell ref="R988:S988"/>
    <mergeCell ref="E985:F985"/>
    <mergeCell ref="I985:K985"/>
    <mergeCell ref="L985:M985"/>
    <mergeCell ref="R985:S985"/>
    <mergeCell ref="I986:K986"/>
    <mergeCell ref="L986:M986"/>
    <mergeCell ref="R986:S986"/>
    <mergeCell ref="I997:K997"/>
    <mergeCell ref="L997:M997"/>
    <mergeCell ref="R997:S997"/>
    <mergeCell ref="I998:K998"/>
    <mergeCell ref="L998:M998"/>
    <mergeCell ref="R998:S998"/>
    <mergeCell ref="E994:F996"/>
    <mergeCell ref="I994:K994"/>
    <mergeCell ref="L994:M994"/>
    <mergeCell ref="R994:S994"/>
    <mergeCell ref="I995:K995"/>
    <mergeCell ref="L995:M995"/>
    <mergeCell ref="R995:S995"/>
    <mergeCell ref="I996:K996"/>
    <mergeCell ref="L996:M996"/>
    <mergeCell ref="R996:S996"/>
    <mergeCell ref="E992:F992"/>
    <mergeCell ref="I992:K992"/>
    <mergeCell ref="L992:M992"/>
    <mergeCell ref="R992:S992"/>
    <mergeCell ref="I993:K993"/>
    <mergeCell ref="L993:M993"/>
    <mergeCell ref="R993:S993"/>
    <mergeCell ref="I1003:K1003"/>
    <mergeCell ref="L1003:M1003"/>
    <mergeCell ref="R1003:S1003"/>
    <mergeCell ref="E1001:F1001"/>
    <mergeCell ref="I1001:K1001"/>
    <mergeCell ref="L1001:M1001"/>
    <mergeCell ref="R1001:S1001"/>
    <mergeCell ref="I1002:K1002"/>
    <mergeCell ref="L1002:M1002"/>
    <mergeCell ref="R1002:S1002"/>
    <mergeCell ref="E999:F999"/>
    <mergeCell ref="I999:K999"/>
    <mergeCell ref="L999:M999"/>
    <mergeCell ref="R999:S999"/>
    <mergeCell ref="I1000:K1000"/>
    <mergeCell ref="L1000:M1000"/>
    <mergeCell ref="R1000:S1000"/>
  </mergeCells>
  <conditionalFormatting sqref="A1:XFD1048576">
    <cfRule type="containsText" dxfId="0" priority="1" operator="containsText" text="FAIL">
      <formula>NOT(ISERROR(SEARCH("FAIL",A1)))</formula>
    </cfRule>
  </conditionalFormatting>
  <pageMargins left="0.78740157480314998" right="0.78740157480314998" top="0.39370078740157499" bottom="0.67441732283464595" header="0.39370078740157499" footer="0.39370078740157499"/>
  <pageSetup orientation="landscape" r:id="rId1"/>
  <headerFooter alignWithMargins="0">
    <oddFooter>&amp;L&amp;"Segoe UI,Regular"&amp;9 Printed Date: &amp;"-,Regular"16/04/2025 11:16 AM &amp;C&amp;"Segoe UI,Regular"&amp;9 Page 2   of  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D1:AE1005"/>
  <sheetViews>
    <sheetView showGridLines="0" topLeftCell="J1" workbookViewId="0">
      <pane ySplit="5" topLeftCell="A974" activePane="bottomLeft" state="frozen"/>
      <selection pane="bottomLeft" activeCell="Z981" sqref="Z981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19.140625" customWidth="1"/>
    <col min="6" max="6" width="13.42578125" customWidth="1"/>
    <col min="7" max="7" width="9.85546875" customWidth="1"/>
    <col min="8" max="8" width="7.42578125" customWidth="1"/>
    <col min="9" max="9" width="0" hidden="1" customWidth="1"/>
    <col min="10" max="10" width="2.42578125" customWidth="1"/>
    <col min="11" max="11" width="7.42578125" customWidth="1"/>
    <col min="12" max="12" width="2.42578125" customWidth="1"/>
    <col min="13" max="16" width="9.85546875" customWidth="1"/>
    <col min="17" max="17" width="8" customWidth="1"/>
    <col min="18" max="18" width="1.85546875" customWidth="1"/>
    <col min="19" max="19" width="7.42578125" customWidth="1"/>
    <col min="20" max="20" width="0" hidden="1" customWidth="1"/>
    <col min="21" max="21" width="16.140625" customWidth="1"/>
    <col min="22" max="22" width="15.42578125" customWidth="1"/>
  </cols>
  <sheetData>
    <row r="1" spans="4:21" ht="0.95" customHeight="1"/>
    <row r="2" spans="4:21" ht="16.149999999999999" customHeight="1">
      <c r="D2" s="17" t="s">
        <v>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4:21" ht="6.6" customHeight="1"/>
    <row r="4" spans="4:21" ht="23.85" customHeight="1">
      <c r="D4" s="19" t="s">
        <v>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4:21" ht="5.0999999999999996" customHeight="1"/>
    <row r="6" spans="4:21" ht="11.25" customHeight="1"/>
    <row r="7" spans="4:21" ht="7.7" customHeight="1"/>
    <row r="8" spans="4:21" ht="0.6" customHeight="1"/>
    <row r="9" spans="4:21">
      <c r="E9" s="4"/>
      <c r="F9" s="3" t="s">
        <v>32</v>
      </c>
      <c r="G9" s="5" t="s">
        <v>33</v>
      </c>
      <c r="H9" s="5" t="s">
        <v>33</v>
      </c>
    </row>
    <row r="10" spans="4:21" ht="21">
      <c r="E10" s="4"/>
      <c r="F10" s="7" t="s">
        <v>35</v>
      </c>
      <c r="G10" s="7" t="s">
        <v>5</v>
      </c>
      <c r="H10" s="7" t="s">
        <v>36</v>
      </c>
    </row>
    <row r="11" spans="4:21" ht="22.5">
      <c r="E11" s="6" t="s">
        <v>38</v>
      </c>
      <c r="F11" s="8" t="s">
        <v>39</v>
      </c>
      <c r="G11" s="9" t="s">
        <v>40</v>
      </c>
      <c r="H11" s="8" t="s">
        <v>33</v>
      </c>
    </row>
    <row r="12" spans="4:21">
      <c r="E12" s="25"/>
      <c r="F12" s="8" t="s">
        <v>42</v>
      </c>
      <c r="G12" s="9" t="s">
        <v>43</v>
      </c>
      <c r="H12" s="8" t="s">
        <v>33</v>
      </c>
    </row>
    <row r="13" spans="4:21">
      <c r="E13" s="27"/>
      <c r="F13" s="8" t="s">
        <v>44</v>
      </c>
      <c r="G13" s="9" t="s">
        <v>33</v>
      </c>
      <c r="H13" s="8">
        <v>0</v>
      </c>
    </row>
    <row r="14" spans="4:21">
      <c r="E14" s="29"/>
      <c r="F14" s="8" t="s">
        <v>45</v>
      </c>
      <c r="G14" s="9">
        <v>4</v>
      </c>
      <c r="H14" s="8">
        <v>4</v>
      </c>
    </row>
    <row r="15" spans="4:21">
      <c r="E15" s="6">
        <v>6.18</v>
      </c>
      <c r="F15" s="8" t="s">
        <v>47</v>
      </c>
      <c r="G15" s="9">
        <v>5</v>
      </c>
      <c r="H15" s="8" t="s">
        <v>33</v>
      </c>
    </row>
    <row r="16" spans="4:21">
      <c r="E16" s="10">
        <v>6.25</v>
      </c>
      <c r="F16" s="8" t="s">
        <v>49</v>
      </c>
      <c r="G16" s="9">
        <v>20</v>
      </c>
      <c r="H16" s="8">
        <v>20</v>
      </c>
    </row>
    <row r="17" spans="5:11">
      <c r="E17" s="4"/>
      <c r="F17" s="8" t="s">
        <v>36</v>
      </c>
      <c r="G17" s="9">
        <v>48</v>
      </c>
      <c r="H17" s="8">
        <v>48</v>
      </c>
    </row>
    <row r="18" spans="5:11">
      <c r="E18" s="6"/>
      <c r="F18" s="8" t="s">
        <v>52</v>
      </c>
      <c r="G18" s="9">
        <v>100</v>
      </c>
      <c r="H18" s="8">
        <v>100</v>
      </c>
    </row>
    <row r="19" spans="5:11">
      <c r="E19" s="4"/>
      <c r="F19" s="8" t="s">
        <v>54</v>
      </c>
      <c r="G19" s="9" t="s">
        <v>55</v>
      </c>
      <c r="H19" s="8" t="s">
        <v>33</v>
      </c>
    </row>
    <row r="20" spans="5:11">
      <c r="E20" s="11" t="s">
        <v>57</v>
      </c>
      <c r="F20" s="8" t="s">
        <v>58</v>
      </c>
      <c r="G20" s="9" t="s">
        <v>59</v>
      </c>
      <c r="H20" s="8" t="s">
        <v>33</v>
      </c>
    </row>
    <row r="21" spans="5:11">
      <c r="E21" s="12" t="s">
        <v>33</v>
      </c>
      <c r="F21" s="12" t="s">
        <v>33</v>
      </c>
      <c r="G21" s="13" t="s">
        <v>33</v>
      </c>
      <c r="H21" s="13" t="s">
        <v>33</v>
      </c>
    </row>
    <row r="22" spans="5:11" ht="0" hidden="1" customHeight="1"/>
    <row r="23" spans="5:11" ht="0.6" customHeight="1"/>
    <row r="24" spans="5:11">
      <c r="E24" s="4"/>
      <c r="F24" s="3" t="s">
        <v>32</v>
      </c>
      <c r="G24" s="5" t="s">
        <v>33</v>
      </c>
      <c r="H24" s="32" t="s">
        <v>33</v>
      </c>
      <c r="I24" s="18"/>
      <c r="J24" s="18"/>
      <c r="K24" s="5" t="s">
        <v>33</v>
      </c>
    </row>
    <row r="25" spans="5:11" ht="21">
      <c r="E25" s="4"/>
      <c r="F25" s="7" t="s">
        <v>35</v>
      </c>
      <c r="G25" s="7" t="s">
        <v>5</v>
      </c>
      <c r="H25" s="30" t="s">
        <v>17</v>
      </c>
      <c r="I25" s="24"/>
      <c r="J25" s="22"/>
      <c r="K25" s="7" t="s">
        <v>36</v>
      </c>
    </row>
    <row r="26" spans="5:11" ht="22.5">
      <c r="E26" s="6" t="s">
        <v>61</v>
      </c>
      <c r="F26" s="8" t="s">
        <v>39</v>
      </c>
      <c r="G26" s="9" t="s">
        <v>62</v>
      </c>
      <c r="H26" s="23" t="s">
        <v>63</v>
      </c>
      <c r="I26" s="24"/>
      <c r="J26" s="22"/>
      <c r="K26" s="8" t="s">
        <v>33</v>
      </c>
    </row>
    <row r="27" spans="5:11">
      <c r="E27" s="25"/>
      <c r="F27" s="8" t="s">
        <v>42</v>
      </c>
      <c r="G27" s="9" t="s">
        <v>43</v>
      </c>
      <c r="H27" s="23" t="s">
        <v>43</v>
      </c>
      <c r="I27" s="24"/>
      <c r="J27" s="22"/>
      <c r="K27" s="8" t="s">
        <v>33</v>
      </c>
    </row>
    <row r="28" spans="5:11">
      <c r="E28" s="27"/>
      <c r="F28" s="8" t="s">
        <v>44</v>
      </c>
      <c r="G28" s="9" t="s">
        <v>33</v>
      </c>
      <c r="H28" s="23" t="s">
        <v>33</v>
      </c>
      <c r="I28" s="24"/>
      <c r="J28" s="22"/>
      <c r="K28" s="8">
        <v>0</v>
      </c>
    </row>
    <row r="29" spans="5:11">
      <c r="E29" s="29"/>
      <c r="F29" s="8" t="s">
        <v>45</v>
      </c>
      <c r="G29" s="9">
        <v>4</v>
      </c>
      <c r="H29" s="23">
        <v>3</v>
      </c>
      <c r="I29" s="24"/>
      <c r="J29" s="22"/>
      <c r="K29" s="8">
        <v>0</v>
      </c>
    </row>
    <row r="30" spans="5:11">
      <c r="E30" s="6"/>
      <c r="F30" s="8" t="s">
        <v>47</v>
      </c>
      <c r="G30" s="9"/>
      <c r="H30" s="23"/>
      <c r="I30" s="24"/>
      <c r="J30" s="22"/>
      <c r="K30" s="8" t="s">
        <v>33</v>
      </c>
    </row>
    <row r="31" spans="5:11">
      <c r="E31" s="6"/>
      <c r="F31" s="8" t="s">
        <v>49</v>
      </c>
      <c r="G31" s="9"/>
      <c r="H31" s="23"/>
      <c r="I31" s="24"/>
      <c r="J31" s="22"/>
      <c r="K31" s="8"/>
    </row>
    <row r="32" spans="5:11">
      <c r="E32" s="4"/>
      <c r="F32" s="8" t="s">
        <v>36</v>
      </c>
      <c r="G32" s="9">
        <v>37</v>
      </c>
      <c r="H32" s="23">
        <v>30</v>
      </c>
      <c r="I32" s="24"/>
      <c r="J32" s="22"/>
      <c r="K32" s="8">
        <v>67</v>
      </c>
    </row>
    <row r="33" spans="5:11">
      <c r="E33" s="6"/>
      <c r="F33" s="8" t="s">
        <v>52</v>
      </c>
      <c r="G33" s="9">
        <v>100</v>
      </c>
      <c r="H33" s="23">
        <v>100</v>
      </c>
      <c r="I33" s="24"/>
      <c r="J33" s="22"/>
      <c r="K33" s="8">
        <v>200</v>
      </c>
    </row>
    <row r="34" spans="5:11">
      <c r="E34" s="4"/>
      <c r="F34" s="8" t="s">
        <v>54</v>
      </c>
      <c r="G34" s="9"/>
      <c r="H34" s="23"/>
      <c r="I34" s="24"/>
      <c r="J34" s="22"/>
      <c r="K34" s="8" t="s">
        <v>33</v>
      </c>
    </row>
    <row r="35" spans="5:11">
      <c r="E35" s="11" t="s">
        <v>67</v>
      </c>
      <c r="F35" s="8" t="s">
        <v>58</v>
      </c>
      <c r="G35" s="9" t="s">
        <v>68</v>
      </c>
      <c r="H35" s="23" t="s">
        <v>68</v>
      </c>
      <c r="I35" s="24"/>
      <c r="J35" s="22"/>
      <c r="K35" s="8" t="s">
        <v>33</v>
      </c>
    </row>
    <row r="36" spans="5:11">
      <c r="E36" s="12" t="s">
        <v>33</v>
      </c>
      <c r="F36" s="12" t="s">
        <v>33</v>
      </c>
      <c r="G36" s="13" t="s">
        <v>33</v>
      </c>
      <c r="H36" s="20" t="s">
        <v>33</v>
      </c>
      <c r="I36" s="18"/>
      <c r="J36" s="18"/>
      <c r="K36" s="13" t="s">
        <v>33</v>
      </c>
    </row>
    <row r="37" spans="5:11" ht="0" hidden="1" customHeight="1"/>
    <row r="38" spans="5:11" ht="0.6" customHeight="1"/>
    <row r="39" spans="5:11">
      <c r="E39" s="4"/>
      <c r="F39" s="3" t="s">
        <v>32</v>
      </c>
      <c r="G39" s="5" t="s">
        <v>33</v>
      </c>
      <c r="H39" s="32" t="s">
        <v>33</v>
      </c>
      <c r="I39" s="18"/>
      <c r="J39" s="18"/>
      <c r="K39" s="5" t="s">
        <v>33</v>
      </c>
    </row>
    <row r="40" spans="5:11" ht="21">
      <c r="E40" s="4"/>
      <c r="F40" s="7" t="s">
        <v>35</v>
      </c>
      <c r="G40" s="7" t="s">
        <v>5</v>
      </c>
      <c r="H40" s="30" t="s">
        <v>9</v>
      </c>
      <c r="I40" s="24"/>
      <c r="J40" s="22"/>
      <c r="K40" s="7" t="s">
        <v>36</v>
      </c>
    </row>
    <row r="41" spans="5:11" ht="22.5">
      <c r="E41" s="6" t="s">
        <v>70</v>
      </c>
      <c r="F41" s="8" t="s">
        <v>39</v>
      </c>
      <c r="G41" s="9" t="s">
        <v>71</v>
      </c>
      <c r="H41" s="23" t="s">
        <v>72</v>
      </c>
      <c r="I41" s="24"/>
      <c r="J41" s="22"/>
      <c r="K41" s="8" t="s">
        <v>33</v>
      </c>
    </row>
    <row r="42" spans="5:11">
      <c r="E42" s="25"/>
      <c r="F42" s="8" t="s">
        <v>42</v>
      </c>
      <c r="G42" s="9" t="s">
        <v>43</v>
      </c>
      <c r="H42" s="23" t="s">
        <v>43</v>
      </c>
      <c r="I42" s="24"/>
      <c r="J42" s="22"/>
      <c r="K42" s="8" t="s">
        <v>33</v>
      </c>
    </row>
    <row r="43" spans="5:11">
      <c r="E43" s="27"/>
      <c r="F43" s="8" t="s">
        <v>44</v>
      </c>
      <c r="G43" s="9" t="s">
        <v>33</v>
      </c>
      <c r="H43" s="23" t="s">
        <v>33</v>
      </c>
      <c r="I43" s="24"/>
      <c r="J43" s="22"/>
      <c r="K43" s="8">
        <v>0</v>
      </c>
    </row>
    <row r="44" spans="5:11">
      <c r="E44" s="29"/>
      <c r="F44" s="8" t="s">
        <v>45</v>
      </c>
      <c r="G44" s="9">
        <v>4</v>
      </c>
      <c r="H44" s="23">
        <v>4</v>
      </c>
      <c r="I44" s="24"/>
      <c r="J44" s="22"/>
      <c r="K44" s="8">
        <v>8</v>
      </c>
    </row>
    <row r="45" spans="5:11">
      <c r="E45" s="6">
        <v>5.84</v>
      </c>
      <c r="F45" s="8" t="s">
        <v>47</v>
      </c>
      <c r="G45" s="9">
        <v>4.5</v>
      </c>
      <c r="H45" s="23">
        <v>6.5</v>
      </c>
      <c r="I45" s="24"/>
      <c r="J45" s="22"/>
      <c r="K45" s="8" t="s">
        <v>33</v>
      </c>
    </row>
    <row r="46" spans="5:11">
      <c r="E46" s="10">
        <v>5.89</v>
      </c>
      <c r="F46" s="8" t="s">
        <v>49</v>
      </c>
      <c r="G46" s="9">
        <v>18</v>
      </c>
      <c r="H46" s="23">
        <v>26</v>
      </c>
      <c r="I46" s="24"/>
      <c r="J46" s="22"/>
      <c r="K46" s="8">
        <v>44</v>
      </c>
    </row>
    <row r="47" spans="5:11">
      <c r="E47" s="4"/>
      <c r="F47" s="8" t="s">
        <v>36</v>
      </c>
      <c r="G47" s="9">
        <v>44</v>
      </c>
      <c r="H47" s="23">
        <v>63</v>
      </c>
      <c r="I47" s="24"/>
      <c r="J47" s="22"/>
      <c r="K47" s="8">
        <v>107</v>
      </c>
    </row>
    <row r="48" spans="5:11">
      <c r="E48" s="6"/>
      <c r="F48" s="8" t="s">
        <v>52</v>
      </c>
      <c r="G48" s="9">
        <v>100</v>
      </c>
      <c r="H48" s="23">
        <v>100</v>
      </c>
      <c r="I48" s="24"/>
      <c r="J48" s="22"/>
      <c r="K48" s="8">
        <v>200</v>
      </c>
    </row>
    <row r="49" spans="5:11">
      <c r="E49" s="4"/>
      <c r="F49" s="8" t="s">
        <v>54</v>
      </c>
      <c r="G49" s="9" t="s">
        <v>75</v>
      </c>
      <c r="H49" s="23" t="s">
        <v>76</v>
      </c>
      <c r="I49" s="24"/>
      <c r="J49" s="22"/>
      <c r="K49" s="8" t="s">
        <v>33</v>
      </c>
    </row>
    <row r="50" spans="5:11">
      <c r="E50" s="11" t="s">
        <v>77</v>
      </c>
      <c r="F50" s="8" t="s">
        <v>58</v>
      </c>
      <c r="G50" s="9" t="s">
        <v>59</v>
      </c>
      <c r="H50" s="23" t="s">
        <v>59</v>
      </c>
      <c r="I50" s="24"/>
      <c r="J50" s="22"/>
      <c r="K50" s="8" t="s">
        <v>33</v>
      </c>
    </row>
    <row r="51" spans="5:11">
      <c r="E51" s="12" t="s">
        <v>33</v>
      </c>
      <c r="F51" s="12" t="s">
        <v>33</v>
      </c>
      <c r="G51" s="13" t="s">
        <v>33</v>
      </c>
      <c r="H51" s="20" t="s">
        <v>33</v>
      </c>
      <c r="I51" s="18"/>
      <c r="J51" s="18"/>
      <c r="K51" s="13" t="s">
        <v>33</v>
      </c>
    </row>
    <row r="52" spans="5:11" ht="0" hidden="1" customHeight="1"/>
    <row r="53" spans="5:11" ht="0.6" customHeight="1"/>
    <row r="54" spans="5:11">
      <c r="E54" s="4"/>
      <c r="F54" s="3" t="s">
        <v>32</v>
      </c>
      <c r="G54" s="5" t="s">
        <v>33</v>
      </c>
      <c r="H54" s="5" t="s">
        <v>33</v>
      </c>
    </row>
    <row r="55" spans="5:11" ht="21">
      <c r="E55" s="4"/>
      <c r="F55" s="7" t="s">
        <v>35</v>
      </c>
      <c r="G55" s="7" t="s">
        <v>9</v>
      </c>
      <c r="H55" s="7" t="s">
        <v>36</v>
      </c>
    </row>
    <row r="56" spans="5:11" ht="22.5">
      <c r="E56" s="6" t="s">
        <v>79</v>
      </c>
      <c r="F56" s="8" t="s">
        <v>39</v>
      </c>
      <c r="G56" s="9" t="s">
        <v>80</v>
      </c>
      <c r="H56" s="8" t="s">
        <v>33</v>
      </c>
    </row>
    <row r="57" spans="5:11">
      <c r="E57" s="25"/>
      <c r="F57" s="8" t="s">
        <v>42</v>
      </c>
      <c r="G57" s="9" t="s">
        <v>43</v>
      </c>
      <c r="H57" s="8" t="s">
        <v>33</v>
      </c>
    </row>
    <row r="58" spans="5:11">
      <c r="E58" s="27"/>
      <c r="F58" s="8" t="s">
        <v>44</v>
      </c>
      <c r="G58" s="9" t="s">
        <v>33</v>
      </c>
      <c r="H58" s="8">
        <v>0</v>
      </c>
    </row>
    <row r="59" spans="5:11">
      <c r="E59" s="29"/>
      <c r="F59" s="8" t="s">
        <v>45</v>
      </c>
      <c r="G59" s="9">
        <v>4</v>
      </c>
      <c r="H59" s="8">
        <v>4</v>
      </c>
    </row>
    <row r="60" spans="5:11">
      <c r="E60" s="6">
        <v>6.42</v>
      </c>
      <c r="F60" s="8" t="s">
        <v>47</v>
      </c>
      <c r="G60" s="9">
        <v>6.5</v>
      </c>
      <c r="H60" s="8" t="s">
        <v>33</v>
      </c>
    </row>
    <row r="61" spans="5:11">
      <c r="E61" s="10">
        <v>6.26</v>
      </c>
      <c r="F61" s="8" t="s">
        <v>49</v>
      </c>
      <c r="G61" s="9">
        <v>26</v>
      </c>
      <c r="H61" s="8">
        <v>26</v>
      </c>
    </row>
    <row r="62" spans="5:11">
      <c r="E62" s="4"/>
      <c r="F62" s="8" t="s">
        <v>36</v>
      </c>
      <c r="G62" s="9">
        <v>62</v>
      </c>
      <c r="H62" s="8">
        <v>62</v>
      </c>
    </row>
    <row r="63" spans="5:11">
      <c r="E63" s="6"/>
      <c r="F63" s="8" t="s">
        <v>52</v>
      </c>
      <c r="G63" s="9">
        <v>100</v>
      </c>
      <c r="H63" s="8">
        <v>100</v>
      </c>
    </row>
    <row r="64" spans="5:11">
      <c r="E64" s="4"/>
      <c r="F64" s="8" t="s">
        <v>54</v>
      </c>
      <c r="G64" s="9" t="s">
        <v>76</v>
      </c>
      <c r="H64" s="8" t="s">
        <v>33</v>
      </c>
    </row>
    <row r="65" spans="5:31">
      <c r="E65" s="11" t="s">
        <v>82</v>
      </c>
      <c r="F65" s="8" t="s">
        <v>58</v>
      </c>
      <c r="G65" s="9" t="s">
        <v>59</v>
      </c>
      <c r="H65" s="8" t="s">
        <v>33</v>
      </c>
    </row>
    <row r="66" spans="5:31">
      <c r="E66" s="12" t="s">
        <v>33</v>
      </c>
      <c r="F66" s="12" t="s">
        <v>33</v>
      </c>
      <c r="G66" s="13" t="s">
        <v>33</v>
      </c>
      <c r="H66" s="13" t="s">
        <v>33</v>
      </c>
    </row>
    <row r="67" spans="5:31" ht="0.6" customHeight="1"/>
    <row r="68" spans="5:31">
      <c r="E68" s="4"/>
      <c r="F68" s="3" t="s">
        <v>32</v>
      </c>
      <c r="G68" s="5" t="s">
        <v>33</v>
      </c>
      <c r="H68" s="32" t="s">
        <v>33</v>
      </c>
      <c r="I68" s="18"/>
      <c r="J68" s="18"/>
      <c r="K68" s="32" t="s">
        <v>33</v>
      </c>
      <c r="L68" s="18"/>
      <c r="M68" s="5" t="s">
        <v>33</v>
      </c>
      <c r="N68" s="5" t="s">
        <v>33</v>
      </c>
      <c r="O68" s="5" t="s">
        <v>33</v>
      </c>
      <c r="P68" s="5" t="s">
        <v>33</v>
      </c>
      <c r="Q68" s="32" t="s">
        <v>33</v>
      </c>
      <c r="R68" s="18"/>
      <c r="S68" s="5" t="s">
        <v>33</v>
      </c>
    </row>
    <row r="69" spans="5:31" ht="21">
      <c r="E69" s="4"/>
      <c r="F69" s="7" t="s">
        <v>35</v>
      </c>
      <c r="G69" s="7" t="s">
        <v>5</v>
      </c>
      <c r="H69" s="30" t="s">
        <v>7</v>
      </c>
      <c r="I69" s="24"/>
      <c r="J69" s="22"/>
      <c r="K69" s="30" t="s">
        <v>9</v>
      </c>
      <c r="L69" s="22"/>
      <c r="M69" s="7" t="s">
        <v>11</v>
      </c>
      <c r="N69" s="7" t="s">
        <v>15</v>
      </c>
      <c r="O69" s="7" t="s">
        <v>17</v>
      </c>
      <c r="P69" s="7" t="s">
        <v>21</v>
      </c>
      <c r="Q69" s="30" t="s">
        <v>27</v>
      </c>
      <c r="R69" s="22"/>
      <c r="S69" s="7" t="s">
        <v>36</v>
      </c>
      <c r="W69" s="15" t="s">
        <v>5</v>
      </c>
      <c r="X69" s="16" t="s">
        <v>7</v>
      </c>
      <c r="Y69" s="16" t="s">
        <v>9</v>
      </c>
      <c r="Z69" s="15" t="s">
        <v>11</v>
      </c>
      <c r="AA69" s="15" t="s">
        <v>15</v>
      </c>
      <c r="AB69" s="15" t="s">
        <v>17</v>
      </c>
      <c r="AC69" s="15" t="s">
        <v>21</v>
      </c>
      <c r="AD69" s="16" t="s">
        <v>27</v>
      </c>
      <c r="AE69" s="15" t="s">
        <v>36</v>
      </c>
    </row>
    <row r="70" spans="5:31" ht="22.5">
      <c r="E70" s="6" t="s">
        <v>84</v>
      </c>
      <c r="F70" s="8" t="s">
        <v>39</v>
      </c>
      <c r="G70" s="9" t="s">
        <v>85</v>
      </c>
      <c r="H70" s="23" t="s">
        <v>86</v>
      </c>
      <c r="I70" s="24"/>
      <c r="J70" s="22"/>
      <c r="K70" s="23" t="s">
        <v>85</v>
      </c>
      <c r="L70" s="22"/>
      <c r="M70" s="9" t="s">
        <v>87</v>
      </c>
      <c r="N70" s="9" t="s">
        <v>85</v>
      </c>
      <c r="O70" s="9" t="s">
        <v>88</v>
      </c>
      <c r="P70" s="9" t="s">
        <v>89</v>
      </c>
      <c r="Q70" s="23" t="s">
        <v>43</v>
      </c>
      <c r="R70" s="22"/>
      <c r="S70" s="8" t="s">
        <v>33</v>
      </c>
      <c r="U70" t="s">
        <v>50</v>
      </c>
      <c r="V70">
        <v>674</v>
      </c>
      <c r="W70" t="str">
        <f>$G70</f>
        <v>59.00 + 40.00</v>
      </c>
      <c r="X70" t="str">
        <f>$H70</f>
        <v>54.00 + 40.00</v>
      </c>
      <c r="Y70" t="str">
        <f>$K70</f>
        <v>59.00 + 40.00</v>
      </c>
      <c r="Z70" t="str">
        <f>$M70</f>
        <v>45.00 + 38.00</v>
      </c>
      <c r="AA70" t="str">
        <f>$N70</f>
        <v>59.00 + 40.00</v>
      </c>
      <c r="AB70" t="str">
        <f>$O70</f>
        <v>60.00 + 40.00</v>
      </c>
      <c r="AC70" t="str">
        <f>$P70</f>
        <v>30.00 + 20.00</v>
      </c>
      <c r="AD70" t="str">
        <f>$Q71</f>
        <v xml:space="preserve"> - - +50.00</v>
      </c>
    </row>
    <row r="71" spans="5:31">
      <c r="E71" s="25"/>
      <c r="F71" s="8" t="s">
        <v>42</v>
      </c>
      <c r="G71" s="9" t="s">
        <v>43</v>
      </c>
      <c r="H71" s="23" t="s">
        <v>43</v>
      </c>
      <c r="I71" s="24"/>
      <c r="J71" s="22"/>
      <c r="K71" s="23" t="s">
        <v>43</v>
      </c>
      <c r="L71" s="22"/>
      <c r="M71" s="9" t="s">
        <v>43</v>
      </c>
      <c r="N71" s="9" t="s">
        <v>43</v>
      </c>
      <c r="O71" s="9" t="s">
        <v>43</v>
      </c>
      <c r="P71" s="9" t="s">
        <v>43</v>
      </c>
      <c r="Q71" s="23" t="s">
        <v>91</v>
      </c>
      <c r="R71" s="22"/>
      <c r="S71" s="8" t="s">
        <v>33</v>
      </c>
      <c r="U71" t="s">
        <v>51</v>
      </c>
      <c r="V71">
        <v>700</v>
      </c>
      <c r="W71" s="14" t="str">
        <f t="shared" ref="W71:W134" si="0">$G71</f>
        <v xml:space="preserve"> - - + - - </v>
      </c>
      <c r="X71" s="14" t="str">
        <f t="shared" ref="X71:X134" si="1">$H71</f>
        <v xml:space="preserve"> - - + - - </v>
      </c>
      <c r="Y71" s="14" t="str">
        <f t="shared" ref="Y71:Y134" si="2">$K71</f>
        <v xml:space="preserve"> - - + - - </v>
      </c>
      <c r="Z71" s="14" t="str">
        <f t="shared" ref="Z71:Z134" si="3">$M71</f>
        <v xml:space="preserve"> - - + - - </v>
      </c>
      <c r="AA71" s="14" t="str">
        <f t="shared" ref="AA71:AA134" si="4">$N71</f>
        <v xml:space="preserve"> - - + - - </v>
      </c>
      <c r="AB71" s="14" t="str">
        <f t="shared" ref="AB71:AB134" si="5">$O71</f>
        <v xml:space="preserve"> - - + - - </v>
      </c>
      <c r="AC71" s="14" t="str">
        <f t="shared" ref="AC71:AC134" si="6">$P71</f>
        <v xml:space="preserve"> - - + - - </v>
      </c>
      <c r="AD71" s="14" t="str">
        <f t="shared" ref="AD71:AD134" si="7">$Q72</f>
        <v/>
      </c>
    </row>
    <row r="72" spans="5:31">
      <c r="E72" s="27"/>
      <c r="F72" s="8" t="s">
        <v>44</v>
      </c>
      <c r="G72" s="9" t="s">
        <v>33</v>
      </c>
      <c r="H72" s="23" t="s">
        <v>33</v>
      </c>
      <c r="I72" s="24"/>
      <c r="J72" s="22"/>
      <c r="K72" s="23" t="s">
        <v>33</v>
      </c>
      <c r="L72" s="22"/>
      <c r="M72" s="9" t="s">
        <v>33</v>
      </c>
      <c r="N72" s="9" t="s">
        <v>33</v>
      </c>
      <c r="O72" s="9" t="s">
        <v>33</v>
      </c>
      <c r="P72" s="9" t="s">
        <v>33</v>
      </c>
      <c r="Q72" s="23" t="s">
        <v>33</v>
      </c>
      <c r="R72" s="22"/>
      <c r="S72" s="8">
        <v>0</v>
      </c>
      <c r="U72" t="s">
        <v>92</v>
      </c>
      <c r="V72" t="s">
        <v>33</v>
      </c>
      <c r="W72" s="14" t="str">
        <f t="shared" si="0"/>
        <v/>
      </c>
      <c r="X72" s="14" t="str">
        <f t="shared" si="1"/>
        <v/>
      </c>
      <c r="Y72" s="14" t="str">
        <f t="shared" si="2"/>
        <v/>
      </c>
      <c r="Z72" s="14" t="str">
        <f t="shared" si="3"/>
        <v/>
      </c>
      <c r="AA72" s="14" t="str">
        <f t="shared" si="4"/>
        <v/>
      </c>
      <c r="AB72" s="14" t="str">
        <f t="shared" si="5"/>
        <v/>
      </c>
      <c r="AC72" s="14" t="str">
        <f t="shared" si="6"/>
        <v/>
      </c>
      <c r="AD72" s="14">
        <f t="shared" si="7"/>
        <v>2</v>
      </c>
    </row>
    <row r="73" spans="5:31">
      <c r="E73" s="29"/>
      <c r="F73" s="8" t="s">
        <v>45</v>
      </c>
      <c r="G73" s="9">
        <v>4</v>
      </c>
      <c r="H73" s="23">
        <v>4</v>
      </c>
      <c r="I73" s="24"/>
      <c r="J73" s="22"/>
      <c r="K73" s="23">
        <v>4</v>
      </c>
      <c r="L73" s="22"/>
      <c r="M73" s="9">
        <v>3</v>
      </c>
      <c r="N73" s="9">
        <v>3</v>
      </c>
      <c r="O73" s="9">
        <v>3</v>
      </c>
      <c r="P73" s="9">
        <v>2</v>
      </c>
      <c r="Q73" s="23">
        <v>2</v>
      </c>
      <c r="R73" s="22"/>
      <c r="S73" s="8">
        <v>25</v>
      </c>
      <c r="U73" t="s">
        <v>56</v>
      </c>
      <c r="V73" t="s">
        <v>33</v>
      </c>
      <c r="W73" s="14">
        <f t="shared" si="0"/>
        <v>4</v>
      </c>
      <c r="X73" s="14">
        <f t="shared" si="1"/>
        <v>4</v>
      </c>
      <c r="Y73" s="14">
        <f t="shared" si="2"/>
        <v>4</v>
      </c>
      <c r="Z73" s="14">
        <f t="shared" si="3"/>
        <v>3</v>
      </c>
      <c r="AA73" s="14">
        <f t="shared" si="4"/>
        <v>3</v>
      </c>
      <c r="AB73" s="14">
        <f t="shared" si="5"/>
        <v>3</v>
      </c>
      <c r="AC73" s="14">
        <f t="shared" si="6"/>
        <v>2</v>
      </c>
      <c r="AD73" s="14">
        <f t="shared" si="7"/>
        <v>10</v>
      </c>
    </row>
    <row r="74" spans="5:31">
      <c r="E74" s="6">
        <v>9.74</v>
      </c>
      <c r="F74" s="8" t="s">
        <v>47</v>
      </c>
      <c r="G74" s="9">
        <v>10</v>
      </c>
      <c r="H74" s="23">
        <v>9.5</v>
      </c>
      <c r="I74" s="24"/>
      <c r="J74" s="22"/>
      <c r="K74" s="23">
        <v>10</v>
      </c>
      <c r="L74" s="22"/>
      <c r="M74" s="9">
        <v>8.5</v>
      </c>
      <c r="N74" s="9">
        <v>10</v>
      </c>
      <c r="O74" s="9">
        <v>10</v>
      </c>
      <c r="P74" s="9">
        <v>10</v>
      </c>
      <c r="Q74" s="23">
        <v>10</v>
      </c>
      <c r="R74" s="22"/>
      <c r="S74" s="8" t="s">
        <v>33</v>
      </c>
      <c r="U74" t="s">
        <v>33</v>
      </c>
      <c r="V74" t="s">
        <v>33</v>
      </c>
      <c r="W74" s="14">
        <f t="shared" si="0"/>
        <v>10</v>
      </c>
      <c r="X74" s="14">
        <f t="shared" si="1"/>
        <v>9.5</v>
      </c>
      <c r="Y74" s="14">
        <f t="shared" si="2"/>
        <v>10</v>
      </c>
      <c r="Z74" s="14">
        <f t="shared" si="3"/>
        <v>8.5</v>
      </c>
      <c r="AA74" s="14">
        <f t="shared" si="4"/>
        <v>10</v>
      </c>
      <c r="AB74" s="14">
        <f t="shared" si="5"/>
        <v>10</v>
      </c>
      <c r="AC74" s="14">
        <f t="shared" si="6"/>
        <v>10</v>
      </c>
      <c r="AD74" s="14">
        <f t="shared" si="7"/>
        <v>20</v>
      </c>
    </row>
    <row r="75" spans="5:31">
      <c r="E75" s="10">
        <v>9.4700000000000006</v>
      </c>
      <c r="F75" s="8" t="s">
        <v>49</v>
      </c>
      <c r="G75" s="9">
        <v>40</v>
      </c>
      <c r="H75" s="23">
        <v>38</v>
      </c>
      <c r="I75" s="24"/>
      <c r="J75" s="22"/>
      <c r="K75" s="23">
        <v>40</v>
      </c>
      <c r="L75" s="22"/>
      <c r="M75" s="9">
        <v>25.5</v>
      </c>
      <c r="N75" s="9">
        <v>30</v>
      </c>
      <c r="O75" s="9">
        <v>30</v>
      </c>
      <c r="P75" s="9">
        <v>20</v>
      </c>
      <c r="Q75" s="23">
        <v>20</v>
      </c>
      <c r="R75" s="22"/>
      <c r="S75" s="8">
        <v>243.5</v>
      </c>
      <c r="U75">
        <v>0</v>
      </c>
      <c r="V75">
        <v>0</v>
      </c>
      <c r="W75" s="14">
        <f t="shared" si="0"/>
        <v>40</v>
      </c>
      <c r="X75" s="14">
        <f t="shared" si="1"/>
        <v>38</v>
      </c>
      <c r="Y75" s="14">
        <f t="shared" si="2"/>
        <v>40</v>
      </c>
      <c r="Z75" s="14">
        <f t="shared" si="3"/>
        <v>25.5</v>
      </c>
      <c r="AA75" s="14">
        <f t="shared" si="4"/>
        <v>30</v>
      </c>
      <c r="AB75" s="14">
        <f t="shared" si="5"/>
        <v>30</v>
      </c>
      <c r="AC75" s="14">
        <f t="shared" si="6"/>
        <v>20</v>
      </c>
      <c r="AD75" s="14">
        <f t="shared" si="7"/>
        <v>50</v>
      </c>
    </row>
    <row r="76" spans="5:31">
      <c r="E76" s="4"/>
      <c r="F76" s="8" t="s">
        <v>36</v>
      </c>
      <c r="G76" s="9">
        <v>99</v>
      </c>
      <c r="H76" s="23">
        <v>94</v>
      </c>
      <c r="I76" s="24"/>
      <c r="J76" s="22"/>
      <c r="K76" s="23">
        <v>99</v>
      </c>
      <c r="L76" s="22"/>
      <c r="M76" s="9">
        <v>83</v>
      </c>
      <c r="N76" s="9">
        <v>99</v>
      </c>
      <c r="O76" s="9">
        <v>100</v>
      </c>
      <c r="P76" s="9">
        <v>50</v>
      </c>
      <c r="Q76" s="23">
        <v>50</v>
      </c>
      <c r="R76" s="22"/>
      <c r="S76" s="8">
        <v>674</v>
      </c>
      <c r="U76">
        <v>0</v>
      </c>
      <c r="V76">
        <v>0</v>
      </c>
      <c r="W76" s="14">
        <f t="shared" si="0"/>
        <v>99</v>
      </c>
      <c r="X76" s="14">
        <f t="shared" si="1"/>
        <v>94</v>
      </c>
      <c r="Y76" s="14">
        <f t="shared" si="2"/>
        <v>99</v>
      </c>
      <c r="Z76" s="14">
        <f t="shared" si="3"/>
        <v>83</v>
      </c>
      <c r="AA76" s="14">
        <f t="shared" si="4"/>
        <v>99</v>
      </c>
      <c r="AB76" s="14">
        <f t="shared" si="5"/>
        <v>100</v>
      </c>
      <c r="AC76" s="14">
        <f t="shared" si="6"/>
        <v>50</v>
      </c>
      <c r="AD76" s="14">
        <f t="shared" si="7"/>
        <v>50</v>
      </c>
    </row>
    <row r="77" spans="5:31">
      <c r="E77" s="6"/>
      <c r="F77" s="8" t="s">
        <v>52</v>
      </c>
      <c r="G77" s="9">
        <v>100</v>
      </c>
      <c r="H77" s="23">
        <v>100</v>
      </c>
      <c r="I77" s="24"/>
      <c r="J77" s="22"/>
      <c r="K77" s="23">
        <v>100</v>
      </c>
      <c r="L77" s="22"/>
      <c r="M77" s="9">
        <v>100</v>
      </c>
      <c r="N77" s="9">
        <v>100</v>
      </c>
      <c r="O77" s="9">
        <v>100</v>
      </c>
      <c r="P77" s="9">
        <v>50</v>
      </c>
      <c r="Q77" s="23">
        <v>50</v>
      </c>
      <c r="R77" s="22"/>
      <c r="S77" s="8">
        <v>700</v>
      </c>
      <c r="U77" t="s">
        <v>31</v>
      </c>
      <c r="V77" t="s">
        <v>33</v>
      </c>
      <c r="W77" s="14">
        <f t="shared" si="0"/>
        <v>100</v>
      </c>
      <c r="X77" s="14">
        <f t="shared" si="1"/>
        <v>100</v>
      </c>
      <c r="Y77" s="14">
        <f t="shared" si="2"/>
        <v>100</v>
      </c>
      <c r="Z77" s="14">
        <f t="shared" si="3"/>
        <v>100</v>
      </c>
      <c r="AA77" s="14">
        <f t="shared" si="4"/>
        <v>100</v>
      </c>
      <c r="AB77" s="14">
        <f t="shared" si="5"/>
        <v>100</v>
      </c>
      <c r="AC77" s="14">
        <f t="shared" si="6"/>
        <v>50</v>
      </c>
      <c r="AD77" s="14" t="str">
        <f t="shared" si="7"/>
        <v>OO+</v>
      </c>
    </row>
    <row r="78" spans="5:31">
      <c r="E78" s="4"/>
      <c r="F78" s="8" t="s">
        <v>54</v>
      </c>
      <c r="G78" s="9" t="s">
        <v>93</v>
      </c>
      <c r="H78" s="23" t="s">
        <v>94</v>
      </c>
      <c r="I78" s="24"/>
      <c r="J78" s="22"/>
      <c r="K78" s="23" t="s">
        <v>93</v>
      </c>
      <c r="L78" s="22"/>
      <c r="M78" s="9" t="s">
        <v>95</v>
      </c>
      <c r="N78" s="9" t="s">
        <v>93</v>
      </c>
      <c r="O78" s="9" t="s">
        <v>93</v>
      </c>
      <c r="P78" s="9" t="s">
        <v>93</v>
      </c>
      <c r="Q78" s="23" t="s">
        <v>93</v>
      </c>
      <c r="R78" s="22"/>
      <c r="S78" s="8" t="s">
        <v>33</v>
      </c>
      <c r="U78" t="s">
        <v>97</v>
      </c>
      <c r="V78" t="s">
        <v>36</v>
      </c>
      <c r="W78" s="14" t="str">
        <f t="shared" si="0"/>
        <v>OO+</v>
      </c>
      <c r="X78" s="14" t="str">
        <f t="shared" si="1"/>
        <v>OO</v>
      </c>
      <c r="Y78" s="14" t="str">
        <f t="shared" si="2"/>
        <v>OO+</v>
      </c>
      <c r="Z78" s="14" t="str">
        <f t="shared" si="3"/>
        <v>OA</v>
      </c>
      <c r="AA78" s="14" t="str">
        <f t="shared" si="4"/>
        <v>OO+</v>
      </c>
      <c r="AB78" s="14" t="str">
        <f t="shared" si="5"/>
        <v>OO+</v>
      </c>
      <c r="AC78" s="14" t="str">
        <f t="shared" si="6"/>
        <v>OO+</v>
      </c>
      <c r="AD78" s="14" t="str">
        <f t="shared" si="7"/>
        <v>Pass</v>
      </c>
    </row>
    <row r="79" spans="5:31">
      <c r="E79" s="11" t="s">
        <v>96</v>
      </c>
      <c r="F79" s="8" t="s">
        <v>58</v>
      </c>
      <c r="G79" s="9" t="s">
        <v>59</v>
      </c>
      <c r="H79" s="23" t="s">
        <v>59</v>
      </c>
      <c r="I79" s="24"/>
      <c r="J79" s="22"/>
      <c r="K79" s="23" t="s">
        <v>59</v>
      </c>
      <c r="L79" s="22"/>
      <c r="M79" s="9" t="s">
        <v>59</v>
      </c>
      <c r="N79" s="9" t="s">
        <v>59</v>
      </c>
      <c r="O79" s="9" t="s">
        <v>59</v>
      </c>
      <c r="P79" s="9" t="s">
        <v>59</v>
      </c>
      <c r="Q79" s="23" t="s">
        <v>59</v>
      </c>
      <c r="R79" s="22"/>
      <c r="S79" s="8" t="s">
        <v>33</v>
      </c>
      <c r="U79" t="s">
        <v>37</v>
      </c>
      <c r="V79" t="s">
        <v>33</v>
      </c>
      <c r="W79" s="14" t="str">
        <f t="shared" si="0"/>
        <v>Pass</v>
      </c>
      <c r="X79" s="14" t="str">
        <f t="shared" si="1"/>
        <v>Pass</v>
      </c>
      <c r="Y79" s="14" t="str">
        <f t="shared" si="2"/>
        <v>Pass</v>
      </c>
      <c r="Z79" s="14" t="str">
        <f t="shared" si="3"/>
        <v>Pass</v>
      </c>
      <c r="AA79" s="14" t="str">
        <f t="shared" si="4"/>
        <v>Pass</v>
      </c>
      <c r="AB79" s="14" t="str">
        <f t="shared" si="5"/>
        <v>Pass</v>
      </c>
      <c r="AC79" s="14" t="str">
        <f t="shared" si="6"/>
        <v>Pass</v>
      </c>
      <c r="AD79" s="14" t="str">
        <f t="shared" si="7"/>
        <v/>
      </c>
    </row>
    <row r="80" spans="5:31">
      <c r="E80" s="12" t="s">
        <v>33</v>
      </c>
      <c r="F80" s="12" t="s">
        <v>33</v>
      </c>
      <c r="G80" s="13" t="s">
        <v>33</v>
      </c>
      <c r="H80" s="20" t="s">
        <v>33</v>
      </c>
      <c r="I80" s="18"/>
      <c r="J80" s="18"/>
      <c r="K80" s="20" t="s">
        <v>33</v>
      </c>
      <c r="L80" s="18"/>
      <c r="M80" s="13" t="s">
        <v>33</v>
      </c>
      <c r="N80" s="13" t="s">
        <v>33</v>
      </c>
      <c r="O80" s="13" t="s">
        <v>33</v>
      </c>
      <c r="P80" s="13" t="s">
        <v>33</v>
      </c>
      <c r="Q80" s="20" t="s">
        <v>33</v>
      </c>
      <c r="R80" s="18"/>
      <c r="S80" s="13" t="s">
        <v>33</v>
      </c>
      <c r="U80" t="s">
        <v>106</v>
      </c>
      <c r="V80" t="s">
        <v>33</v>
      </c>
      <c r="W80" s="14" t="str">
        <f t="shared" si="0"/>
        <v/>
      </c>
      <c r="X80" s="14" t="str">
        <f t="shared" si="1"/>
        <v/>
      </c>
      <c r="Y80" s="14" t="str">
        <f t="shared" si="2"/>
        <v/>
      </c>
      <c r="Z80" s="14" t="str">
        <f t="shared" si="3"/>
        <v/>
      </c>
      <c r="AA80" s="14" t="str">
        <f t="shared" si="4"/>
        <v/>
      </c>
      <c r="AB80" s="14" t="str">
        <f t="shared" si="5"/>
        <v/>
      </c>
      <c r="AC80" s="14" t="str">
        <f t="shared" si="6"/>
        <v/>
      </c>
      <c r="AD80" s="14">
        <f t="shared" si="7"/>
        <v>0</v>
      </c>
    </row>
    <row r="81" spans="5:30" ht="0" hidden="1" customHeight="1">
      <c r="U81">
        <v>0</v>
      </c>
      <c r="V81">
        <v>0</v>
      </c>
      <c r="W81" s="14">
        <f t="shared" si="0"/>
        <v>0</v>
      </c>
      <c r="X81" s="14">
        <f t="shared" si="1"/>
        <v>0</v>
      </c>
      <c r="Y81" s="14">
        <f t="shared" si="2"/>
        <v>0</v>
      </c>
      <c r="Z81" s="14">
        <f t="shared" si="3"/>
        <v>0</v>
      </c>
      <c r="AA81" s="14">
        <f t="shared" si="4"/>
        <v>0</v>
      </c>
      <c r="AB81" s="14">
        <f t="shared" si="5"/>
        <v>0</v>
      </c>
      <c r="AC81" s="14">
        <f t="shared" si="6"/>
        <v>0</v>
      </c>
      <c r="AD81" s="14">
        <f t="shared" si="7"/>
        <v>0</v>
      </c>
    </row>
    <row r="82" spans="5:30" ht="0.6" customHeight="1">
      <c r="U82">
        <v>0</v>
      </c>
      <c r="V82">
        <v>22</v>
      </c>
      <c r="W82" s="14">
        <f t="shared" si="0"/>
        <v>0</v>
      </c>
      <c r="X82" s="14">
        <f t="shared" si="1"/>
        <v>0</v>
      </c>
      <c r="Y82" s="14">
        <f t="shared" si="2"/>
        <v>0</v>
      </c>
      <c r="Z82" s="14">
        <f t="shared" si="3"/>
        <v>0</v>
      </c>
      <c r="AA82" s="14">
        <f t="shared" si="4"/>
        <v>0</v>
      </c>
      <c r="AB82" s="14">
        <f t="shared" si="5"/>
        <v>0</v>
      </c>
      <c r="AC82" s="14">
        <f t="shared" si="6"/>
        <v>0</v>
      </c>
      <c r="AD82" s="14" t="str">
        <f t="shared" si="7"/>
        <v/>
      </c>
    </row>
    <row r="83" spans="5:30">
      <c r="E83" s="4"/>
      <c r="F83" s="3" t="s">
        <v>32</v>
      </c>
      <c r="G83" s="5" t="s">
        <v>33</v>
      </c>
      <c r="H83" s="32" t="s">
        <v>33</v>
      </c>
      <c r="I83" s="18"/>
      <c r="J83" s="18"/>
      <c r="K83" s="32" t="s">
        <v>33</v>
      </c>
      <c r="L83" s="18"/>
      <c r="M83" s="5" t="s">
        <v>33</v>
      </c>
      <c r="N83" s="5" t="s">
        <v>33</v>
      </c>
      <c r="O83" s="5" t="s">
        <v>33</v>
      </c>
      <c r="P83" s="5" t="s">
        <v>33</v>
      </c>
      <c r="Q83" s="32" t="s">
        <v>33</v>
      </c>
      <c r="R83" s="18"/>
      <c r="S83" s="5" t="s">
        <v>33</v>
      </c>
      <c r="U83" t="s">
        <v>46</v>
      </c>
      <c r="V83" t="s">
        <v>33</v>
      </c>
      <c r="W83" s="14" t="str">
        <f t="shared" si="0"/>
        <v/>
      </c>
      <c r="X83" s="14" t="str">
        <f t="shared" si="1"/>
        <v/>
      </c>
      <c r="Y83" s="14" t="str">
        <f t="shared" si="2"/>
        <v/>
      </c>
      <c r="Z83" s="14" t="str">
        <f t="shared" si="3"/>
        <v/>
      </c>
      <c r="AA83" s="14" t="str">
        <f t="shared" si="4"/>
        <v/>
      </c>
      <c r="AB83" s="14" t="str">
        <f t="shared" si="5"/>
        <v/>
      </c>
      <c r="AC83" s="14" t="str">
        <f t="shared" si="6"/>
        <v/>
      </c>
      <c r="AD83" s="14" t="str">
        <f t="shared" si="7"/>
        <v>COMFISN301</v>
      </c>
    </row>
    <row r="84" spans="5:30" ht="21">
      <c r="E84" s="4"/>
      <c r="F84" s="7" t="s">
        <v>35</v>
      </c>
      <c r="G84" s="7" t="s">
        <v>5</v>
      </c>
      <c r="H84" s="30" t="s">
        <v>7</v>
      </c>
      <c r="I84" s="24"/>
      <c r="J84" s="22"/>
      <c r="K84" s="30" t="s">
        <v>9</v>
      </c>
      <c r="L84" s="22"/>
      <c r="M84" s="7" t="s">
        <v>11</v>
      </c>
      <c r="N84" s="7" t="s">
        <v>13</v>
      </c>
      <c r="O84" s="7" t="s">
        <v>17</v>
      </c>
      <c r="P84" s="7" t="s">
        <v>19</v>
      </c>
      <c r="Q84" s="30" t="s">
        <v>21</v>
      </c>
      <c r="R84" s="22"/>
      <c r="S84" s="7" t="s">
        <v>36</v>
      </c>
      <c r="U84" t="s">
        <v>48</v>
      </c>
      <c r="V84">
        <v>153.5</v>
      </c>
      <c r="W84" s="14" t="str">
        <f t="shared" si="0"/>
        <v>BBABMCN301</v>
      </c>
      <c r="X84" s="14" t="str">
        <f t="shared" si="1"/>
        <v>BBABMCN302</v>
      </c>
      <c r="Y84" s="14" t="str">
        <f t="shared" si="2"/>
        <v>BBABMCN303</v>
      </c>
      <c r="Z84" s="14" t="str">
        <f t="shared" si="3"/>
        <v>BBAENLN301</v>
      </c>
      <c r="AA84" s="14" t="str">
        <f t="shared" si="4"/>
        <v>BBAHDLN301</v>
      </c>
      <c r="AB84" s="14" t="str">
        <f t="shared" si="5"/>
        <v>BCACAEN302</v>
      </c>
      <c r="AC84" s="14" t="str">
        <f t="shared" si="6"/>
        <v>COMCUSN302</v>
      </c>
      <c r="AD84" s="14" t="str">
        <f t="shared" si="7"/>
        <v>21.00 + 16.00</v>
      </c>
    </row>
    <row r="85" spans="5:30" ht="22.5">
      <c r="E85" s="6" t="s">
        <v>98</v>
      </c>
      <c r="F85" s="8" t="s">
        <v>39</v>
      </c>
      <c r="G85" s="9" t="s">
        <v>99</v>
      </c>
      <c r="H85" s="23" t="s">
        <v>100</v>
      </c>
      <c r="I85" s="24"/>
      <c r="J85" s="22"/>
      <c r="K85" s="23" t="s">
        <v>101</v>
      </c>
      <c r="L85" s="22"/>
      <c r="M85" s="9" t="s">
        <v>102</v>
      </c>
      <c r="N85" s="9" t="s">
        <v>103</v>
      </c>
      <c r="O85" s="9" t="s">
        <v>104</v>
      </c>
      <c r="P85" s="9" t="s">
        <v>43</v>
      </c>
      <c r="Q85" s="23" t="s">
        <v>105</v>
      </c>
      <c r="R85" s="22"/>
      <c r="S85" s="8" t="s">
        <v>33</v>
      </c>
      <c r="U85" t="s">
        <v>65</v>
      </c>
      <c r="V85">
        <v>431</v>
      </c>
      <c r="W85" s="14" t="str">
        <f t="shared" si="0"/>
        <v>24.00 + 23.00</v>
      </c>
      <c r="X85" s="14" t="str">
        <f t="shared" si="1"/>
        <v>43.00 + 27.00</v>
      </c>
      <c r="Y85" s="14" t="str">
        <f t="shared" si="2"/>
        <v>36.00 + 32.00</v>
      </c>
      <c r="Z85" s="14" t="str">
        <f t="shared" si="3"/>
        <v>39.00 + 27.00</v>
      </c>
      <c r="AA85" s="14" t="str">
        <f t="shared" si="4"/>
        <v>26.00 + 35.00</v>
      </c>
      <c r="AB85" s="14" t="str">
        <f t="shared" si="5"/>
        <v>13.00 + 21.00</v>
      </c>
      <c r="AC85" s="14" t="str">
        <f t="shared" si="6"/>
        <v xml:space="preserve"> - - + - - </v>
      </c>
      <c r="AD85" s="14" t="str">
        <f t="shared" si="7"/>
        <v xml:space="preserve"> - - + - - </v>
      </c>
    </row>
    <row r="86" spans="5:30">
      <c r="E86" s="25"/>
      <c r="F86" s="8" t="s">
        <v>42</v>
      </c>
      <c r="G86" s="9" t="s">
        <v>43</v>
      </c>
      <c r="H86" s="23" t="s">
        <v>43</v>
      </c>
      <c r="I86" s="24"/>
      <c r="J86" s="22"/>
      <c r="K86" s="23" t="s">
        <v>43</v>
      </c>
      <c r="L86" s="22"/>
      <c r="M86" s="9" t="s">
        <v>43</v>
      </c>
      <c r="N86" s="9" t="s">
        <v>43</v>
      </c>
      <c r="O86" s="9" t="s">
        <v>43</v>
      </c>
      <c r="P86" s="9" t="s">
        <v>107</v>
      </c>
      <c r="Q86" s="23" t="s">
        <v>43</v>
      </c>
      <c r="R86" s="22"/>
      <c r="S86" s="8" t="s">
        <v>33</v>
      </c>
      <c r="U86" t="s">
        <v>51</v>
      </c>
      <c r="V86">
        <v>700</v>
      </c>
      <c r="W86" s="14" t="str">
        <f t="shared" si="0"/>
        <v xml:space="preserve"> - - + - - </v>
      </c>
      <c r="X86" s="14" t="str">
        <f t="shared" si="1"/>
        <v xml:space="preserve"> - - + - - </v>
      </c>
      <c r="Y86" s="14" t="str">
        <f t="shared" si="2"/>
        <v xml:space="preserve"> - - + - - </v>
      </c>
      <c r="Z86" s="14" t="str">
        <f t="shared" si="3"/>
        <v xml:space="preserve"> - - + - - </v>
      </c>
      <c r="AA86" s="14" t="str">
        <f t="shared" si="4"/>
        <v xml:space="preserve"> - - + - - </v>
      </c>
      <c r="AB86" s="14" t="str">
        <f t="shared" si="5"/>
        <v xml:space="preserve"> - - + - - </v>
      </c>
      <c r="AC86" s="14" t="str">
        <f t="shared" si="6"/>
        <v xml:space="preserve"> - - +48.00</v>
      </c>
      <c r="AD86" s="14" t="str">
        <f t="shared" si="7"/>
        <v/>
      </c>
    </row>
    <row r="87" spans="5:30">
      <c r="E87" s="27"/>
      <c r="F87" s="8" t="s">
        <v>44</v>
      </c>
      <c r="G87" s="9" t="s">
        <v>33</v>
      </c>
      <c r="H87" s="23" t="s">
        <v>33</v>
      </c>
      <c r="I87" s="24"/>
      <c r="J87" s="22"/>
      <c r="K87" s="23" t="s">
        <v>33</v>
      </c>
      <c r="L87" s="22"/>
      <c r="M87" s="9" t="s">
        <v>33</v>
      </c>
      <c r="N87" s="9" t="s">
        <v>33</v>
      </c>
      <c r="O87" s="9" t="s">
        <v>33</v>
      </c>
      <c r="P87" s="9" t="s">
        <v>33</v>
      </c>
      <c r="Q87" s="23" t="s">
        <v>33</v>
      </c>
      <c r="R87" s="22"/>
      <c r="S87" s="8">
        <v>0</v>
      </c>
      <c r="U87" t="s">
        <v>66</v>
      </c>
      <c r="V87" t="s">
        <v>33</v>
      </c>
      <c r="W87" s="14" t="str">
        <f t="shared" si="0"/>
        <v/>
      </c>
      <c r="X87" s="14" t="str">
        <f t="shared" si="1"/>
        <v/>
      </c>
      <c r="Y87" s="14" t="str">
        <f t="shared" si="2"/>
        <v/>
      </c>
      <c r="Z87" s="14" t="str">
        <f t="shared" si="3"/>
        <v/>
      </c>
      <c r="AA87" s="14" t="str">
        <f t="shared" si="4"/>
        <v/>
      </c>
      <c r="AB87" s="14" t="str">
        <f t="shared" si="5"/>
        <v/>
      </c>
      <c r="AC87" s="14" t="str">
        <f t="shared" si="6"/>
        <v/>
      </c>
      <c r="AD87" s="14">
        <f t="shared" si="7"/>
        <v>2</v>
      </c>
    </row>
    <row r="88" spans="5:30">
      <c r="E88" s="29"/>
      <c r="F88" s="8" t="s">
        <v>45</v>
      </c>
      <c r="G88" s="9">
        <v>4</v>
      </c>
      <c r="H88" s="23">
        <v>4</v>
      </c>
      <c r="I88" s="24"/>
      <c r="J88" s="22"/>
      <c r="K88" s="23">
        <v>4</v>
      </c>
      <c r="L88" s="22"/>
      <c r="M88" s="9">
        <v>3</v>
      </c>
      <c r="N88" s="9">
        <v>3</v>
      </c>
      <c r="O88" s="9">
        <v>3</v>
      </c>
      <c r="P88" s="9">
        <v>2</v>
      </c>
      <c r="Q88" s="23">
        <v>2</v>
      </c>
      <c r="R88" s="22"/>
      <c r="S88" s="8">
        <v>22</v>
      </c>
      <c r="U88" t="s">
        <v>56</v>
      </c>
      <c r="V88" t="s">
        <v>33</v>
      </c>
      <c r="W88" s="14">
        <f t="shared" si="0"/>
        <v>4</v>
      </c>
      <c r="X88" s="14">
        <f t="shared" si="1"/>
        <v>4</v>
      </c>
      <c r="Y88" s="14">
        <f t="shared" si="2"/>
        <v>4</v>
      </c>
      <c r="Z88" s="14">
        <f t="shared" si="3"/>
        <v>3</v>
      </c>
      <c r="AA88" s="14">
        <f t="shared" si="4"/>
        <v>3</v>
      </c>
      <c r="AB88" s="14">
        <f t="shared" si="5"/>
        <v>3</v>
      </c>
      <c r="AC88" s="14">
        <f t="shared" si="6"/>
        <v>2</v>
      </c>
      <c r="AD88" s="14">
        <f t="shared" si="7"/>
        <v>7.5</v>
      </c>
    </row>
    <row r="89" spans="5:30">
      <c r="E89" s="6"/>
      <c r="F89" s="8" t="s">
        <v>47</v>
      </c>
      <c r="G89" s="9">
        <v>5</v>
      </c>
      <c r="H89" s="23">
        <v>7.5</v>
      </c>
      <c r="I89" s="24"/>
      <c r="J89" s="22"/>
      <c r="K89" s="23">
        <v>7</v>
      </c>
      <c r="L89" s="22"/>
      <c r="M89" s="9">
        <v>7</v>
      </c>
      <c r="N89" s="9">
        <v>6.5</v>
      </c>
      <c r="O89" s="9"/>
      <c r="P89" s="9">
        <v>10</v>
      </c>
      <c r="Q89" s="23">
        <v>7.5</v>
      </c>
      <c r="R89" s="22"/>
      <c r="S89" s="8" t="s">
        <v>33</v>
      </c>
      <c r="U89" t="s">
        <v>33</v>
      </c>
      <c r="V89" t="s">
        <v>33</v>
      </c>
      <c r="W89" s="14">
        <f t="shared" si="0"/>
        <v>5</v>
      </c>
      <c r="X89" s="14">
        <f t="shared" si="1"/>
        <v>7.5</v>
      </c>
      <c r="Y89" s="14">
        <f t="shared" si="2"/>
        <v>7</v>
      </c>
      <c r="Z89" s="14">
        <f t="shared" si="3"/>
        <v>7</v>
      </c>
      <c r="AA89" s="14">
        <f t="shared" si="4"/>
        <v>6.5</v>
      </c>
      <c r="AB89" s="14">
        <f t="shared" si="5"/>
        <v>0</v>
      </c>
      <c r="AC89" s="14">
        <f t="shared" si="6"/>
        <v>10</v>
      </c>
      <c r="AD89" s="14">
        <f t="shared" si="7"/>
        <v>15</v>
      </c>
    </row>
    <row r="90" spans="5:30">
      <c r="E90" s="6"/>
      <c r="F90" s="8" t="s">
        <v>49</v>
      </c>
      <c r="G90" s="9">
        <v>20</v>
      </c>
      <c r="H90" s="23">
        <v>30</v>
      </c>
      <c r="I90" s="24"/>
      <c r="J90" s="22"/>
      <c r="K90" s="23">
        <v>28</v>
      </c>
      <c r="L90" s="22"/>
      <c r="M90" s="9">
        <v>21</v>
      </c>
      <c r="N90" s="9">
        <v>19.5</v>
      </c>
      <c r="O90" s="9"/>
      <c r="P90" s="9">
        <v>20</v>
      </c>
      <c r="Q90" s="23">
        <v>15</v>
      </c>
      <c r="R90" s="22"/>
      <c r="S90" s="8">
        <v>153.5</v>
      </c>
      <c r="U90">
        <v>0</v>
      </c>
      <c r="V90">
        <v>0</v>
      </c>
      <c r="W90" s="14">
        <f t="shared" si="0"/>
        <v>20</v>
      </c>
      <c r="X90" s="14">
        <f t="shared" si="1"/>
        <v>30</v>
      </c>
      <c r="Y90" s="14">
        <f t="shared" si="2"/>
        <v>28</v>
      </c>
      <c r="Z90" s="14">
        <f t="shared" si="3"/>
        <v>21</v>
      </c>
      <c r="AA90" s="14">
        <f t="shared" si="4"/>
        <v>19.5</v>
      </c>
      <c r="AB90" s="14">
        <f t="shared" si="5"/>
        <v>0</v>
      </c>
      <c r="AC90" s="14">
        <f t="shared" si="6"/>
        <v>20</v>
      </c>
      <c r="AD90" s="14">
        <f t="shared" si="7"/>
        <v>37</v>
      </c>
    </row>
    <row r="91" spans="5:30">
      <c r="E91" s="4"/>
      <c r="F91" s="8" t="s">
        <v>36</v>
      </c>
      <c r="G91" s="9">
        <v>47</v>
      </c>
      <c r="H91" s="23">
        <v>70</v>
      </c>
      <c r="I91" s="24"/>
      <c r="J91" s="22"/>
      <c r="K91" s="23">
        <v>68</v>
      </c>
      <c r="L91" s="22"/>
      <c r="M91" s="9">
        <v>66</v>
      </c>
      <c r="N91" s="9">
        <v>61</v>
      </c>
      <c r="O91" s="9">
        <v>34</v>
      </c>
      <c r="P91" s="9">
        <v>48</v>
      </c>
      <c r="Q91" s="23">
        <v>37</v>
      </c>
      <c r="R91" s="22"/>
      <c r="S91" s="8">
        <v>431</v>
      </c>
      <c r="U91">
        <v>0</v>
      </c>
      <c r="V91">
        <v>0</v>
      </c>
      <c r="W91" s="14">
        <f t="shared" si="0"/>
        <v>47</v>
      </c>
      <c r="X91" s="14">
        <f t="shared" si="1"/>
        <v>70</v>
      </c>
      <c r="Y91" s="14">
        <f t="shared" si="2"/>
        <v>68</v>
      </c>
      <c r="Z91" s="14">
        <f t="shared" si="3"/>
        <v>66</v>
      </c>
      <c r="AA91" s="14">
        <f t="shared" si="4"/>
        <v>61</v>
      </c>
      <c r="AB91" s="14">
        <f t="shared" si="5"/>
        <v>34</v>
      </c>
      <c r="AC91" s="14">
        <f t="shared" si="6"/>
        <v>48</v>
      </c>
      <c r="AD91" s="14">
        <f t="shared" si="7"/>
        <v>50</v>
      </c>
    </row>
    <row r="92" spans="5:30">
      <c r="E92" s="6"/>
      <c r="F92" s="8" t="s">
        <v>52</v>
      </c>
      <c r="G92" s="9">
        <v>100</v>
      </c>
      <c r="H92" s="23">
        <v>100</v>
      </c>
      <c r="I92" s="24"/>
      <c r="J92" s="22"/>
      <c r="K92" s="23">
        <v>100</v>
      </c>
      <c r="L92" s="22"/>
      <c r="M92" s="9">
        <v>100</v>
      </c>
      <c r="N92" s="9">
        <v>100</v>
      </c>
      <c r="O92" s="9">
        <v>100</v>
      </c>
      <c r="P92" s="9">
        <v>50</v>
      </c>
      <c r="Q92" s="23">
        <v>50</v>
      </c>
      <c r="R92" s="22"/>
      <c r="S92" s="8">
        <v>700</v>
      </c>
      <c r="U92" t="s">
        <v>31</v>
      </c>
      <c r="V92" t="s">
        <v>33</v>
      </c>
      <c r="W92" s="14">
        <f t="shared" si="0"/>
        <v>100</v>
      </c>
      <c r="X92" s="14">
        <f t="shared" si="1"/>
        <v>100</v>
      </c>
      <c r="Y92" s="14">
        <f t="shared" si="2"/>
        <v>100</v>
      </c>
      <c r="Z92" s="14">
        <f t="shared" si="3"/>
        <v>100</v>
      </c>
      <c r="AA92" s="14">
        <f t="shared" si="4"/>
        <v>100</v>
      </c>
      <c r="AB92" s="14">
        <f t="shared" si="5"/>
        <v>100</v>
      </c>
      <c r="AC92" s="14">
        <f t="shared" si="6"/>
        <v>50</v>
      </c>
      <c r="AD92" s="14" t="str">
        <f t="shared" si="7"/>
        <v>AA</v>
      </c>
    </row>
    <row r="93" spans="5:30">
      <c r="E93" s="4"/>
      <c r="F93" s="8" t="s">
        <v>54</v>
      </c>
      <c r="G93" s="9" t="s">
        <v>55</v>
      </c>
      <c r="H93" s="23" t="s">
        <v>108</v>
      </c>
      <c r="I93" s="24"/>
      <c r="J93" s="22"/>
      <c r="K93" s="23" t="s">
        <v>109</v>
      </c>
      <c r="L93" s="22"/>
      <c r="M93" s="9" t="s">
        <v>109</v>
      </c>
      <c r="N93" s="9" t="s">
        <v>76</v>
      </c>
      <c r="O93" s="9"/>
      <c r="P93" s="9" t="s">
        <v>93</v>
      </c>
      <c r="Q93" s="23" t="s">
        <v>108</v>
      </c>
      <c r="R93" s="22"/>
      <c r="S93" s="8" t="s">
        <v>33</v>
      </c>
      <c r="U93" t="s">
        <v>111</v>
      </c>
      <c r="V93" t="s">
        <v>36</v>
      </c>
      <c r="W93" s="14" t="str">
        <f t="shared" si="0"/>
        <v>BC</v>
      </c>
      <c r="X93" s="14" t="str">
        <f t="shared" si="1"/>
        <v>AA</v>
      </c>
      <c r="Y93" s="14" t="str">
        <f t="shared" si="2"/>
        <v>AB+</v>
      </c>
      <c r="Z93" s="14" t="str">
        <f t="shared" si="3"/>
        <v>AB+</v>
      </c>
      <c r="AA93" s="14" t="str">
        <f t="shared" si="4"/>
        <v>AB</v>
      </c>
      <c r="AB93" s="14">
        <f t="shared" si="5"/>
        <v>0</v>
      </c>
      <c r="AC93" s="14" t="str">
        <f t="shared" si="6"/>
        <v>OO+</v>
      </c>
      <c r="AD93" s="14" t="str">
        <f t="shared" si="7"/>
        <v>Pass</v>
      </c>
    </row>
    <row r="94" spans="5:30">
      <c r="E94" s="11" t="s">
        <v>110</v>
      </c>
      <c r="F94" s="8" t="s">
        <v>58</v>
      </c>
      <c r="G94" s="9" t="s">
        <v>59</v>
      </c>
      <c r="H94" s="23" t="s">
        <v>59</v>
      </c>
      <c r="I94" s="24"/>
      <c r="J94" s="22"/>
      <c r="K94" s="23" t="s">
        <v>59</v>
      </c>
      <c r="L94" s="22"/>
      <c r="M94" s="9" t="s">
        <v>59</v>
      </c>
      <c r="N94" s="9" t="s">
        <v>59</v>
      </c>
      <c r="O94" s="9" t="s">
        <v>68</v>
      </c>
      <c r="P94" s="9" t="s">
        <v>59</v>
      </c>
      <c r="Q94" s="23" t="s">
        <v>59</v>
      </c>
      <c r="R94" s="22"/>
      <c r="S94" s="8" t="s">
        <v>33</v>
      </c>
      <c r="U94" t="s">
        <v>37</v>
      </c>
      <c r="V94" t="s">
        <v>33</v>
      </c>
      <c r="W94" s="14" t="str">
        <f t="shared" si="0"/>
        <v>Pass</v>
      </c>
      <c r="X94" s="14" t="str">
        <f t="shared" si="1"/>
        <v>Pass</v>
      </c>
      <c r="Y94" s="14" t="str">
        <f t="shared" si="2"/>
        <v>Pass</v>
      </c>
      <c r="Z94" s="14" t="str">
        <f t="shared" si="3"/>
        <v>Pass</v>
      </c>
      <c r="AA94" s="14" t="str">
        <f t="shared" si="4"/>
        <v>Pass</v>
      </c>
      <c r="AB94" s="14" t="str">
        <f t="shared" si="5"/>
        <v>Fail</v>
      </c>
      <c r="AC94" s="14" t="str">
        <f t="shared" si="6"/>
        <v>Pass</v>
      </c>
      <c r="AD94" s="14" t="str">
        <f t="shared" si="7"/>
        <v/>
      </c>
    </row>
    <row r="95" spans="5:30">
      <c r="E95" s="12" t="s">
        <v>33</v>
      </c>
      <c r="F95" s="12" t="s">
        <v>33</v>
      </c>
      <c r="G95" s="13" t="s">
        <v>33</v>
      </c>
      <c r="H95" s="20" t="s">
        <v>33</v>
      </c>
      <c r="I95" s="18"/>
      <c r="J95" s="18"/>
      <c r="K95" s="20" t="s">
        <v>33</v>
      </c>
      <c r="L95" s="18"/>
      <c r="M95" s="13" t="s">
        <v>33</v>
      </c>
      <c r="N95" s="13" t="s">
        <v>33</v>
      </c>
      <c r="O95" s="13" t="s">
        <v>33</v>
      </c>
      <c r="P95" s="13" t="s">
        <v>33</v>
      </c>
      <c r="Q95" s="20" t="s">
        <v>33</v>
      </c>
      <c r="R95" s="18"/>
      <c r="S95" s="13" t="s">
        <v>33</v>
      </c>
      <c r="U95" t="s">
        <v>119</v>
      </c>
      <c r="V95" t="s">
        <v>33</v>
      </c>
      <c r="W95" s="14" t="str">
        <f t="shared" si="0"/>
        <v/>
      </c>
      <c r="X95" s="14" t="str">
        <f t="shared" si="1"/>
        <v/>
      </c>
      <c r="Y95" s="14" t="str">
        <f t="shared" si="2"/>
        <v/>
      </c>
      <c r="Z95" s="14" t="str">
        <f t="shared" si="3"/>
        <v/>
      </c>
      <c r="AA95" s="14" t="str">
        <f t="shared" si="4"/>
        <v/>
      </c>
      <c r="AB95" s="14" t="str">
        <f t="shared" si="5"/>
        <v/>
      </c>
      <c r="AC95" s="14" t="str">
        <f t="shared" si="6"/>
        <v/>
      </c>
      <c r="AD95" s="14">
        <f t="shared" si="7"/>
        <v>0</v>
      </c>
    </row>
    <row r="96" spans="5:30" ht="0" hidden="1" customHeight="1">
      <c r="U96">
        <v>0</v>
      </c>
      <c r="V96">
        <v>0</v>
      </c>
      <c r="W96" s="14">
        <f t="shared" si="0"/>
        <v>0</v>
      </c>
      <c r="X96" s="14">
        <f t="shared" si="1"/>
        <v>0</v>
      </c>
      <c r="Y96" s="14">
        <f t="shared" si="2"/>
        <v>0</v>
      </c>
      <c r="Z96" s="14">
        <f t="shared" si="3"/>
        <v>0</v>
      </c>
      <c r="AA96" s="14">
        <f t="shared" si="4"/>
        <v>0</v>
      </c>
      <c r="AB96" s="14">
        <f t="shared" si="5"/>
        <v>0</v>
      </c>
      <c r="AC96" s="14">
        <f t="shared" si="6"/>
        <v>0</v>
      </c>
      <c r="AD96" s="14">
        <f t="shared" si="7"/>
        <v>0</v>
      </c>
    </row>
    <row r="97" spans="5:30" ht="0.6" customHeight="1">
      <c r="U97">
        <v>0</v>
      </c>
      <c r="V97">
        <v>25</v>
      </c>
      <c r="W97" s="14">
        <f t="shared" si="0"/>
        <v>0</v>
      </c>
      <c r="X97" s="14">
        <f t="shared" si="1"/>
        <v>0</v>
      </c>
      <c r="Y97" s="14">
        <f t="shared" si="2"/>
        <v>0</v>
      </c>
      <c r="Z97" s="14">
        <f t="shared" si="3"/>
        <v>0</v>
      </c>
      <c r="AA97" s="14">
        <f t="shared" si="4"/>
        <v>0</v>
      </c>
      <c r="AB97" s="14">
        <f t="shared" si="5"/>
        <v>0</v>
      </c>
      <c r="AC97" s="14">
        <f t="shared" si="6"/>
        <v>0</v>
      </c>
      <c r="AD97" s="14" t="str">
        <f t="shared" si="7"/>
        <v/>
      </c>
    </row>
    <row r="98" spans="5:30">
      <c r="E98" s="4"/>
      <c r="F98" s="3" t="s">
        <v>32</v>
      </c>
      <c r="G98" s="5" t="s">
        <v>33</v>
      </c>
      <c r="H98" s="32" t="s">
        <v>33</v>
      </c>
      <c r="I98" s="18"/>
      <c r="J98" s="18"/>
      <c r="K98" s="32" t="s">
        <v>33</v>
      </c>
      <c r="L98" s="18"/>
      <c r="M98" s="5" t="s">
        <v>33</v>
      </c>
      <c r="N98" s="5" t="s">
        <v>33</v>
      </c>
      <c r="O98" s="5" t="s">
        <v>33</v>
      </c>
      <c r="P98" s="5" t="s">
        <v>33</v>
      </c>
      <c r="Q98" s="32" t="s">
        <v>33</v>
      </c>
      <c r="R98" s="18"/>
      <c r="S98" s="5" t="s">
        <v>33</v>
      </c>
      <c r="U98" t="s">
        <v>46</v>
      </c>
      <c r="V98" t="s">
        <v>33</v>
      </c>
      <c r="W98" s="14" t="str">
        <f t="shared" si="0"/>
        <v/>
      </c>
      <c r="X98" s="14" t="str">
        <f t="shared" si="1"/>
        <v/>
      </c>
      <c r="Y98" s="14" t="str">
        <f t="shared" si="2"/>
        <v/>
      </c>
      <c r="Z98" s="14" t="str">
        <f t="shared" si="3"/>
        <v/>
      </c>
      <c r="AA98" s="14" t="str">
        <f t="shared" si="4"/>
        <v/>
      </c>
      <c r="AB98" s="14" t="str">
        <f t="shared" si="5"/>
        <v/>
      </c>
      <c r="AC98" s="14" t="str">
        <f t="shared" si="6"/>
        <v/>
      </c>
      <c r="AD98" s="14" t="str">
        <f t="shared" si="7"/>
        <v>COMFISN301</v>
      </c>
    </row>
    <row r="99" spans="5:30" ht="21">
      <c r="E99" s="4"/>
      <c r="F99" s="7" t="s">
        <v>35</v>
      </c>
      <c r="G99" s="7" t="s">
        <v>5</v>
      </c>
      <c r="H99" s="30" t="s">
        <v>7</v>
      </c>
      <c r="I99" s="24"/>
      <c r="J99" s="22"/>
      <c r="K99" s="30" t="s">
        <v>9</v>
      </c>
      <c r="L99" s="22"/>
      <c r="M99" s="7" t="s">
        <v>11</v>
      </c>
      <c r="N99" s="7" t="s">
        <v>15</v>
      </c>
      <c r="O99" s="7" t="s">
        <v>17</v>
      </c>
      <c r="P99" s="7" t="s">
        <v>19</v>
      </c>
      <c r="Q99" s="30" t="s">
        <v>21</v>
      </c>
      <c r="R99" s="22"/>
      <c r="S99" s="7" t="s">
        <v>36</v>
      </c>
      <c r="U99" t="s">
        <v>48</v>
      </c>
      <c r="V99">
        <v>190</v>
      </c>
      <c r="W99" s="14" t="str">
        <f t="shared" si="0"/>
        <v>BBABMCN301</v>
      </c>
      <c r="X99" s="14" t="str">
        <f t="shared" si="1"/>
        <v>BBABMCN302</v>
      </c>
      <c r="Y99" s="14" t="str">
        <f t="shared" si="2"/>
        <v>BBABMCN303</v>
      </c>
      <c r="Z99" s="14" t="str">
        <f t="shared" si="3"/>
        <v>BBAENLN301</v>
      </c>
      <c r="AA99" s="14" t="str">
        <f t="shared" si="4"/>
        <v>BBAKALN302</v>
      </c>
      <c r="AB99" s="14" t="str">
        <f t="shared" si="5"/>
        <v>BCACAEN302</v>
      </c>
      <c r="AC99" s="14" t="str">
        <f t="shared" si="6"/>
        <v>COMCUSN302</v>
      </c>
      <c r="AD99" s="14" t="str">
        <f t="shared" si="7"/>
        <v>21.00 + 16.00</v>
      </c>
    </row>
    <row r="100" spans="5:30" ht="22.5">
      <c r="E100" s="6" t="s">
        <v>112</v>
      </c>
      <c r="F100" s="8" t="s">
        <v>39</v>
      </c>
      <c r="G100" s="9" t="s">
        <v>113</v>
      </c>
      <c r="H100" s="23" t="s">
        <v>114</v>
      </c>
      <c r="I100" s="24"/>
      <c r="J100" s="22"/>
      <c r="K100" s="23" t="s">
        <v>115</v>
      </c>
      <c r="L100" s="22"/>
      <c r="M100" s="9" t="s">
        <v>116</v>
      </c>
      <c r="N100" s="9" t="s">
        <v>117</v>
      </c>
      <c r="O100" s="9" t="s">
        <v>118</v>
      </c>
      <c r="P100" s="9" t="s">
        <v>43</v>
      </c>
      <c r="Q100" s="23" t="s">
        <v>105</v>
      </c>
      <c r="R100" s="22"/>
      <c r="S100" s="8" t="s">
        <v>33</v>
      </c>
      <c r="U100" t="s">
        <v>50</v>
      </c>
      <c r="V100">
        <v>516</v>
      </c>
      <c r="W100" s="14" t="str">
        <f t="shared" si="0"/>
        <v>36.00 + 28.00</v>
      </c>
      <c r="X100" s="14" t="str">
        <f t="shared" si="1"/>
        <v>43.00 + 30.00</v>
      </c>
      <c r="Y100" s="14" t="str">
        <f t="shared" si="2"/>
        <v>51.00 + 38.00</v>
      </c>
      <c r="Z100" s="14" t="str">
        <f t="shared" si="3"/>
        <v>38.00 + 30.00</v>
      </c>
      <c r="AA100" s="14" t="str">
        <f t="shared" si="4"/>
        <v>50.00 + 32.00</v>
      </c>
      <c r="AB100" s="14" t="str">
        <f t="shared" si="5"/>
        <v>25.00 + 29.00</v>
      </c>
      <c r="AC100" s="14" t="str">
        <f t="shared" si="6"/>
        <v xml:space="preserve"> - - + - - </v>
      </c>
      <c r="AD100" s="14" t="str">
        <f t="shared" si="7"/>
        <v xml:space="preserve"> - - + - - </v>
      </c>
    </row>
    <row r="101" spans="5:30">
      <c r="E101" s="25"/>
      <c r="F101" s="8" t="s">
        <v>42</v>
      </c>
      <c r="G101" s="9" t="s">
        <v>43</v>
      </c>
      <c r="H101" s="23" t="s">
        <v>43</v>
      </c>
      <c r="I101" s="24"/>
      <c r="J101" s="22"/>
      <c r="K101" s="23" t="s">
        <v>43</v>
      </c>
      <c r="L101" s="22"/>
      <c r="M101" s="9" t="s">
        <v>43</v>
      </c>
      <c r="N101" s="9" t="s">
        <v>43</v>
      </c>
      <c r="O101" s="9" t="s">
        <v>43</v>
      </c>
      <c r="P101" s="9" t="s">
        <v>120</v>
      </c>
      <c r="Q101" s="23" t="s">
        <v>43</v>
      </c>
      <c r="R101" s="22"/>
      <c r="S101" s="8" t="s">
        <v>33</v>
      </c>
      <c r="U101" t="s">
        <v>51</v>
      </c>
      <c r="V101">
        <v>700</v>
      </c>
      <c r="W101" s="14" t="str">
        <f t="shared" si="0"/>
        <v xml:space="preserve"> - - + - - </v>
      </c>
      <c r="X101" s="14" t="str">
        <f t="shared" si="1"/>
        <v xml:space="preserve"> - - + - - </v>
      </c>
      <c r="Y101" s="14" t="str">
        <f t="shared" si="2"/>
        <v xml:space="preserve"> - - + - - </v>
      </c>
      <c r="Z101" s="14" t="str">
        <f t="shared" si="3"/>
        <v xml:space="preserve"> - - + - - </v>
      </c>
      <c r="AA101" s="14" t="str">
        <f t="shared" si="4"/>
        <v xml:space="preserve"> - - + - - </v>
      </c>
      <c r="AB101" s="14" t="str">
        <f t="shared" si="5"/>
        <v xml:space="preserve"> - - + - - </v>
      </c>
      <c r="AC101" s="14" t="str">
        <f t="shared" si="6"/>
        <v xml:space="preserve"> - - +49.00</v>
      </c>
      <c r="AD101" s="14" t="str">
        <f t="shared" si="7"/>
        <v/>
      </c>
    </row>
    <row r="102" spans="5:30">
      <c r="E102" s="27"/>
      <c r="F102" s="8" t="s">
        <v>44</v>
      </c>
      <c r="G102" s="9" t="s">
        <v>33</v>
      </c>
      <c r="H102" s="23" t="s">
        <v>33</v>
      </c>
      <c r="I102" s="24"/>
      <c r="J102" s="22"/>
      <c r="K102" s="23" t="s">
        <v>33</v>
      </c>
      <c r="L102" s="22"/>
      <c r="M102" s="9" t="s">
        <v>33</v>
      </c>
      <c r="N102" s="9" t="s">
        <v>33</v>
      </c>
      <c r="O102" s="9" t="s">
        <v>33</v>
      </c>
      <c r="P102" s="9" t="s">
        <v>33</v>
      </c>
      <c r="Q102" s="23" t="s">
        <v>33</v>
      </c>
      <c r="R102" s="22"/>
      <c r="S102" s="8">
        <v>0</v>
      </c>
      <c r="U102" t="s">
        <v>121</v>
      </c>
      <c r="V102" t="s">
        <v>33</v>
      </c>
      <c r="W102" s="14" t="str">
        <f t="shared" si="0"/>
        <v/>
      </c>
      <c r="X102" s="14" t="str">
        <f t="shared" si="1"/>
        <v/>
      </c>
      <c r="Y102" s="14" t="str">
        <f t="shared" si="2"/>
        <v/>
      </c>
      <c r="Z102" s="14" t="str">
        <f t="shared" si="3"/>
        <v/>
      </c>
      <c r="AA102" s="14" t="str">
        <f t="shared" si="4"/>
        <v/>
      </c>
      <c r="AB102" s="14" t="str">
        <f t="shared" si="5"/>
        <v/>
      </c>
      <c r="AC102" s="14" t="str">
        <f t="shared" si="6"/>
        <v/>
      </c>
      <c r="AD102" s="14">
        <f t="shared" si="7"/>
        <v>2</v>
      </c>
    </row>
    <row r="103" spans="5:30">
      <c r="E103" s="29"/>
      <c r="F103" s="8" t="s">
        <v>45</v>
      </c>
      <c r="G103" s="9">
        <v>4</v>
      </c>
      <c r="H103" s="23">
        <v>4</v>
      </c>
      <c r="I103" s="24"/>
      <c r="J103" s="22"/>
      <c r="K103" s="23">
        <v>4</v>
      </c>
      <c r="L103" s="22"/>
      <c r="M103" s="9">
        <v>3</v>
      </c>
      <c r="N103" s="9">
        <v>3</v>
      </c>
      <c r="O103" s="9">
        <v>3</v>
      </c>
      <c r="P103" s="9">
        <v>2</v>
      </c>
      <c r="Q103" s="23">
        <v>2</v>
      </c>
      <c r="R103" s="22"/>
      <c r="S103" s="8">
        <v>25</v>
      </c>
      <c r="U103" t="s">
        <v>56</v>
      </c>
      <c r="V103" t="s">
        <v>33</v>
      </c>
      <c r="W103" s="14">
        <f t="shared" si="0"/>
        <v>4</v>
      </c>
      <c r="X103" s="14">
        <f t="shared" si="1"/>
        <v>4</v>
      </c>
      <c r="Y103" s="14">
        <f t="shared" si="2"/>
        <v>4</v>
      </c>
      <c r="Z103" s="14">
        <f t="shared" si="3"/>
        <v>3</v>
      </c>
      <c r="AA103" s="14">
        <f t="shared" si="4"/>
        <v>3</v>
      </c>
      <c r="AB103" s="14">
        <f t="shared" si="5"/>
        <v>3</v>
      </c>
      <c r="AC103" s="14">
        <f t="shared" si="6"/>
        <v>2</v>
      </c>
      <c r="AD103" s="14">
        <f t="shared" si="7"/>
        <v>7.5</v>
      </c>
    </row>
    <row r="104" spans="5:30">
      <c r="E104" s="6">
        <v>7.6</v>
      </c>
      <c r="F104" s="8" t="s">
        <v>47</v>
      </c>
      <c r="G104" s="9">
        <v>6.5</v>
      </c>
      <c r="H104" s="23">
        <v>7.5</v>
      </c>
      <c r="I104" s="24"/>
      <c r="J104" s="22"/>
      <c r="K104" s="23">
        <v>9</v>
      </c>
      <c r="L104" s="22"/>
      <c r="M104" s="9">
        <v>7</v>
      </c>
      <c r="N104" s="9">
        <v>8.5</v>
      </c>
      <c r="O104" s="9">
        <v>5.5</v>
      </c>
      <c r="P104" s="9">
        <v>10</v>
      </c>
      <c r="Q104" s="23">
        <v>7.5</v>
      </c>
      <c r="R104" s="22"/>
      <c r="S104" s="8" t="s">
        <v>33</v>
      </c>
      <c r="U104" t="s">
        <v>33</v>
      </c>
      <c r="V104" t="s">
        <v>33</v>
      </c>
      <c r="W104" s="14">
        <f t="shared" si="0"/>
        <v>6.5</v>
      </c>
      <c r="X104" s="14">
        <f t="shared" si="1"/>
        <v>7.5</v>
      </c>
      <c r="Y104" s="14">
        <f t="shared" si="2"/>
        <v>9</v>
      </c>
      <c r="Z104" s="14">
        <f t="shared" si="3"/>
        <v>7</v>
      </c>
      <c r="AA104" s="14">
        <f t="shared" si="4"/>
        <v>8.5</v>
      </c>
      <c r="AB104" s="14">
        <f t="shared" si="5"/>
        <v>5.5</v>
      </c>
      <c r="AC104" s="14">
        <f t="shared" si="6"/>
        <v>10</v>
      </c>
      <c r="AD104" s="14">
        <f t="shared" si="7"/>
        <v>15</v>
      </c>
    </row>
    <row r="105" spans="5:30">
      <c r="E105" s="10">
        <v>7.53</v>
      </c>
      <c r="F105" s="8" t="s">
        <v>49</v>
      </c>
      <c r="G105" s="9">
        <v>26</v>
      </c>
      <c r="H105" s="23">
        <v>30</v>
      </c>
      <c r="I105" s="24"/>
      <c r="J105" s="22"/>
      <c r="K105" s="23">
        <v>36</v>
      </c>
      <c r="L105" s="22"/>
      <c r="M105" s="9">
        <v>21</v>
      </c>
      <c r="N105" s="9">
        <v>25.5</v>
      </c>
      <c r="O105" s="9">
        <v>16.5</v>
      </c>
      <c r="P105" s="9">
        <v>20</v>
      </c>
      <c r="Q105" s="23">
        <v>15</v>
      </c>
      <c r="R105" s="22"/>
      <c r="S105" s="8">
        <v>190</v>
      </c>
      <c r="U105">
        <v>0</v>
      </c>
      <c r="V105">
        <v>0</v>
      </c>
      <c r="W105" s="14">
        <f t="shared" si="0"/>
        <v>26</v>
      </c>
      <c r="X105" s="14">
        <f t="shared" si="1"/>
        <v>30</v>
      </c>
      <c r="Y105" s="14">
        <f t="shared" si="2"/>
        <v>36</v>
      </c>
      <c r="Z105" s="14">
        <f t="shared" si="3"/>
        <v>21</v>
      </c>
      <c r="AA105" s="14">
        <f t="shared" si="4"/>
        <v>25.5</v>
      </c>
      <c r="AB105" s="14">
        <f t="shared" si="5"/>
        <v>16.5</v>
      </c>
      <c r="AC105" s="14">
        <f t="shared" si="6"/>
        <v>20</v>
      </c>
      <c r="AD105" s="14">
        <f t="shared" si="7"/>
        <v>37</v>
      </c>
    </row>
    <row r="106" spans="5:30">
      <c r="E106" s="4"/>
      <c r="F106" s="8" t="s">
        <v>36</v>
      </c>
      <c r="G106" s="9">
        <v>64</v>
      </c>
      <c r="H106" s="23">
        <v>73</v>
      </c>
      <c r="I106" s="24"/>
      <c r="J106" s="22"/>
      <c r="K106" s="23">
        <v>89</v>
      </c>
      <c r="L106" s="22"/>
      <c r="M106" s="9">
        <v>68</v>
      </c>
      <c r="N106" s="9">
        <v>82</v>
      </c>
      <c r="O106" s="9">
        <v>54</v>
      </c>
      <c r="P106" s="9">
        <v>49</v>
      </c>
      <c r="Q106" s="23">
        <v>37</v>
      </c>
      <c r="R106" s="22"/>
      <c r="S106" s="8">
        <v>516</v>
      </c>
      <c r="U106">
        <v>0</v>
      </c>
      <c r="V106">
        <v>0</v>
      </c>
      <c r="W106" s="14">
        <f t="shared" si="0"/>
        <v>64</v>
      </c>
      <c r="X106" s="14">
        <f t="shared" si="1"/>
        <v>73</v>
      </c>
      <c r="Y106" s="14">
        <f t="shared" si="2"/>
        <v>89</v>
      </c>
      <c r="Z106" s="14">
        <f t="shared" si="3"/>
        <v>68</v>
      </c>
      <c r="AA106" s="14">
        <f t="shared" si="4"/>
        <v>82</v>
      </c>
      <c r="AB106" s="14">
        <f t="shared" si="5"/>
        <v>54</v>
      </c>
      <c r="AC106" s="14">
        <f t="shared" si="6"/>
        <v>49</v>
      </c>
      <c r="AD106" s="14">
        <f t="shared" si="7"/>
        <v>50</v>
      </c>
    </row>
    <row r="107" spans="5:30">
      <c r="E107" s="6"/>
      <c r="F107" s="8" t="s">
        <v>52</v>
      </c>
      <c r="G107" s="9">
        <v>100</v>
      </c>
      <c r="H107" s="23">
        <v>100</v>
      </c>
      <c r="I107" s="24"/>
      <c r="J107" s="22"/>
      <c r="K107" s="23">
        <v>100</v>
      </c>
      <c r="L107" s="22"/>
      <c r="M107" s="9">
        <v>100</v>
      </c>
      <c r="N107" s="9">
        <v>100</v>
      </c>
      <c r="O107" s="9">
        <v>100</v>
      </c>
      <c r="P107" s="9">
        <v>50</v>
      </c>
      <c r="Q107" s="23">
        <v>50</v>
      </c>
      <c r="R107" s="22"/>
      <c r="S107" s="8">
        <v>700</v>
      </c>
      <c r="U107" t="s">
        <v>31</v>
      </c>
      <c r="V107" t="s">
        <v>33</v>
      </c>
      <c r="W107" s="14">
        <f t="shared" si="0"/>
        <v>100</v>
      </c>
      <c r="X107" s="14">
        <f t="shared" si="1"/>
        <v>100</v>
      </c>
      <c r="Y107" s="14">
        <f t="shared" si="2"/>
        <v>100</v>
      </c>
      <c r="Z107" s="14">
        <f t="shared" si="3"/>
        <v>100</v>
      </c>
      <c r="AA107" s="14">
        <f t="shared" si="4"/>
        <v>100</v>
      </c>
      <c r="AB107" s="14">
        <f t="shared" si="5"/>
        <v>100</v>
      </c>
      <c r="AC107" s="14">
        <f t="shared" si="6"/>
        <v>50</v>
      </c>
      <c r="AD107" s="14" t="str">
        <f t="shared" si="7"/>
        <v>AA</v>
      </c>
    </row>
    <row r="108" spans="5:30">
      <c r="E108" s="4"/>
      <c r="F108" s="8" t="s">
        <v>54</v>
      </c>
      <c r="G108" s="9" t="s">
        <v>76</v>
      </c>
      <c r="H108" s="23" t="s">
        <v>108</v>
      </c>
      <c r="I108" s="24"/>
      <c r="J108" s="22"/>
      <c r="K108" s="23" t="s">
        <v>122</v>
      </c>
      <c r="L108" s="22"/>
      <c r="M108" s="9" t="s">
        <v>109</v>
      </c>
      <c r="N108" s="9" t="s">
        <v>95</v>
      </c>
      <c r="O108" s="9" t="s">
        <v>123</v>
      </c>
      <c r="P108" s="9" t="s">
        <v>93</v>
      </c>
      <c r="Q108" s="23" t="s">
        <v>108</v>
      </c>
      <c r="R108" s="22"/>
      <c r="S108" s="8" t="s">
        <v>33</v>
      </c>
      <c r="U108" t="s">
        <v>125</v>
      </c>
      <c r="V108" t="s">
        <v>36</v>
      </c>
      <c r="W108" s="14" t="str">
        <f t="shared" si="0"/>
        <v>AB</v>
      </c>
      <c r="X108" s="14" t="str">
        <f t="shared" si="1"/>
        <v>AA</v>
      </c>
      <c r="Y108" s="14" t="str">
        <f t="shared" si="2"/>
        <v>OA+</v>
      </c>
      <c r="Z108" s="14" t="str">
        <f t="shared" si="3"/>
        <v>AB+</v>
      </c>
      <c r="AA108" s="14" t="str">
        <f t="shared" si="4"/>
        <v>OA</v>
      </c>
      <c r="AB108" s="14" t="str">
        <f t="shared" si="5"/>
        <v>BB</v>
      </c>
      <c r="AC108" s="14" t="str">
        <f t="shared" si="6"/>
        <v>OO+</v>
      </c>
      <c r="AD108" s="14" t="str">
        <f t="shared" si="7"/>
        <v>Pass</v>
      </c>
    </row>
    <row r="109" spans="5:30">
      <c r="E109" s="11" t="s">
        <v>124</v>
      </c>
      <c r="F109" s="8" t="s">
        <v>58</v>
      </c>
      <c r="G109" s="9" t="s">
        <v>59</v>
      </c>
      <c r="H109" s="23" t="s">
        <v>59</v>
      </c>
      <c r="I109" s="24"/>
      <c r="J109" s="22"/>
      <c r="K109" s="23" t="s">
        <v>59</v>
      </c>
      <c r="L109" s="22"/>
      <c r="M109" s="9" t="s">
        <v>59</v>
      </c>
      <c r="N109" s="9" t="s">
        <v>59</v>
      </c>
      <c r="O109" s="9" t="s">
        <v>59</v>
      </c>
      <c r="P109" s="9" t="s">
        <v>59</v>
      </c>
      <c r="Q109" s="23" t="s">
        <v>59</v>
      </c>
      <c r="R109" s="22"/>
      <c r="S109" s="8" t="s">
        <v>33</v>
      </c>
      <c r="U109" t="s">
        <v>37</v>
      </c>
      <c r="V109" t="s">
        <v>33</v>
      </c>
      <c r="W109" s="14" t="str">
        <f t="shared" si="0"/>
        <v>Pass</v>
      </c>
      <c r="X109" s="14" t="str">
        <f t="shared" si="1"/>
        <v>Pass</v>
      </c>
      <c r="Y109" s="14" t="str">
        <f t="shared" si="2"/>
        <v>Pass</v>
      </c>
      <c r="Z109" s="14" t="str">
        <f t="shared" si="3"/>
        <v>Pass</v>
      </c>
      <c r="AA109" s="14" t="str">
        <f t="shared" si="4"/>
        <v>Pass</v>
      </c>
      <c r="AB109" s="14" t="str">
        <f t="shared" si="5"/>
        <v>Pass</v>
      </c>
      <c r="AC109" s="14" t="str">
        <f t="shared" si="6"/>
        <v>Pass</v>
      </c>
      <c r="AD109" s="14" t="str">
        <f t="shared" si="7"/>
        <v/>
      </c>
    </row>
    <row r="110" spans="5:30">
      <c r="E110" s="12" t="s">
        <v>33</v>
      </c>
      <c r="F110" s="12" t="s">
        <v>33</v>
      </c>
      <c r="G110" s="13" t="s">
        <v>33</v>
      </c>
      <c r="H110" s="20" t="s">
        <v>33</v>
      </c>
      <c r="I110" s="18"/>
      <c r="J110" s="18"/>
      <c r="K110" s="20" t="s">
        <v>33</v>
      </c>
      <c r="L110" s="18"/>
      <c r="M110" s="13" t="s">
        <v>33</v>
      </c>
      <c r="N110" s="13" t="s">
        <v>33</v>
      </c>
      <c r="O110" s="13" t="s">
        <v>33</v>
      </c>
      <c r="P110" s="13" t="s">
        <v>33</v>
      </c>
      <c r="Q110" s="20" t="s">
        <v>33</v>
      </c>
      <c r="R110" s="18"/>
      <c r="S110" s="13" t="s">
        <v>33</v>
      </c>
      <c r="U110" t="s">
        <v>134</v>
      </c>
      <c r="V110" t="s">
        <v>33</v>
      </c>
      <c r="W110" s="14" t="str">
        <f t="shared" si="0"/>
        <v/>
      </c>
      <c r="X110" s="14" t="str">
        <f t="shared" si="1"/>
        <v/>
      </c>
      <c r="Y110" s="14" t="str">
        <f t="shared" si="2"/>
        <v/>
      </c>
      <c r="Z110" s="14" t="str">
        <f t="shared" si="3"/>
        <v/>
      </c>
      <c r="AA110" s="14" t="str">
        <f t="shared" si="4"/>
        <v/>
      </c>
      <c r="AB110" s="14" t="str">
        <f t="shared" si="5"/>
        <v/>
      </c>
      <c r="AC110" s="14" t="str">
        <f t="shared" si="6"/>
        <v/>
      </c>
      <c r="AD110" s="14">
        <f t="shared" si="7"/>
        <v>0</v>
      </c>
    </row>
    <row r="111" spans="5:30" ht="0" hidden="1" customHeight="1">
      <c r="U111">
        <v>0</v>
      </c>
      <c r="V111">
        <v>0</v>
      </c>
      <c r="W111" s="14">
        <f t="shared" si="0"/>
        <v>0</v>
      </c>
      <c r="X111" s="14">
        <f t="shared" si="1"/>
        <v>0</v>
      </c>
      <c r="Y111" s="14">
        <f t="shared" si="2"/>
        <v>0</v>
      </c>
      <c r="Z111" s="14">
        <f t="shared" si="3"/>
        <v>0</v>
      </c>
      <c r="AA111" s="14">
        <f t="shared" si="4"/>
        <v>0</v>
      </c>
      <c r="AB111" s="14">
        <f t="shared" si="5"/>
        <v>0</v>
      </c>
      <c r="AC111" s="14">
        <f t="shared" si="6"/>
        <v>0</v>
      </c>
      <c r="AD111" s="14">
        <f t="shared" si="7"/>
        <v>0</v>
      </c>
    </row>
    <row r="112" spans="5:30" ht="0.6" customHeight="1">
      <c r="U112">
        <v>0</v>
      </c>
      <c r="V112">
        <v>22</v>
      </c>
      <c r="W112" s="14">
        <f t="shared" si="0"/>
        <v>0</v>
      </c>
      <c r="X112" s="14">
        <f t="shared" si="1"/>
        <v>0</v>
      </c>
      <c r="Y112" s="14">
        <f t="shared" si="2"/>
        <v>0</v>
      </c>
      <c r="Z112" s="14">
        <f t="shared" si="3"/>
        <v>0</v>
      </c>
      <c r="AA112" s="14">
        <f t="shared" si="4"/>
        <v>0</v>
      </c>
      <c r="AB112" s="14">
        <f t="shared" si="5"/>
        <v>0</v>
      </c>
      <c r="AC112" s="14">
        <f t="shared" si="6"/>
        <v>0</v>
      </c>
      <c r="AD112" s="14" t="str">
        <f t="shared" si="7"/>
        <v/>
      </c>
    </row>
    <row r="113" spans="5:30">
      <c r="E113" s="4"/>
      <c r="F113" s="3" t="s">
        <v>32</v>
      </c>
      <c r="G113" s="5" t="s">
        <v>33</v>
      </c>
      <c r="H113" s="32" t="s">
        <v>33</v>
      </c>
      <c r="I113" s="18"/>
      <c r="J113" s="18"/>
      <c r="K113" s="32" t="s">
        <v>33</v>
      </c>
      <c r="L113" s="18"/>
      <c r="M113" s="5" t="s">
        <v>33</v>
      </c>
      <c r="N113" s="5" t="s">
        <v>33</v>
      </c>
      <c r="O113" s="5" t="s">
        <v>33</v>
      </c>
      <c r="P113" s="5" t="s">
        <v>33</v>
      </c>
      <c r="Q113" s="32" t="s">
        <v>33</v>
      </c>
      <c r="R113" s="18"/>
      <c r="S113" s="5" t="s">
        <v>33</v>
      </c>
      <c r="U113" t="s">
        <v>46</v>
      </c>
      <c r="V113" t="s">
        <v>33</v>
      </c>
      <c r="W113" s="14" t="str">
        <f t="shared" si="0"/>
        <v/>
      </c>
      <c r="X113" s="14" t="str">
        <f t="shared" si="1"/>
        <v/>
      </c>
      <c r="Y113" s="14" t="str">
        <f t="shared" si="2"/>
        <v/>
      </c>
      <c r="Z113" s="14" t="str">
        <f t="shared" si="3"/>
        <v/>
      </c>
      <c r="AA113" s="14" t="str">
        <f t="shared" si="4"/>
        <v/>
      </c>
      <c r="AB113" s="14" t="str">
        <f t="shared" si="5"/>
        <v/>
      </c>
      <c r="AC113" s="14" t="str">
        <f t="shared" si="6"/>
        <v/>
      </c>
      <c r="AD113" s="14" t="str">
        <f t="shared" si="7"/>
        <v>COMRRSN302</v>
      </c>
    </row>
    <row r="114" spans="5:30" ht="21">
      <c r="E114" s="4"/>
      <c r="F114" s="7" t="s">
        <v>35</v>
      </c>
      <c r="G114" s="7" t="s">
        <v>5</v>
      </c>
      <c r="H114" s="30" t="s">
        <v>7</v>
      </c>
      <c r="I114" s="24"/>
      <c r="J114" s="22"/>
      <c r="K114" s="30" t="s">
        <v>9</v>
      </c>
      <c r="L114" s="22"/>
      <c r="M114" s="7" t="s">
        <v>11</v>
      </c>
      <c r="N114" s="7" t="s">
        <v>15</v>
      </c>
      <c r="O114" s="7" t="s">
        <v>17</v>
      </c>
      <c r="P114" s="7" t="s">
        <v>21</v>
      </c>
      <c r="Q114" s="30" t="s">
        <v>27</v>
      </c>
      <c r="R114" s="22"/>
      <c r="S114" s="7" t="s">
        <v>36</v>
      </c>
      <c r="U114" t="s">
        <v>48</v>
      </c>
      <c r="V114">
        <v>157</v>
      </c>
      <c r="W114" s="14" t="str">
        <f t="shared" si="0"/>
        <v>BBABMCN301</v>
      </c>
      <c r="X114" s="14" t="str">
        <f t="shared" si="1"/>
        <v>BBABMCN302</v>
      </c>
      <c r="Y114" s="14" t="str">
        <f t="shared" si="2"/>
        <v>BBABMCN303</v>
      </c>
      <c r="Z114" s="14" t="str">
        <f t="shared" si="3"/>
        <v>BBAENLN301</v>
      </c>
      <c r="AA114" s="14" t="str">
        <f t="shared" si="4"/>
        <v>BBAKALN302</v>
      </c>
      <c r="AB114" s="14" t="str">
        <f t="shared" si="5"/>
        <v>BCACAEN302</v>
      </c>
      <c r="AC114" s="14" t="str">
        <f t="shared" si="6"/>
        <v>COMFISN301</v>
      </c>
      <c r="AD114" s="14" t="str">
        <f t="shared" si="7"/>
        <v xml:space="preserve"> - - + - - </v>
      </c>
    </row>
    <row r="115" spans="5:30" ht="22.5">
      <c r="E115" s="6" t="s">
        <v>126</v>
      </c>
      <c r="F115" s="8" t="s">
        <v>39</v>
      </c>
      <c r="G115" s="9" t="s">
        <v>127</v>
      </c>
      <c r="H115" s="23" t="s">
        <v>128</v>
      </c>
      <c r="I115" s="24"/>
      <c r="J115" s="22"/>
      <c r="K115" s="23" t="s">
        <v>129</v>
      </c>
      <c r="L115" s="22"/>
      <c r="M115" s="9" t="s">
        <v>130</v>
      </c>
      <c r="N115" s="9" t="s">
        <v>131</v>
      </c>
      <c r="O115" s="9" t="s">
        <v>132</v>
      </c>
      <c r="P115" s="9" t="s">
        <v>133</v>
      </c>
      <c r="Q115" s="23" t="s">
        <v>43</v>
      </c>
      <c r="R115" s="22"/>
      <c r="S115" s="8" t="s">
        <v>33</v>
      </c>
      <c r="U115" t="s">
        <v>65</v>
      </c>
      <c r="V115">
        <v>441</v>
      </c>
      <c r="W115" s="14" t="str">
        <f t="shared" si="0"/>
        <v>25.00 + 27.00</v>
      </c>
      <c r="X115" s="14" t="str">
        <f t="shared" si="1"/>
        <v>34.00 + 27.00</v>
      </c>
      <c r="Y115" s="14" t="str">
        <f t="shared" si="2"/>
        <v>39.00 + 38.00</v>
      </c>
      <c r="Z115" s="14" t="str">
        <f t="shared" si="3"/>
        <v>40.00 + 24.00</v>
      </c>
      <c r="AA115" s="14" t="str">
        <f t="shared" si="4"/>
        <v>42.00 + 32.00</v>
      </c>
      <c r="AB115" s="14" t="str">
        <f t="shared" si="5"/>
        <v>6.00 + 22.00</v>
      </c>
      <c r="AC115" s="14" t="str">
        <f t="shared" si="6"/>
        <v>23.00 + 14.00</v>
      </c>
      <c r="AD115" s="14" t="str">
        <f t="shared" si="7"/>
        <v xml:space="preserve"> - - +48.00</v>
      </c>
    </row>
    <row r="116" spans="5:30">
      <c r="E116" s="25"/>
      <c r="F116" s="8" t="s">
        <v>42</v>
      </c>
      <c r="G116" s="9" t="s">
        <v>43</v>
      </c>
      <c r="H116" s="23" t="s">
        <v>43</v>
      </c>
      <c r="I116" s="24"/>
      <c r="J116" s="22"/>
      <c r="K116" s="23" t="s">
        <v>43</v>
      </c>
      <c r="L116" s="22"/>
      <c r="M116" s="9" t="s">
        <v>43</v>
      </c>
      <c r="N116" s="9" t="s">
        <v>43</v>
      </c>
      <c r="O116" s="9" t="s">
        <v>43</v>
      </c>
      <c r="P116" s="9" t="s">
        <v>43</v>
      </c>
      <c r="Q116" s="23" t="s">
        <v>107</v>
      </c>
      <c r="R116" s="22"/>
      <c r="S116" s="8" t="s">
        <v>33</v>
      </c>
      <c r="U116" t="s">
        <v>51</v>
      </c>
      <c r="V116">
        <v>700</v>
      </c>
      <c r="W116" s="14" t="str">
        <f t="shared" si="0"/>
        <v xml:space="preserve"> - - + - - </v>
      </c>
      <c r="X116" s="14" t="str">
        <f t="shared" si="1"/>
        <v xml:space="preserve"> - - + - - </v>
      </c>
      <c r="Y116" s="14" t="str">
        <f t="shared" si="2"/>
        <v xml:space="preserve"> - - + - - </v>
      </c>
      <c r="Z116" s="14" t="str">
        <f t="shared" si="3"/>
        <v xml:space="preserve"> - - + - - </v>
      </c>
      <c r="AA116" s="14" t="str">
        <f t="shared" si="4"/>
        <v xml:space="preserve"> - - + - - </v>
      </c>
      <c r="AB116" s="14" t="str">
        <f t="shared" si="5"/>
        <v xml:space="preserve"> - - + - - </v>
      </c>
      <c r="AC116" s="14" t="str">
        <f t="shared" si="6"/>
        <v xml:space="preserve"> - - + - - </v>
      </c>
      <c r="AD116" s="14" t="str">
        <f t="shared" si="7"/>
        <v/>
      </c>
    </row>
    <row r="117" spans="5:30">
      <c r="E117" s="27"/>
      <c r="F117" s="8" t="s">
        <v>44</v>
      </c>
      <c r="G117" s="9" t="s">
        <v>33</v>
      </c>
      <c r="H117" s="23" t="s">
        <v>33</v>
      </c>
      <c r="I117" s="24"/>
      <c r="J117" s="22"/>
      <c r="K117" s="23" t="s">
        <v>33</v>
      </c>
      <c r="L117" s="22"/>
      <c r="M117" s="9" t="s">
        <v>33</v>
      </c>
      <c r="N117" s="9" t="s">
        <v>33</v>
      </c>
      <c r="O117" s="9" t="s">
        <v>33</v>
      </c>
      <c r="P117" s="9" t="s">
        <v>33</v>
      </c>
      <c r="Q117" s="23" t="s">
        <v>33</v>
      </c>
      <c r="R117" s="22"/>
      <c r="S117" s="8">
        <v>0</v>
      </c>
      <c r="U117" t="s">
        <v>66</v>
      </c>
      <c r="V117" t="s">
        <v>33</v>
      </c>
      <c r="W117" s="14" t="str">
        <f t="shared" si="0"/>
        <v/>
      </c>
      <c r="X117" s="14" t="str">
        <f t="shared" si="1"/>
        <v/>
      </c>
      <c r="Y117" s="14" t="str">
        <f t="shared" si="2"/>
        <v/>
      </c>
      <c r="Z117" s="14" t="str">
        <f t="shared" si="3"/>
        <v/>
      </c>
      <c r="AA117" s="14" t="str">
        <f t="shared" si="4"/>
        <v/>
      </c>
      <c r="AB117" s="14" t="str">
        <f t="shared" si="5"/>
        <v/>
      </c>
      <c r="AC117" s="14" t="str">
        <f t="shared" si="6"/>
        <v/>
      </c>
      <c r="AD117" s="14">
        <f t="shared" si="7"/>
        <v>2</v>
      </c>
    </row>
    <row r="118" spans="5:30">
      <c r="E118" s="29"/>
      <c r="F118" s="8" t="s">
        <v>45</v>
      </c>
      <c r="G118" s="9">
        <v>4</v>
      </c>
      <c r="H118" s="23">
        <v>4</v>
      </c>
      <c r="I118" s="24"/>
      <c r="J118" s="22"/>
      <c r="K118" s="23">
        <v>4</v>
      </c>
      <c r="L118" s="22"/>
      <c r="M118" s="9">
        <v>3</v>
      </c>
      <c r="N118" s="9">
        <v>3</v>
      </c>
      <c r="O118" s="9">
        <v>3</v>
      </c>
      <c r="P118" s="9">
        <v>2</v>
      </c>
      <c r="Q118" s="23">
        <v>2</v>
      </c>
      <c r="R118" s="22"/>
      <c r="S118" s="8">
        <v>22</v>
      </c>
      <c r="U118" t="s">
        <v>56</v>
      </c>
      <c r="V118" t="s">
        <v>33</v>
      </c>
      <c r="W118" s="14">
        <f t="shared" si="0"/>
        <v>4</v>
      </c>
      <c r="X118" s="14">
        <f t="shared" si="1"/>
        <v>4</v>
      </c>
      <c r="Y118" s="14">
        <f t="shared" si="2"/>
        <v>4</v>
      </c>
      <c r="Z118" s="14">
        <f t="shared" si="3"/>
        <v>3</v>
      </c>
      <c r="AA118" s="14">
        <f t="shared" si="4"/>
        <v>3</v>
      </c>
      <c r="AB118" s="14">
        <f t="shared" si="5"/>
        <v>3</v>
      </c>
      <c r="AC118" s="14">
        <f t="shared" si="6"/>
        <v>2</v>
      </c>
      <c r="AD118" s="14">
        <f t="shared" si="7"/>
        <v>10</v>
      </c>
    </row>
    <row r="119" spans="5:30">
      <c r="E119" s="6"/>
      <c r="F119" s="8" t="s">
        <v>47</v>
      </c>
      <c r="G119" s="9">
        <v>5.5</v>
      </c>
      <c r="H119" s="23">
        <v>6.5</v>
      </c>
      <c r="I119" s="24"/>
      <c r="J119" s="22"/>
      <c r="K119" s="23">
        <v>8</v>
      </c>
      <c r="L119" s="22"/>
      <c r="M119" s="9">
        <v>6.5</v>
      </c>
      <c r="N119" s="9">
        <v>7.5</v>
      </c>
      <c r="O119" s="9"/>
      <c r="P119" s="9">
        <v>7.5</v>
      </c>
      <c r="Q119" s="23">
        <v>10</v>
      </c>
      <c r="R119" s="22"/>
      <c r="S119" s="8" t="s">
        <v>33</v>
      </c>
      <c r="U119" t="s">
        <v>33</v>
      </c>
      <c r="V119" t="s">
        <v>33</v>
      </c>
      <c r="W119" s="14">
        <f t="shared" si="0"/>
        <v>5.5</v>
      </c>
      <c r="X119" s="14">
        <f t="shared" si="1"/>
        <v>6.5</v>
      </c>
      <c r="Y119" s="14">
        <f t="shared" si="2"/>
        <v>8</v>
      </c>
      <c r="Z119" s="14">
        <f t="shared" si="3"/>
        <v>6.5</v>
      </c>
      <c r="AA119" s="14">
        <f t="shared" si="4"/>
        <v>7.5</v>
      </c>
      <c r="AB119" s="14">
        <f t="shared" si="5"/>
        <v>0</v>
      </c>
      <c r="AC119" s="14">
        <f t="shared" si="6"/>
        <v>7.5</v>
      </c>
      <c r="AD119" s="14">
        <f t="shared" si="7"/>
        <v>20</v>
      </c>
    </row>
    <row r="120" spans="5:30">
      <c r="E120" s="6"/>
      <c r="F120" s="8" t="s">
        <v>49</v>
      </c>
      <c r="G120" s="9">
        <v>22</v>
      </c>
      <c r="H120" s="23">
        <v>26</v>
      </c>
      <c r="I120" s="24"/>
      <c r="J120" s="22"/>
      <c r="K120" s="23">
        <v>32</v>
      </c>
      <c r="L120" s="22"/>
      <c r="M120" s="9">
        <v>19.5</v>
      </c>
      <c r="N120" s="9">
        <v>22.5</v>
      </c>
      <c r="O120" s="9"/>
      <c r="P120" s="9">
        <v>15</v>
      </c>
      <c r="Q120" s="23">
        <v>20</v>
      </c>
      <c r="R120" s="22"/>
      <c r="S120" s="8">
        <v>157</v>
      </c>
      <c r="U120">
        <v>0</v>
      </c>
      <c r="V120">
        <v>0</v>
      </c>
      <c r="W120" s="14">
        <f t="shared" si="0"/>
        <v>22</v>
      </c>
      <c r="X120" s="14">
        <f t="shared" si="1"/>
        <v>26</v>
      </c>
      <c r="Y120" s="14">
        <f t="shared" si="2"/>
        <v>32</v>
      </c>
      <c r="Z120" s="14">
        <f t="shared" si="3"/>
        <v>19.5</v>
      </c>
      <c r="AA120" s="14">
        <f t="shared" si="4"/>
        <v>22.5</v>
      </c>
      <c r="AB120" s="14">
        <f t="shared" si="5"/>
        <v>0</v>
      </c>
      <c r="AC120" s="14">
        <f t="shared" si="6"/>
        <v>15</v>
      </c>
      <c r="AD120" s="14">
        <f t="shared" si="7"/>
        <v>48</v>
      </c>
    </row>
    <row r="121" spans="5:30">
      <c r="E121" s="4"/>
      <c r="F121" s="8" t="s">
        <v>36</v>
      </c>
      <c r="G121" s="9">
        <v>52</v>
      </c>
      <c r="H121" s="23">
        <v>61</v>
      </c>
      <c r="I121" s="24"/>
      <c r="J121" s="22"/>
      <c r="K121" s="23">
        <v>77</v>
      </c>
      <c r="L121" s="22"/>
      <c r="M121" s="9">
        <v>64</v>
      </c>
      <c r="N121" s="9">
        <v>74</v>
      </c>
      <c r="O121" s="9">
        <v>28</v>
      </c>
      <c r="P121" s="9">
        <v>37</v>
      </c>
      <c r="Q121" s="23">
        <v>48</v>
      </c>
      <c r="R121" s="22"/>
      <c r="S121" s="8">
        <v>441</v>
      </c>
      <c r="U121">
        <v>0</v>
      </c>
      <c r="V121">
        <v>0</v>
      </c>
      <c r="W121" s="14">
        <f t="shared" si="0"/>
        <v>52</v>
      </c>
      <c r="X121" s="14">
        <f t="shared" si="1"/>
        <v>61</v>
      </c>
      <c r="Y121" s="14">
        <f t="shared" si="2"/>
        <v>77</v>
      </c>
      <c r="Z121" s="14">
        <f t="shared" si="3"/>
        <v>64</v>
      </c>
      <c r="AA121" s="14">
        <f t="shared" si="4"/>
        <v>74</v>
      </c>
      <c r="AB121" s="14">
        <f t="shared" si="5"/>
        <v>28</v>
      </c>
      <c r="AC121" s="14">
        <f t="shared" si="6"/>
        <v>37</v>
      </c>
      <c r="AD121" s="14">
        <f t="shared" si="7"/>
        <v>50</v>
      </c>
    </row>
    <row r="122" spans="5:30">
      <c r="E122" s="6"/>
      <c r="F122" s="8" t="s">
        <v>52</v>
      </c>
      <c r="G122" s="9">
        <v>100</v>
      </c>
      <c r="H122" s="23">
        <v>100</v>
      </c>
      <c r="I122" s="24"/>
      <c r="J122" s="22"/>
      <c r="K122" s="23">
        <v>100</v>
      </c>
      <c r="L122" s="22"/>
      <c r="M122" s="9">
        <v>100</v>
      </c>
      <c r="N122" s="9">
        <v>100</v>
      </c>
      <c r="O122" s="9">
        <v>100</v>
      </c>
      <c r="P122" s="9">
        <v>50</v>
      </c>
      <c r="Q122" s="23">
        <v>50</v>
      </c>
      <c r="R122" s="22"/>
      <c r="S122" s="8">
        <v>700</v>
      </c>
      <c r="U122" t="s">
        <v>31</v>
      </c>
      <c r="V122" t="s">
        <v>33</v>
      </c>
      <c r="W122" s="14">
        <f t="shared" si="0"/>
        <v>100</v>
      </c>
      <c r="X122" s="14">
        <f t="shared" si="1"/>
        <v>100</v>
      </c>
      <c r="Y122" s="14">
        <f t="shared" si="2"/>
        <v>100</v>
      </c>
      <c r="Z122" s="14">
        <f t="shared" si="3"/>
        <v>100</v>
      </c>
      <c r="AA122" s="14">
        <f t="shared" si="4"/>
        <v>100</v>
      </c>
      <c r="AB122" s="14">
        <f t="shared" si="5"/>
        <v>100</v>
      </c>
      <c r="AC122" s="14">
        <f t="shared" si="6"/>
        <v>50</v>
      </c>
      <c r="AD122" s="14" t="str">
        <f t="shared" si="7"/>
        <v>OO+</v>
      </c>
    </row>
    <row r="123" spans="5:30">
      <c r="E123" s="4"/>
      <c r="F123" s="8" t="s">
        <v>54</v>
      </c>
      <c r="G123" s="9" t="s">
        <v>123</v>
      </c>
      <c r="H123" s="23" t="s">
        <v>76</v>
      </c>
      <c r="I123" s="24"/>
      <c r="J123" s="22"/>
      <c r="K123" s="23" t="s">
        <v>135</v>
      </c>
      <c r="L123" s="22"/>
      <c r="M123" s="9" t="s">
        <v>76</v>
      </c>
      <c r="N123" s="9" t="s">
        <v>108</v>
      </c>
      <c r="O123" s="9"/>
      <c r="P123" s="9" t="s">
        <v>108</v>
      </c>
      <c r="Q123" s="23" t="s">
        <v>93</v>
      </c>
      <c r="R123" s="22"/>
      <c r="S123" s="8" t="s">
        <v>33</v>
      </c>
      <c r="U123" t="s">
        <v>137</v>
      </c>
      <c r="V123" t="s">
        <v>36</v>
      </c>
      <c r="W123" s="14" t="str">
        <f t="shared" si="0"/>
        <v>BB</v>
      </c>
      <c r="X123" s="14" t="str">
        <f t="shared" si="1"/>
        <v>AB</v>
      </c>
      <c r="Y123" s="14" t="str">
        <f t="shared" si="2"/>
        <v>AA+</v>
      </c>
      <c r="Z123" s="14" t="str">
        <f t="shared" si="3"/>
        <v>AB</v>
      </c>
      <c r="AA123" s="14" t="str">
        <f t="shared" si="4"/>
        <v>AA</v>
      </c>
      <c r="AB123" s="14">
        <f t="shared" si="5"/>
        <v>0</v>
      </c>
      <c r="AC123" s="14" t="str">
        <f t="shared" si="6"/>
        <v>AA</v>
      </c>
      <c r="AD123" s="14" t="str">
        <f t="shared" si="7"/>
        <v>Pass</v>
      </c>
    </row>
    <row r="124" spans="5:30">
      <c r="E124" s="11" t="s">
        <v>136</v>
      </c>
      <c r="F124" s="8" t="s">
        <v>58</v>
      </c>
      <c r="G124" s="9" t="s">
        <v>59</v>
      </c>
      <c r="H124" s="23" t="s">
        <v>59</v>
      </c>
      <c r="I124" s="24"/>
      <c r="J124" s="22"/>
      <c r="K124" s="23" t="s">
        <v>59</v>
      </c>
      <c r="L124" s="22"/>
      <c r="M124" s="9" t="s">
        <v>59</v>
      </c>
      <c r="N124" s="9" t="s">
        <v>59</v>
      </c>
      <c r="O124" s="9" t="s">
        <v>68</v>
      </c>
      <c r="P124" s="9" t="s">
        <v>59</v>
      </c>
      <c r="Q124" s="23" t="s">
        <v>59</v>
      </c>
      <c r="R124" s="22"/>
      <c r="S124" s="8" t="s">
        <v>33</v>
      </c>
      <c r="U124" t="s">
        <v>37</v>
      </c>
      <c r="V124" t="s">
        <v>33</v>
      </c>
      <c r="W124" s="14" t="str">
        <f t="shared" si="0"/>
        <v>Pass</v>
      </c>
      <c r="X124" s="14" t="str">
        <f t="shared" si="1"/>
        <v>Pass</v>
      </c>
      <c r="Y124" s="14" t="str">
        <f t="shared" si="2"/>
        <v>Pass</v>
      </c>
      <c r="Z124" s="14" t="str">
        <f t="shared" si="3"/>
        <v>Pass</v>
      </c>
      <c r="AA124" s="14" t="str">
        <f t="shared" si="4"/>
        <v>Pass</v>
      </c>
      <c r="AB124" s="14" t="str">
        <f t="shared" si="5"/>
        <v>Fail</v>
      </c>
      <c r="AC124" s="14" t="str">
        <f t="shared" si="6"/>
        <v>Pass</v>
      </c>
      <c r="AD124" s="14" t="str">
        <f t="shared" si="7"/>
        <v/>
      </c>
    </row>
    <row r="125" spans="5:30">
      <c r="E125" s="12" t="s">
        <v>33</v>
      </c>
      <c r="F125" s="12" t="s">
        <v>33</v>
      </c>
      <c r="G125" s="13" t="s">
        <v>33</v>
      </c>
      <c r="H125" s="20" t="s">
        <v>33</v>
      </c>
      <c r="I125" s="18"/>
      <c r="J125" s="18"/>
      <c r="K125" s="20" t="s">
        <v>33</v>
      </c>
      <c r="L125" s="18"/>
      <c r="M125" s="13" t="s">
        <v>33</v>
      </c>
      <c r="N125" s="13" t="s">
        <v>33</v>
      </c>
      <c r="O125" s="13" t="s">
        <v>33</v>
      </c>
      <c r="P125" s="13" t="s">
        <v>33</v>
      </c>
      <c r="Q125" s="20" t="s">
        <v>33</v>
      </c>
      <c r="R125" s="18"/>
      <c r="S125" s="13" t="s">
        <v>33</v>
      </c>
      <c r="U125" t="s">
        <v>145</v>
      </c>
      <c r="V125" t="s">
        <v>33</v>
      </c>
      <c r="W125" s="14" t="str">
        <f t="shared" si="0"/>
        <v/>
      </c>
      <c r="X125" s="14" t="str">
        <f t="shared" si="1"/>
        <v/>
      </c>
      <c r="Y125" s="14" t="str">
        <f t="shared" si="2"/>
        <v/>
      </c>
      <c r="Z125" s="14" t="str">
        <f t="shared" si="3"/>
        <v/>
      </c>
      <c r="AA125" s="14" t="str">
        <f t="shared" si="4"/>
        <v/>
      </c>
      <c r="AB125" s="14" t="str">
        <f t="shared" si="5"/>
        <v/>
      </c>
      <c r="AC125" s="14" t="str">
        <f t="shared" si="6"/>
        <v/>
      </c>
      <c r="AD125" s="14">
        <f t="shared" si="7"/>
        <v>0</v>
      </c>
    </row>
    <row r="126" spans="5:30" ht="0" hidden="1" customHeight="1">
      <c r="U126">
        <v>0</v>
      </c>
      <c r="V126">
        <v>0</v>
      </c>
      <c r="W126" s="14">
        <f t="shared" si="0"/>
        <v>0</v>
      </c>
      <c r="X126" s="14">
        <f t="shared" si="1"/>
        <v>0</v>
      </c>
      <c r="Y126" s="14">
        <f t="shared" si="2"/>
        <v>0</v>
      </c>
      <c r="Z126" s="14">
        <f t="shared" si="3"/>
        <v>0</v>
      </c>
      <c r="AA126" s="14">
        <f t="shared" si="4"/>
        <v>0</v>
      </c>
      <c r="AB126" s="14">
        <f t="shared" si="5"/>
        <v>0</v>
      </c>
      <c r="AC126" s="14">
        <f t="shared" si="6"/>
        <v>0</v>
      </c>
      <c r="AD126" s="14">
        <f t="shared" si="7"/>
        <v>0</v>
      </c>
    </row>
    <row r="127" spans="5:30" ht="0.6" customHeight="1">
      <c r="U127">
        <v>0</v>
      </c>
      <c r="V127">
        <v>22</v>
      </c>
      <c r="W127" s="14">
        <f t="shared" si="0"/>
        <v>0</v>
      </c>
      <c r="X127" s="14">
        <f t="shared" si="1"/>
        <v>0</v>
      </c>
      <c r="Y127" s="14">
        <f t="shared" si="2"/>
        <v>0</v>
      </c>
      <c r="Z127" s="14">
        <f t="shared" si="3"/>
        <v>0</v>
      </c>
      <c r="AA127" s="14">
        <f t="shared" si="4"/>
        <v>0</v>
      </c>
      <c r="AB127" s="14">
        <f t="shared" si="5"/>
        <v>0</v>
      </c>
      <c r="AC127" s="14">
        <f t="shared" si="6"/>
        <v>0</v>
      </c>
      <c r="AD127" s="14" t="str">
        <f t="shared" si="7"/>
        <v/>
      </c>
    </row>
    <row r="128" spans="5:30">
      <c r="E128" s="4"/>
      <c r="F128" s="3" t="s">
        <v>32</v>
      </c>
      <c r="G128" s="5" t="s">
        <v>33</v>
      </c>
      <c r="H128" s="32" t="s">
        <v>33</v>
      </c>
      <c r="I128" s="18"/>
      <c r="J128" s="18"/>
      <c r="K128" s="32" t="s">
        <v>33</v>
      </c>
      <c r="L128" s="18"/>
      <c r="M128" s="5" t="s">
        <v>33</v>
      </c>
      <c r="N128" s="5" t="s">
        <v>33</v>
      </c>
      <c r="O128" s="5" t="s">
        <v>33</v>
      </c>
      <c r="P128" s="5" t="s">
        <v>33</v>
      </c>
      <c r="Q128" s="32" t="s">
        <v>33</v>
      </c>
      <c r="R128" s="18"/>
      <c r="S128" s="5" t="s">
        <v>33</v>
      </c>
      <c r="U128" t="s">
        <v>46</v>
      </c>
      <c r="V128" t="s">
        <v>33</v>
      </c>
      <c r="W128" s="14" t="str">
        <f t="shared" si="0"/>
        <v/>
      </c>
      <c r="X128" s="14" t="str">
        <f t="shared" si="1"/>
        <v/>
      </c>
      <c r="Y128" s="14" t="str">
        <f t="shared" si="2"/>
        <v/>
      </c>
      <c r="Z128" s="14" t="str">
        <f t="shared" si="3"/>
        <v/>
      </c>
      <c r="AA128" s="14" t="str">
        <f t="shared" si="4"/>
        <v/>
      </c>
      <c r="AB128" s="14" t="str">
        <f t="shared" si="5"/>
        <v/>
      </c>
      <c r="AC128" s="14" t="str">
        <f t="shared" si="6"/>
        <v/>
      </c>
      <c r="AD128" s="14" t="str">
        <f t="shared" si="7"/>
        <v>COMNCSN302</v>
      </c>
    </row>
    <row r="129" spans="5:30" ht="21">
      <c r="E129" s="4"/>
      <c r="F129" s="7" t="s">
        <v>35</v>
      </c>
      <c r="G129" s="7" t="s">
        <v>5</v>
      </c>
      <c r="H129" s="30" t="s">
        <v>7</v>
      </c>
      <c r="I129" s="24"/>
      <c r="J129" s="22"/>
      <c r="K129" s="30" t="s">
        <v>9</v>
      </c>
      <c r="L129" s="22"/>
      <c r="M129" s="7" t="s">
        <v>11</v>
      </c>
      <c r="N129" s="7" t="s">
        <v>15</v>
      </c>
      <c r="O129" s="7" t="s">
        <v>17</v>
      </c>
      <c r="P129" s="7" t="s">
        <v>21</v>
      </c>
      <c r="Q129" s="30" t="s">
        <v>23</v>
      </c>
      <c r="R129" s="22"/>
      <c r="S129" s="7" t="s">
        <v>36</v>
      </c>
      <c r="U129" t="s">
        <v>48</v>
      </c>
      <c r="V129">
        <v>149.5</v>
      </c>
      <c r="W129" s="14" t="str">
        <f t="shared" si="0"/>
        <v>BBABMCN301</v>
      </c>
      <c r="X129" s="14" t="str">
        <f t="shared" si="1"/>
        <v>BBABMCN302</v>
      </c>
      <c r="Y129" s="14" t="str">
        <f t="shared" si="2"/>
        <v>BBABMCN303</v>
      </c>
      <c r="Z129" s="14" t="str">
        <f t="shared" si="3"/>
        <v>BBAENLN301</v>
      </c>
      <c r="AA129" s="14" t="str">
        <f t="shared" si="4"/>
        <v>BBAKALN302</v>
      </c>
      <c r="AB129" s="14" t="str">
        <f t="shared" si="5"/>
        <v>BCACAEN302</v>
      </c>
      <c r="AC129" s="14" t="str">
        <f t="shared" si="6"/>
        <v>COMFISN301</v>
      </c>
      <c r="AD129" s="14" t="str">
        <f t="shared" si="7"/>
        <v xml:space="preserve"> - - + - - </v>
      </c>
    </row>
    <row r="130" spans="5:30" ht="22.5">
      <c r="E130" s="6" t="s">
        <v>138</v>
      </c>
      <c r="F130" s="8" t="s">
        <v>39</v>
      </c>
      <c r="G130" s="9" t="s">
        <v>139</v>
      </c>
      <c r="H130" s="23" t="s">
        <v>140</v>
      </c>
      <c r="I130" s="24"/>
      <c r="J130" s="22"/>
      <c r="K130" s="23" t="s">
        <v>141</v>
      </c>
      <c r="L130" s="22"/>
      <c r="M130" s="9" t="s">
        <v>142</v>
      </c>
      <c r="N130" s="9" t="s">
        <v>143</v>
      </c>
      <c r="O130" s="9" t="s">
        <v>144</v>
      </c>
      <c r="P130" s="9" t="s">
        <v>105</v>
      </c>
      <c r="Q130" s="23" t="s">
        <v>43</v>
      </c>
      <c r="R130" s="22"/>
      <c r="S130" s="8" t="s">
        <v>33</v>
      </c>
      <c r="U130" t="s">
        <v>65</v>
      </c>
      <c r="V130">
        <v>432</v>
      </c>
      <c r="W130" s="14" t="str">
        <f t="shared" si="0"/>
        <v>24.00 + 28.00</v>
      </c>
      <c r="X130" s="14" t="str">
        <f t="shared" si="1"/>
        <v>29.00 + 30.00</v>
      </c>
      <c r="Y130" s="14" t="str">
        <f t="shared" si="2"/>
        <v>29.00 + 31.00</v>
      </c>
      <c r="Z130" s="14" t="str">
        <f t="shared" si="3"/>
        <v>43.00 + 31.00</v>
      </c>
      <c r="AA130" s="14" t="str">
        <f t="shared" si="4"/>
        <v>39.00 + 30.00</v>
      </c>
      <c r="AB130" s="14" t="str">
        <f t="shared" si="5"/>
        <v>11.00 + 24.00</v>
      </c>
      <c r="AC130" s="14" t="str">
        <f t="shared" si="6"/>
        <v>21.00 + 16.00</v>
      </c>
      <c r="AD130" s="14" t="str">
        <f t="shared" si="7"/>
        <v xml:space="preserve"> - - +46.00</v>
      </c>
    </row>
    <row r="131" spans="5:30">
      <c r="E131" s="25"/>
      <c r="F131" s="8" t="s">
        <v>42</v>
      </c>
      <c r="G131" s="9" t="s">
        <v>43</v>
      </c>
      <c r="H131" s="23" t="s">
        <v>43</v>
      </c>
      <c r="I131" s="24"/>
      <c r="J131" s="22"/>
      <c r="K131" s="23" t="s">
        <v>43</v>
      </c>
      <c r="L131" s="22"/>
      <c r="M131" s="9" t="s">
        <v>43</v>
      </c>
      <c r="N131" s="9" t="s">
        <v>43</v>
      </c>
      <c r="O131" s="9" t="s">
        <v>43</v>
      </c>
      <c r="P131" s="9" t="s">
        <v>43</v>
      </c>
      <c r="Q131" s="23" t="s">
        <v>146</v>
      </c>
      <c r="R131" s="22"/>
      <c r="S131" s="8" t="s">
        <v>33</v>
      </c>
      <c r="U131" t="s">
        <v>51</v>
      </c>
      <c r="V131">
        <v>700</v>
      </c>
      <c r="W131" s="14" t="str">
        <f t="shared" si="0"/>
        <v xml:space="preserve"> - - + - - </v>
      </c>
      <c r="X131" s="14" t="str">
        <f t="shared" si="1"/>
        <v xml:space="preserve"> - - + - - </v>
      </c>
      <c r="Y131" s="14" t="str">
        <f t="shared" si="2"/>
        <v xml:space="preserve"> - - + - - </v>
      </c>
      <c r="Z131" s="14" t="str">
        <f t="shared" si="3"/>
        <v xml:space="preserve"> - - + - - </v>
      </c>
      <c r="AA131" s="14" t="str">
        <f t="shared" si="4"/>
        <v xml:space="preserve"> - - + - - </v>
      </c>
      <c r="AB131" s="14" t="str">
        <f t="shared" si="5"/>
        <v xml:space="preserve"> - - + - - </v>
      </c>
      <c r="AC131" s="14" t="str">
        <f t="shared" si="6"/>
        <v xml:space="preserve"> - - + - - </v>
      </c>
      <c r="AD131" s="14" t="str">
        <f t="shared" si="7"/>
        <v/>
      </c>
    </row>
    <row r="132" spans="5:30">
      <c r="E132" s="27"/>
      <c r="F132" s="8" t="s">
        <v>44</v>
      </c>
      <c r="G132" s="9" t="s">
        <v>33</v>
      </c>
      <c r="H132" s="23" t="s">
        <v>33</v>
      </c>
      <c r="I132" s="24"/>
      <c r="J132" s="22"/>
      <c r="K132" s="23" t="s">
        <v>33</v>
      </c>
      <c r="L132" s="22"/>
      <c r="M132" s="9" t="s">
        <v>33</v>
      </c>
      <c r="N132" s="9" t="s">
        <v>33</v>
      </c>
      <c r="O132" s="9" t="s">
        <v>33</v>
      </c>
      <c r="P132" s="9" t="s">
        <v>33</v>
      </c>
      <c r="Q132" s="23" t="s">
        <v>33</v>
      </c>
      <c r="R132" s="22"/>
      <c r="S132" s="8">
        <v>0</v>
      </c>
      <c r="U132" t="s">
        <v>66</v>
      </c>
      <c r="V132" t="s">
        <v>33</v>
      </c>
      <c r="W132" s="14" t="str">
        <f t="shared" si="0"/>
        <v/>
      </c>
      <c r="X132" s="14" t="str">
        <f t="shared" si="1"/>
        <v/>
      </c>
      <c r="Y132" s="14" t="str">
        <f t="shared" si="2"/>
        <v/>
      </c>
      <c r="Z132" s="14" t="str">
        <f t="shared" si="3"/>
        <v/>
      </c>
      <c r="AA132" s="14" t="str">
        <f t="shared" si="4"/>
        <v/>
      </c>
      <c r="AB132" s="14" t="str">
        <f t="shared" si="5"/>
        <v/>
      </c>
      <c r="AC132" s="14" t="str">
        <f t="shared" si="6"/>
        <v/>
      </c>
      <c r="AD132" s="14">
        <f t="shared" si="7"/>
        <v>2</v>
      </c>
    </row>
    <row r="133" spans="5:30">
      <c r="E133" s="29"/>
      <c r="F133" s="8" t="s">
        <v>45</v>
      </c>
      <c r="G133" s="9">
        <v>4</v>
      </c>
      <c r="H133" s="23">
        <v>4</v>
      </c>
      <c r="I133" s="24"/>
      <c r="J133" s="22"/>
      <c r="K133" s="23">
        <v>4</v>
      </c>
      <c r="L133" s="22"/>
      <c r="M133" s="9">
        <v>3</v>
      </c>
      <c r="N133" s="9">
        <v>3</v>
      </c>
      <c r="O133" s="9">
        <v>3</v>
      </c>
      <c r="P133" s="9">
        <v>2</v>
      </c>
      <c r="Q133" s="23">
        <v>2</v>
      </c>
      <c r="R133" s="22"/>
      <c r="S133" s="8">
        <v>22</v>
      </c>
      <c r="U133" t="s">
        <v>56</v>
      </c>
      <c r="V133" t="s">
        <v>33</v>
      </c>
      <c r="W133" s="14">
        <f t="shared" si="0"/>
        <v>4</v>
      </c>
      <c r="X133" s="14">
        <f t="shared" si="1"/>
        <v>4</v>
      </c>
      <c r="Y133" s="14">
        <f t="shared" si="2"/>
        <v>4</v>
      </c>
      <c r="Z133" s="14">
        <f t="shared" si="3"/>
        <v>3</v>
      </c>
      <c r="AA133" s="14">
        <f t="shared" si="4"/>
        <v>3</v>
      </c>
      <c r="AB133" s="14">
        <f t="shared" si="5"/>
        <v>3</v>
      </c>
      <c r="AC133" s="14">
        <f t="shared" si="6"/>
        <v>2</v>
      </c>
      <c r="AD133" s="14">
        <f t="shared" si="7"/>
        <v>9.5</v>
      </c>
    </row>
    <row r="134" spans="5:30">
      <c r="E134" s="6"/>
      <c r="F134" s="8" t="s">
        <v>47</v>
      </c>
      <c r="G134" s="9">
        <v>5.5</v>
      </c>
      <c r="H134" s="23">
        <v>6</v>
      </c>
      <c r="I134" s="24"/>
      <c r="J134" s="22"/>
      <c r="K134" s="23">
        <v>6.5</v>
      </c>
      <c r="L134" s="22"/>
      <c r="M134" s="9">
        <v>7.5</v>
      </c>
      <c r="N134" s="9">
        <v>7</v>
      </c>
      <c r="O134" s="9"/>
      <c r="P134" s="9">
        <v>7.5</v>
      </c>
      <c r="Q134" s="23">
        <v>9.5</v>
      </c>
      <c r="R134" s="22"/>
      <c r="S134" s="8" t="s">
        <v>33</v>
      </c>
      <c r="U134" t="s">
        <v>33</v>
      </c>
      <c r="V134" t="s">
        <v>33</v>
      </c>
      <c r="W134" s="14">
        <f t="shared" si="0"/>
        <v>5.5</v>
      </c>
      <c r="X134" s="14">
        <f t="shared" si="1"/>
        <v>6</v>
      </c>
      <c r="Y134" s="14">
        <f t="shared" si="2"/>
        <v>6.5</v>
      </c>
      <c r="Z134" s="14">
        <f t="shared" si="3"/>
        <v>7.5</v>
      </c>
      <c r="AA134" s="14">
        <f t="shared" si="4"/>
        <v>7</v>
      </c>
      <c r="AB134" s="14">
        <f t="shared" si="5"/>
        <v>0</v>
      </c>
      <c r="AC134" s="14">
        <f t="shared" si="6"/>
        <v>7.5</v>
      </c>
      <c r="AD134" s="14">
        <f t="shared" si="7"/>
        <v>19</v>
      </c>
    </row>
    <row r="135" spans="5:30">
      <c r="E135" s="6"/>
      <c r="F135" s="8" t="s">
        <v>49</v>
      </c>
      <c r="G135" s="9">
        <v>22</v>
      </c>
      <c r="H135" s="23">
        <v>24</v>
      </c>
      <c r="I135" s="24"/>
      <c r="J135" s="22"/>
      <c r="K135" s="23">
        <v>26</v>
      </c>
      <c r="L135" s="22"/>
      <c r="M135" s="9">
        <v>22.5</v>
      </c>
      <c r="N135" s="9">
        <v>21</v>
      </c>
      <c r="O135" s="9"/>
      <c r="P135" s="9">
        <v>15</v>
      </c>
      <c r="Q135" s="23">
        <v>19</v>
      </c>
      <c r="R135" s="22"/>
      <c r="S135" s="8">
        <v>149.5</v>
      </c>
      <c r="U135">
        <v>0</v>
      </c>
      <c r="V135">
        <v>0</v>
      </c>
      <c r="W135" s="14">
        <f t="shared" ref="W135:W198" si="8">$G135</f>
        <v>22</v>
      </c>
      <c r="X135" s="14">
        <f t="shared" ref="X135:X198" si="9">$H135</f>
        <v>24</v>
      </c>
      <c r="Y135" s="14">
        <f t="shared" ref="Y135:Y198" si="10">$K135</f>
        <v>26</v>
      </c>
      <c r="Z135" s="14">
        <f t="shared" ref="Z135:Z198" si="11">$M135</f>
        <v>22.5</v>
      </c>
      <c r="AA135" s="14">
        <f t="shared" ref="AA135:AA198" si="12">$N135</f>
        <v>21</v>
      </c>
      <c r="AB135" s="14">
        <f t="shared" ref="AB135:AB198" si="13">$O135</f>
        <v>0</v>
      </c>
      <c r="AC135" s="14">
        <f t="shared" ref="AC135:AC198" si="14">$P135</f>
        <v>15</v>
      </c>
      <c r="AD135" s="14">
        <f t="shared" ref="AD135:AD198" si="15">$Q136</f>
        <v>46</v>
      </c>
    </row>
    <row r="136" spans="5:30">
      <c r="E136" s="4"/>
      <c r="F136" s="8" t="s">
        <v>36</v>
      </c>
      <c r="G136" s="9">
        <v>52</v>
      </c>
      <c r="H136" s="23">
        <v>59</v>
      </c>
      <c r="I136" s="24"/>
      <c r="J136" s="22"/>
      <c r="K136" s="23">
        <v>60</v>
      </c>
      <c r="L136" s="22"/>
      <c r="M136" s="9">
        <v>74</v>
      </c>
      <c r="N136" s="9">
        <v>69</v>
      </c>
      <c r="O136" s="9">
        <v>35</v>
      </c>
      <c r="P136" s="9">
        <v>37</v>
      </c>
      <c r="Q136" s="23">
        <v>46</v>
      </c>
      <c r="R136" s="22"/>
      <c r="S136" s="8">
        <v>432</v>
      </c>
      <c r="U136">
        <v>0</v>
      </c>
      <c r="V136">
        <v>0</v>
      </c>
      <c r="W136" s="14">
        <f t="shared" si="8"/>
        <v>52</v>
      </c>
      <c r="X136" s="14">
        <f t="shared" si="9"/>
        <v>59</v>
      </c>
      <c r="Y136" s="14">
        <f t="shared" si="10"/>
        <v>60</v>
      </c>
      <c r="Z136" s="14">
        <f t="shared" si="11"/>
        <v>74</v>
      </c>
      <c r="AA136" s="14">
        <f t="shared" si="12"/>
        <v>69</v>
      </c>
      <c r="AB136" s="14">
        <f t="shared" si="13"/>
        <v>35</v>
      </c>
      <c r="AC136" s="14">
        <f t="shared" si="14"/>
        <v>37</v>
      </c>
      <c r="AD136" s="14">
        <f t="shared" si="15"/>
        <v>50</v>
      </c>
    </row>
    <row r="137" spans="5:30">
      <c r="E137" s="6"/>
      <c r="F137" s="8" t="s">
        <v>52</v>
      </c>
      <c r="G137" s="9">
        <v>100</v>
      </c>
      <c r="H137" s="23">
        <v>100</v>
      </c>
      <c r="I137" s="24"/>
      <c r="J137" s="22"/>
      <c r="K137" s="23">
        <v>100</v>
      </c>
      <c r="L137" s="22"/>
      <c r="M137" s="9">
        <v>100</v>
      </c>
      <c r="N137" s="9">
        <v>100</v>
      </c>
      <c r="O137" s="9">
        <v>100</v>
      </c>
      <c r="P137" s="9">
        <v>50</v>
      </c>
      <c r="Q137" s="23">
        <v>50</v>
      </c>
      <c r="R137" s="22"/>
      <c r="S137" s="8">
        <v>700</v>
      </c>
      <c r="U137" t="s">
        <v>31</v>
      </c>
      <c r="V137" t="s">
        <v>33</v>
      </c>
      <c r="W137" s="14">
        <f t="shared" si="8"/>
        <v>100</v>
      </c>
      <c r="X137" s="14">
        <f t="shared" si="9"/>
        <v>100</v>
      </c>
      <c r="Y137" s="14">
        <f t="shared" si="10"/>
        <v>100</v>
      </c>
      <c r="Z137" s="14">
        <f t="shared" si="11"/>
        <v>100</v>
      </c>
      <c r="AA137" s="14">
        <f t="shared" si="12"/>
        <v>100</v>
      </c>
      <c r="AB137" s="14">
        <f t="shared" si="13"/>
        <v>100</v>
      </c>
      <c r="AC137" s="14">
        <f t="shared" si="14"/>
        <v>50</v>
      </c>
      <c r="AD137" s="14" t="str">
        <f t="shared" si="15"/>
        <v>OO</v>
      </c>
    </row>
    <row r="138" spans="5:30">
      <c r="E138" s="4"/>
      <c r="F138" s="8" t="s">
        <v>54</v>
      </c>
      <c r="G138" s="9" t="s">
        <v>123</v>
      </c>
      <c r="H138" s="23" t="s">
        <v>147</v>
      </c>
      <c r="I138" s="24"/>
      <c r="J138" s="22"/>
      <c r="K138" s="23" t="s">
        <v>76</v>
      </c>
      <c r="L138" s="22"/>
      <c r="M138" s="9" t="s">
        <v>108</v>
      </c>
      <c r="N138" s="9" t="s">
        <v>109</v>
      </c>
      <c r="O138" s="9"/>
      <c r="P138" s="9" t="s">
        <v>108</v>
      </c>
      <c r="Q138" s="23" t="s">
        <v>94</v>
      </c>
      <c r="R138" s="22"/>
      <c r="S138" s="8" t="s">
        <v>33</v>
      </c>
      <c r="U138" t="s">
        <v>149</v>
      </c>
      <c r="V138" t="s">
        <v>36</v>
      </c>
      <c r="W138" s="14" t="str">
        <f t="shared" si="8"/>
        <v>BB</v>
      </c>
      <c r="X138" s="14" t="str">
        <f t="shared" si="9"/>
        <v>BB+</v>
      </c>
      <c r="Y138" s="14" t="str">
        <f t="shared" si="10"/>
        <v>AB</v>
      </c>
      <c r="Z138" s="14" t="str">
        <f t="shared" si="11"/>
        <v>AA</v>
      </c>
      <c r="AA138" s="14" t="str">
        <f t="shared" si="12"/>
        <v>AB+</v>
      </c>
      <c r="AB138" s="14">
        <f t="shared" si="13"/>
        <v>0</v>
      </c>
      <c r="AC138" s="14" t="str">
        <f t="shared" si="14"/>
        <v>AA</v>
      </c>
      <c r="AD138" s="14" t="str">
        <f t="shared" si="15"/>
        <v>Pass</v>
      </c>
    </row>
    <row r="139" spans="5:30">
      <c r="E139" s="11" t="s">
        <v>148</v>
      </c>
      <c r="F139" s="8" t="s">
        <v>58</v>
      </c>
      <c r="G139" s="9" t="s">
        <v>59</v>
      </c>
      <c r="H139" s="23" t="s">
        <v>59</v>
      </c>
      <c r="I139" s="24"/>
      <c r="J139" s="22"/>
      <c r="K139" s="23" t="s">
        <v>59</v>
      </c>
      <c r="L139" s="22"/>
      <c r="M139" s="9" t="s">
        <v>59</v>
      </c>
      <c r="N139" s="9" t="s">
        <v>59</v>
      </c>
      <c r="O139" s="9" t="s">
        <v>68</v>
      </c>
      <c r="P139" s="9" t="s">
        <v>59</v>
      </c>
      <c r="Q139" s="23" t="s">
        <v>59</v>
      </c>
      <c r="R139" s="22"/>
      <c r="S139" s="8" t="s">
        <v>33</v>
      </c>
      <c r="U139" t="s">
        <v>37</v>
      </c>
      <c r="V139" t="s">
        <v>33</v>
      </c>
      <c r="W139" s="14" t="str">
        <f t="shared" si="8"/>
        <v>Pass</v>
      </c>
      <c r="X139" s="14" t="str">
        <f t="shared" si="9"/>
        <v>Pass</v>
      </c>
      <c r="Y139" s="14" t="str">
        <f t="shared" si="10"/>
        <v>Pass</v>
      </c>
      <c r="Z139" s="14" t="str">
        <f t="shared" si="11"/>
        <v>Pass</v>
      </c>
      <c r="AA139" s="14" t="str">
        <f t="shared" si="12"/>
        <v>Pass</v>
      </c>
      <c r="AB139" s="14" t="str">
        <f t="shared" si="13"/>
        <v>Fail</v>
      </c>
      <c r="AC139" s="14" t="str">
        <f t="shared" si="14"/>
        <v>Pass</v>
      </c>
      <c r="AD139" s="14" t="str">
        <f t="shared" si="15"/>
        <v/>
      </c>
    </row>
    <row r="140" spans="5:30">
      <c r="E140" s="12" t="s">
        <v>33</v>
      </c>
      <c r="F140" s="12" t="s">
        <v>33</v>
      </c>
      <c r="G140" s="13" t="s">
        <v>33</v>
      </c>
      <c r="H140" s="20" t="s">
        <v>33</v>
      </c>
      <c r="I140" s="18"/>
      <c r="J140" s="18"/>
      <c r="K140" s="20" t="s">
        <v>33</v>
      </c>
      <c r="L140" s="18"/>
      <c r="M140" s="13" t="s">
        <v>33</v>
      </c>
      <c r="N140" s="13" t="s">
        <v>33</v>
      </c>
      <c r="O140" s="13" t="s">
        <v>33</v>
      </c>
      <c r="P140" s="13" t="s">
        <v>33</v>
      </c>
      <c r="Q140" s="20" t="s">
        <v>33</v>
      </c>
      <c r="R140" s="18"/>
      <c r="S140" s="13" t="s">
        <v>33</v>
      </c>
      <c r="U140" t="s">
        <v>158</v>
      </c>
      <c r="V140" t="s">
        <v>33</v>
      </c>
      <c r="W140" s="14" t="str">
        <f t="shared" si="8"/>
        <v/>
      </c>
      <c r="X140" s="14" t="str">
        <f t="shared" si="9"/>
        <v/>
      </c>
      <c r="Y140" s="14" t="str">
        <f t="shared" si="10"/>
        <v/>
      </c>
      <c r="Z140" s="14" t="str">
        <f t="shared" si="11"/>
        <v/>
      </c>
      <c r="AA140" s="14" t="str">
        <f t="shared" si="12"/>
        <v/>
      </c>
      <c r="AB140" s="14" t="str">
        <f t="shared" si="13"/>
        <v/>
      </c>
      <c r="AC140" s="14" t="str">
        <f t="shared" si="14"/>
        <v/>
      </c>
      <c r="AD140" s="14">
        <f t="shared" si="15"/>
        <v>0</v>
      </c>
    </row>
    <row r="141" spans="5:30" ht="0" hidden="1" customHeight="1">
      <c r="U141">
        <v>0</v>
      </c>
      <c r="V141">
        <v>0</v>
      </c>
      <c r="W141" s="14">
        <f t="shared" si="8"/>
        <v>0</v>
      </c>
      <c r="X141" s="14">
        <f t="shared" si="9"/>
        <v>0</v>
      </c>
      <c r="Y141" s="14">
        <f t="shared" si="10"/>
        <v>0</v>
      </c>
      <c r="Z141" s="14">
        <f t="shared" si="11"/>
        <v>0</v>
      </c>
      <c r="AA141" s="14">
        <f t="shared" si="12"/>
        <v>0</v>
      </c>
      <c r="AB141" s="14">
        <f t="shared" si="13"/>
        <v>0</v>
      </c>
      <c r="AC141" s="14">
        <f t="shared" si="14"/>
        <v>0</v>
      </c>
      <c r="AD141" s="14">
        <f t="shared" si="15"/>
        <v>0</v>
      </c>
    </row>
    <row r="142" spans="5:30" ht="0.6" customHeight="1">
      <c r="U142">
        <v>0</v>
      </c>
      <c r="V142">
        <v>25</v>
      </c>
      <c r="W142" s="14">
        <f t="shared" si="8"/>
        <v>0</v>
      </c>
      <c r="X142" s="14">
        <f t="shared" si="9"/>
        <v>0</v>
      </c>
      <c r="Y142" s="14">
        <f t="shared" si="10"/>
        <v>0</v>
      </c>
      <c r="Z142" s="14">
        <f t="shared" si="11"/>
        <v>0</v>
      </c>
      <c r="AA142" s="14">
        <f t="shared" si="12"/>
        <v>0</v>
      </c>
      <c r="AB142" s="14">
        <f t="shared" si="13"/>
        <v>0</v>
      </c>
      <c r="AC142" s="14">
        <f t="shared" si="14"/>
        <v>0</v>
      </c>
      <c r="AD142" s="14" t="str">
        <f t="shared" si="15"/>
        <v/>
      </c>
    </row>
    <row r="143" spans="5:30">
      <c r="E143" s="4"/>
      <c r="F143" s="3" t="s">
        <v>32</v>
      </c>
      <c r="G143" s="5" t="s">
        <v>33</v>
      </c>
      <c r="H143" s="32" t="s">
        <v>33</v>
      </c>
      <c r="I143" s="18"/>
      <c r="J143" s="18"/>
      <c r="K143" s="32" t="s">
        <v>33</v>
      </c>
      <c r="L143" s="18"/>
      <c r="M143" s="5" t="s">
        <v>33</v>
      </c>
      <c r="N143" s="5" t="s">
        <v>33</v>
      </c>
      <c r="O143" s="5" t="s">
        <v>33</v>
      </c>
      <c r="P143" s="5" t="s">
        <v>33</v>
      </c>
      <c r="Q143" s="32" t="s">
        <v>33</v>
      </c>
      <c r="R143" s="18"/>
      <c r="S143" s="5" t="s">
        <v>33</v>
      </c>
      <c r="U143" t="s">
        <v>46</v>
      </c>
      <c r="V143" t="s">
        <v>33</v>
      </c>
      <c r="W143" s="14" t="str">
        <f t="shared" si="8"/>
        <v/>
      </c>
      <c r="X143" s="14" t="str">
        <f t="shared" si="9"/>
        <v/>
      </c>
      <c r="Y143" s="14" t="str">
        <f t="shared" si="10"/>
        <v/>
      </c>
      <c r="Z143" s="14" t="str">
        <f t="shared" si="11"/>
        <v/>
      </c>
      <c r="AA143" s="14" t="str">
        <f t="shared" si="12"/>
        <v/>
      </c>
      <c r="AB143" s="14" t="str">
        <f t="shared" si="13"/>
        <v/>
      </c>
      <c r="AC143" s="14" t="str">
        <f t="shared" si="14"/>
        <v/>
      </c>
      <c r="AD143" s="14" t="str">
        <f t="shared" si="15"/>
        <v>COMNCSN302</v>
      </c>
    </row>
    <row r="144" spans="5:30" ht="21">
      <c r="E144" s="4"/>
      <c r="F144" s="7" t="s">
        <v>35</v>
      </c>
      <c r="G144" s="7" t="s">
        <v>5</v>
      </c>
      <c r="H144" s="30" t="s">
        <v>7</v>
      </c>
      <c r="I144" s="24"/>
      <c r="J144" s="22"/>
      <c r="K144" s="30" t="s">
        <v>9</v>
      </c>
      <c r="L144" s="22"/>
      <c r="M144" s="7" t="s">
        <v>11</v>
      </c>
      <c r="N144" s="7" t="s">
        <v>15</v>
      </c>
      <c r="O144" s="7" t="s">
        <v>17</v>
      </c>
      <c r="P144" s="7" t="s">
        <v>21</v>
      </c>
      <c r="Q144" s="30" t="s">
        <v>23</v>
      </c>
      <c r="R144" s="22"/>
      <c r="S144" s="7" t="s">
        <v>36</v>
      </c>
      <c r="U144" t="s">
        <v>48</v>
      </c>
      <c r="V144">
        <v>207.5</v>
      </c>
      <c r="W144" s="14" t="str">
        <f t="shared" si="8"/>
        <v>BBABMCN301</v>
      </c>
      <c r="X144" s="14" t="str">
        <f t="shared" si="9"/>
        <v>BBABMCN302</v>
      </c>
      <c r="Y144" s="14" t="str">
        <f t="shared" si="10"/>
        <v>BBABMCN303</v>
      </c>
      <c r="Z144" s="14" t="str">
        <f t="shared" si="11"/>
        <v>BBAENLN301</v>
      </c>
      <c r="AA144" s="14" t="str">
        <f t="shared" si="12"/>
        <v>BBAKALN302</v>
      </c>
      <c r="AB144" s="14" t="str">
        <f t="shared" si="13"/>
        <v>BCACAEN302</v>
      </c>
      <c r="AC144" s="14" t="str">
        <f t="shared" si="14"/>
        <v>COMFISN301</v>
      </c>
      <c r="AD144" s="14" t="str">
        <f t="shared" si="15"/>
        <v xml:space="preserve"> - - + - - </v>
      </c>
    </row>
    <row r="145" spans="5:30" ht="22.5">
      <c r="E145" s="6" t="s">
        <v>150</v>
      </c>
      <c r="F145" s="8" t="s">
        <v>39</v>
      </c>
      <c r="G145" s="9" t="s">
        <v>151</v>
      </c>
      <c r="H145" s="23" t="s">
        <v>152</v>
      </c>
      <c r="I145" s="24"/>
      <c r="J145" s="22"/>
      <c r="K145" s="23" t="s">
        <v>153</v>
      </c>
      <c r="L145" s="22"/>
      <c r="M145" s="9" t="s">
        <v>154</v>
      </c>
      <c r="N145" s="9" t="s">
        <v>155</v>
      </c>
      <c r="O145" s="9" t="s">
        <v>156</v>
      </c>
      <c r="P145" s="9" t="s">
        <v>157</v>
      </c>
      <c r="Q145" s="23" t="s">
        <v>43</v>
      </c>
      <c r="R145" s="22"/>
      <c r="S145" s="8" t="s">
        <v>33</v>
      </c>
      <c r="U145" t="s">
        <v>50</v>
      </c>
      <c r="V145">
        <v>557</v>
      </c>
      <c r="W145" s="14" t="str">
        <f t="shared" si="8"/>
        <v>45.00 + 28.00</v>
      </c>
      <c r="X145" s="14" t="str">
        <f t="shared" si="9"/>
        <v>41.00 + 34.00</v>
      </c>
      <c r="Y145" s="14" t="str">
        <f t="shared" si="10"/>
        <v>54.00 + 34.00</v>
      </c>
      <c r="Z145" s="14" t="str">
        <f t="shared" si="11"/>
        <v>41.00 + 33.00</v>
      </c>
      <c r="AA145" s="14" t="str">
        <f t="shared" si="12"/>
        <v>50.00 + 36.00</v>
      </c>
      <c r="AB145" s="14" t="str">
        <f t="shared" si="13"/>
        <v>35.00 + 31.00</v>
      </c>
      <c r="AC145" s="14" t="str">
        <f t="shared" si="14"/>
        <v>25.00 + 20.00</v>
      </c>
      <c r="AD145" s="14" t="str">
        <f t="shared" si="15"/>
        <v xml:space="preserve"> - - +50.00</v>
      </c>
    </row>
    <row r="146" spans="5:30">
      <c r="E146" s="25"/>
      <c r="F146" s="8" t="s">
        <v>42</v>
      </c>
      <c r="G146" s="9" t="s">
        <v>43</v>
      </c>
      <c r="H146" s="23" t="s">
        <v>43</v>
      </c>
      <c r="I146" s="24"/>
      <c r="J146" s="22"/>
      <c r="K146" s="23" t="s">
        <v>43</v>
      </c>
      <c r="L146" s="22"/>
      <c r="M146" s="9" t="s">
        <v>43</v>
      </c>
      <c r="N146" s="9" t="s">
        <v>43</v>
      </c>
      <c r="O146" s="9" t="s">
        <v>43</v>
      </c>
      <c r="P146" s="9" t="s">
        <v>43</v>
      </c>
      <c r="Q146" s="23" t="s">
        <v>91</v>
      </c>
      <c r="R146" s="22"/>
      <c r="S146" s="8" t="s">
        <v>33</v>
      </c>
      <c r="U146" t="s">
        <v>51</v>
      </c>
      <c r="V146">
        <v>700</v>
      </c>
      <c r="W146" s="14" t="str">
        <f t="shared" si="8"/>
        <v xml:space="preserve"> - - + - - </v>
      </c>
      <c r="X146" s="14" t="str">
        <f t="shared" si="9"/>
        <v xml:space="preserve"> - - + - - </v>
      </c>
      <c r="Y146" s="14" t="str">
        <f t="shared" si="10"/>
        <v xml:space="preserve"> - - + - - </v>
      </c>
      <c r="Z146" s="14" t="str">
        <f t="shared" si="11"/>
        <v xml:space="preserve"> - - + - - </v>
      </c>
      <c r="AA146" s="14" t="str">
        <f t="shared" si="12"/>
        <v xml:space="preserve"> - - + - - </v>
      </c>
      <c r="AB146" s="14" t="str">
        <f t="shared" si="13"/>
        <v xml:space="preserve"> - - + - - </v>
      </c>
      <c r="AC146" s="14" t="str">
        <f t="shared" si="14"/>
        <v xml:space="preserve"> - - + - - </v>
      </c>
      <c r="AD146" s="14" t="str">
        <f t="shared" si="15"/>
        <v/>
      </c>
    </row>
    <row r="147" spans="5:30">
      <c r="E147" s="27"/>
      <c r="F147" s="8" t="s">
        <v>44</v>
      </c>
      <c r="G147" s="9" t="s">
        <v>33</v>
      </c>
      <c r="H147" s="23" t="s">
        <v>33</v>
      </c>
      <c r="I147" s="24"/>
      <c r="J147" s="22"/>
      <c r="K147" s="23" t="s">
        <v>33</v>
      </c>
      <c r="L147" s="22"/>
      <c r="M147" s="9" t="s">
        <v>33</v>
      </c>
      <c r="N147" s="9" t="s">
        <v>33</v>
      </c>
      <c r="O147" s="9" t="s">
        <v>33</v>
      </c>
      <c r="P147" s="9" t="s">
        <v>33</v>
      </c>
      <c r="Q147" s="23" t="s">
        <v>33</v>
      </c>
      <c r="R147" s="22"/>
      <c r="S147" s="8">
        <v>0</v>
      </c>
      <c r="U147" t="s">
        <v>159</v>
      </c>
      <c r="V147" t="s">
        <v>33</v>
      </c>
      <c r="W147" s="14" t="str">
        <f t="shared" si="8"/>
        <v/>
      </c>
      <c r="X147" s="14" t="str">
        <f t="shared" si="9"/>
        <v/>
      </c>
      <c r="Y147" s="14" t="str">
        <f t="shared" si="10"/>
        <v/>
      </c>
      <c r="Z147" s="14" t="str">
        <f t="shared" si="11"/>
        <v/>
      </c>
      <c r="AA147" s="14" t="str">
        <f t="shared" si="12"/>
        <v/>
      </c>
      <c r="AB147" s="14" t="str">
        <f t="shared" si="13"/>
        <v/>
      </c>
      <c r="AC147" s="14" t="str">
        <f t="shared" si="14"/>
        <v/>
      </c>
      <c r="AD147" s="14">
        <f t="shared" si="15"/>
        <v>2</v>
      </c>
    </row>
    <row r="148" spans="5:30">
      <c r="E148" s="29"/>
      <c r="F148" s="8" t="s">
        <v>45</v>
      </c>
      <c r="G148" s="9">
        <v>4</v>
      </c>
      <c r="H148" s="23">
        <v>4</v>
      </c>
      <c r="I148" s="24"/>
      <c r="J148" s="22"/>
      <c r="K148" s="23">
        <v>4</v>
      </c>
      <c r="L148" s="22"/>
      <c r="M148" s="9">
        <v>3</v>
      </c>
      <c r="N148" s="9">
        <v>3</v>
      </c>
      <c r="O148" s="9">
        <v>3</v>
      </c>
      <c r="P148" s="9">
        <v>2</v>
      </c>
      <c r="Q148" s="23">
        <v>2</v>
      </c>
      <c r="R148" s="22"/>
      <c r="S148" s="8">
        <v>25</v>
      </c>
      <c r="U148" t="s">
        <v>56</v>
      </c>
      <c r="V148" t="s">
        <v>33</v>
      </c>
      <c r="W148" s="14">
        <f t="shared" si="8"/>
        <v>4</v>
      </c>
      <c r="X148" s="14">
        <f t="shared" si="9"/>
        <v>4</v>
      </c>
      <c r="Y148" s="14">
        <f t="shared" si="10"/>
        <v>4</v>
      </c>
      <c r="Z148" s="14">
        <f t="shared" si="11"/>
        <v>3</v>
      </c>
      <c r="AA148" s="14">
        <f t="shared" si="12"/>
        <v>3</v>
      </c>
      <c r="AB148" s="14">
        <f t="shared" si="13"/>
        <v>3</v>
      </c>
      <c r="AC148" s="14">
        <f t="shared" si="14"/>
        <v>2</v>
      </c>
      <c r="AD148" s="14">
        <f t="shared" si="15"/>
        <v>10</v>
      </c>
    </row>
    <row r="149" spans="5:30">
      <c r="E149" s="6">
        <v>8.3000000000000007</v>
      </c>
      <c r="F149" s="8" t="s">
        <v>47</v>
      </c>
      <c r="G149" s="9">
        <v>7.5</v>
      </c>
      <c r="H149" s="23">
        <v>8</v>
      </c>
      <c r="I149" s="24"/>
      <c r="J149" s="22"/>
      <c r="K149" s="23">
        <v>9</v>
      </c>
      <c r="L149" s="22"/>
      <c r="M149" s="9">
        <v>7.5</v>
      </c>
      <c r="N149" s="9">
        <v>9</v>
      </c>
      <c r="O149" s="9">
        <v>7</v>
      </c>
      <c r="P149" s="9">
        <v>9.5</v>
      </c>
      <c r="Q149" s="23">
        <v>10</v>
      </c>
      <c r="R149" s="22"/>
      <c r="S149" s="8" t="s">
        <v>33</v>
      </c>
      <c r="U149" t="s">
        <v>33</v>
      </c>
      <c r="V149" t="s">
        <v>33</v>
      </c>
      <c r="W149" s="14">
        <f t="shared" si="8"/>
        <v>7.5</v>
      </c>
      <c r="X149" s="14">
        <f t="shared" si="9"/>
        <v>8</v>
      </c>
      <c r="Y149" s="14">
        <f t="shared" si="10"/>
        <v>9</v>
      </c>
      <c r="Z149" s="14">
        <f t="shared" si="11"/>
        <v>7.5</v>
      </c>
      <c r="AA149" s="14">
        <f t="shared" si="12"/>
        <v>9</v>
      </c>
      <c r="AB149" s="14">
        <f t="shared" si="13"/>
        <v>7</v>
      </c>
      <c r="AC149" s="14">
        <f t="shared" si="14"/>
        <v>9.5</v>
      </c>
      <c r="AD149" s="14">
        <f t="shared" si="15"/>
        <v>20</v>
      </c>
    </row>
    <row r="150" spans="5:30">
      <c r="E150" s="10">
        <v>7.84</v>
      </c>
      <c r="F150" s="8" t="s">
        <v>49</v>
      </c>
      <c r="G150" s="9">
        <v>30</v>
      </c>
      <c r="H150" s="23">
        <v>32</v>
      </c>
      <c r="I150" s="24"/>
      <c r="J150" s="22"/>
      <c r="K150" s="23">
        <v>36</v>
      </c>
      <c r="L150" s="22"/>
      <c r="M150" s="9">
        <v>22.5</v>
      </c>
      <c r="N150" s="9">
        <v>27</v>
      </c>
      <c r="O150" s="9">
        <v>21</v>
      </c>
      <c r="P150" s="9">
        <v>19</v>
      </c>
      <c r="Q150" s="23">
        <v>20</v>
      </c>
      <c r="R150" s="22"/>
      <c r="S150" s="8">
        <v>207.5</v>
      </c>
      <c r="U150">
        <v>0</v>
      </c>
      <c r="V150">
        <v>0</v>
      </c>
      <c r="W150" s="14">
        <f t="shared" si="8"/>
        <v>30</v>
      </c>
      <c r="X150" s="14">
        <f t="shared" si="9"/>
        <v>32</v>
      </c>
      <c r="Y150" s="14">
        <f t="shared" si="10"/>
        <v>36</v>
      </c>
      <c r="Z150" s="14">
        <f t="shared" si="11"/>
        <v>22.5</v>
      </c>
      <c r="AA150" s="14">
        <f t="shared" si="12"/>
        <v>27</v>
      </c>
      <c r="AB150" s="14">
        <f t="shared" si="13"/>
        <v>21</v>
      </c>
      <c r="AC150" s="14">
        <f t="shared" si="14"/>
        <v>19</v>
      </c>
      <c r="AD150" s="14">
        <f t="shared" si="15"/>
        <v>50</v>
      </c>
    </row>
    <row r="151" spans="5:30">
      <c r="E151" s="4"/>
      <c r="F151" s="8" t="s">
        <v>36</v>
      </c>
      <c r="G151" s="9">
        <v>73</v>
      </c>
      <c r="H151" s="23">
        <v>75</v>
      </c>
      <c r="I151" s="24"/>
      <c r="J151" s="22"/>
      <c r="K151" s="23">
        <v>88</v>
      </c>
      <c r="L151" s="22"/>
      <c r="M151" s="9">
        <v>74</v>
      </c>
      <c r="N151" s="9">
        <v>86</v>
      </c>
      <c r="O151" s="9">
        <v>66</v>
      </c>
      <c r="P151" s="9">
        <v>45</v>
      </c>
      <c r="Q151" s="23">
        <v>50</v>
      </c>
      <c r="R151" s="22"/>
      <c r="S151" s="8">
        <v>557</v>
      </c>
      <c r="U151">
        <v>0</v>
      </c>
      <c r="V151">
        <v>0</v>
      </c>
      <c r="W151" s="14">
        <f t="shared" si="8"/>
        <v>73</v>
      </c>
      <c r="X151" s="14">
        <f t="shared" si="9"/>
        <v>75</v>
      </c>
      <c r="Y151" s="14">
        <f t="shared" si="10"/>
        <v>88</v>
      </c>
      <c r="Z151" s="14">
        <f t="shared" si="11"/>
        <v>74</v>
      </c>
      <c r="AA151" s="14">
        <f t="shared" si="12"/>
        <v>86</v>
      </c>
      <c r="AB151" s="14">
        <f t="shared" si="13"/>
        <v>66</v>
      </c>
      <c r="AC151" s="14">
        <f t="shared" si="14"/>
        <v>45</v>
      </c>
      <c r="AD151" s="14">
        <f t="shared" si="15"/>
        <v>50</v>
      </c>
    </row>
    <row r="152" spans="5:30">
      <c r="E152" s="6"/>
      <c r="F152" s="8" t="s">
        <v>52</v>
      </c>
      <c r="G152" s="9">
        <v>100</v>
      </c>
      <c r="H152" s="23">
        <v>100</v>
      </c>
      <c r="I152" s="24"/>
      <c r="J152" s="22"/>
      <c r="K152" s="23">
        <v>100</v>
      </c>
      <c r="L152" s="22"/>
      <c r="M152" s="9">
        <v>100</v>
      </c>
      <c r="N152" s="9">
        <v>100</v>
      </c>
      <c r="O152" s="9">
        <v>100</v>
      </c>
      <c r="P152" s="9">
        <v>50</v>
      </c>
      <c r="Q152" s="23">
        <v>50</v>
      </c>
      <c r="R152" s="22"/>
      <c r="S152" s="8">
        <v>700</v>
      </c>
      <c r="U152" t="s">
        <v>31</v>
      </c>
      <c r="V152" t="s">
        <v>33</v>
      </c>
      <c r="W152" s="14">
        <f t="shared" si="8"/>
        <v>100</v>
      </c>
      <c r="X152" s="14">
        <f t="shared" si="9"/>
        <v>100</v>
      </c>
      <c r="Y152" s="14">
        <f t="shared" si="10"/>
        <v>100</v>
      </c>
      <c r="Z152" s="14">
        <f t="shared" si="11"/>
        <v>100</v>
      </c>
      <c r="AA152" s="14">
        <f t="shared" si="12"/>
        <v>100</v>
      </c>
      <c r="AB152" s="14">
        <f t="shared" si="13"/>
        <v>100</v>
      </c>
      <c r="AC152" s="14">
        <f t="shared" si="14"/>
        <v>50</v>
      </c>
      <c r="AD152" s="14" t="str">
        <f t="shared" si="15"/>
        <v>OO+</v>
      </c>
    </row>
    <row r="153" spans="5:30">
      <c r="E153" s="4"/>
      <c r="F153" s="8" t="s">
        <v>54</v>
      </c>
      <c r="G153" s="9" t="s">
        <v>108</v>
      </c>
      <c r="H153" s="23" t="s">
        <v>135</v>
      </c>
      <c r="I153" s="24"/>
      <c r="J153" s="22"/>
      <c r="K153" s="23" t="s">
        <v>122</v>
      </c>
      <c r="L153" s="22"/>
      <c r="M153" s="9" t="s">
        <v>108</v>
      </c>
      <c r="N153" s="9" t="s">
        <v>122</v>
      </c>
      <c r="O153" s="9" t="s">
        <v>109</v>
      </c>
      <c r="P153" s="9" t="s">
        <v>94</v>
      </c>
      <c r="Q153" s="23" t="s">
        <v>93</v>
      </c>
      <c r="R153" s="22"/>
      <c r="S153" s="8" t="s">
        <v>33</v>
      </c>
      <c r="U153" t="s">
        <v>161</v>
      </c>
      <c r="V153" t="s">
        <v>36</v>
      </c>
      <c r="W153" s="14" t="str">
        <f t="shared" si="8"/>
        <v>AA</v>
      </c>
      <c r="X153" s="14" t="str">
        <f t="shared" si="9"/>
        <v>AA+</v>
      </c>
      <c r="Y153" s="14" t="str">
        <f t="shared" si="10"/>
        <v>OA+</v>
      </c>
      <c r="Z153" s="14" t="str">
        <f t="shared" si="11"/>
        <v>AA</v>
      </c>
      <c r="AA153" s="14" t="str">
        <f t="shared" si="12"/>
        <v>OA+</v>
      </c>
      <c r="AB153" s="14" t="str">
        <f t="shared" si="13"/>
        <v>AB+</v>
      </c>
      <c r="AC153" s="14" t="str">
        <f t="shared" si="14"/>
        <v>OO</v>
      </c>
      <c r="AD153" s="14" t="str">
        <f t="shared" si="15"/>
        <v>Pass</v>
      </c>
    </row>
    <row r="154" spans="5:30">
      <c r="E154" s="11" t="s">
        <v>160</v>
      </c>
      <c r="F154" s="8" t="s">
        <v>58</v>
      </c>
      <c r="G154" s="9" t="s">
        <v>59</v>
      </c>
      <c r="H154" s="23" t="s">
        <v>59</v>
      </c>
      <c r="I154" s="24"/>
      <c r="J154" s="22"/>
      <c r="K154" s="23" t="s">
        <v>59</v>
      </c>
      <c r="L154" s="22"/>
      <c r="M154" s="9" t="s">
        <v>59</v>
      </c>
      <c r="N154" s="9" t="s">
        <v>59</v>
      </c>
      <c r="O154" s="9" t="s">
        <v>59</v>
      </c>
      <c r="P154" s="9" t="s">
        <v>59</v>
      </c>
      <c r="Q154" s="23" t="s">
        <v>59</v>
      </c>
      <c r="R154" s="22"/>
      <c r="S154" s="8" t="s">
        <v>33</v>
      </c>
      <c r="U154" t="s">
        <v>37</v>
      </c>
      <c r="V154" t="s">
        <v>33</v>
      </c>
      <c r="W154" s="14" t="str">
        <f t="shared" si="8"/>
        <v>Pass</v>
      </c>
      <c r="X154" s="14" t="str">
        <f t="shared" si="9"/>
        <v>Pass</v>
      </c>
      <c r="Y154" s="14" t="str">
        <f t="shared" si="10"/>
        <v>Pass</v>
      </c>
      <c r="Z154" s="14" t="str">
        <f t="shared" si="11"/>
        <v>Pass</v>
      </c>
      <c r="AA154" s="14" t="str">
        <f t="shared" si="12"/>
        <v>Pass</v>
      </c>
      <c r="AB154" s="14" t="str">
        <f t="shared" si="13"/>
        <v>Pass</v>
      </c>
      <c r="AC154" s="14" t="str">
        <f t="shared" si="14"/>
        <v>Pass</v>
      </c>
      <c r="AD154" s="14" t="str">
        <f t="shared" si="15"/>
        <v/>
      </c>
    </row>
    <row r="155" spans="5:30">
      <c r="E155" s="12" t="s">
        <v>33</v>
      </c>
      <c r="F155" s="12" t="s">
        <v>33</v>
      </c>
      <c r="G155" s="13" t="s">
        <v>33</v>
      </c>
      <c r="H155" s="20" t="s">
        <v>33</v>
      </c>
      <c r="I155" s="18"/>
      <c r="J155" s="18"/>
      <c r="K155" s="20" t="s">
        <v>33</v>
      </c>
      <c r="L155" s="18"/>
      <c r="M155" s="13" t="s">
        <v>33</v>
      </c>
      <c r="N155" s="13" t="s">
        <v>33</v>
      </c>
      <c r="O155" s="13" t="s">
        <v>33</v>
      </c>
      <c r="P155" s="13" t="s">
        <v>33</v>
      </c>
      <c r="Q155" s="20" t="s">
        <v>33</v>
      </c>
      <c r="R155" s="18"/>
      <c r="S155" s="13" t="s">
        <v>33</v>
      </c>
      <c r="U155" t="s">
        <v>169</v>
      </c>
      <c r="V155" t="s">
        <v>33</v>
      </c>
      <c r="W155" s="14" t="str">
        <f t="shared" si="8"/>
        <v/>
      </c>
      <c r="X155" s="14" t="str">
        <f t="shared" si="9"/>
        <v/>
      </c>
      <c r="Y155" s="14" t="str">
        <f t="shared" si="10"/>
        <v/>
      </c>
      <c r="Z155" s="14" t="str">
        <f t="shared" si="11"/>
        <v/>
      </c>
      <c r="AA155" s="14" t="str">
        <f t="shared" si="12"/>
        <v/>
      </c>
      <c r="AB155" s="14" t="str">
        <f t="shared" si="13"/>
        <v/>
      </c>
      <c r="AC155" s="14" t="str">
        <f t="shared" si="14"/>
        <v/>
      </c>
      <c r="AD155" s="14">
        <f t="shared" si="15"/>
        <v>0</v>
      </c>
    </row>
    <row r="156" spans="5:30" ht="0" hidden="1" customHeight="1">
      <c r="U156">
        <v>0</v>
      </c>
      <c r="V156">
        <v>0</v>
      </c>
      <c r="W156" s="14">
        <f t="shared" si="8"/>
        <v>0</v>
      </c>
      <c r="X156" s="14">
        <f t="shared" si="9"/>
        <v>0</v>
      </c>
      <c r="Y156" s="14">
        <f t="shared" si="10"/>
        <v>0</v>
      </c>
      <c r="Z156" s="14">
        <f t="shared" si="11"/>
        <v>0</v>
      </c>
      <c r="AA156" s="14">
        <f t="shared" si="12"/>
        <v>0</v>
      </c>
      <c r="AB156" s="14">
        <f t="shared" si="13"/>
        <v>0</v>
      </c>
      <c r="AC156" s="14">
        <f t="shared" si="14"/>
        <v>0</v>
      </c>
      <c r="AD156" s="14">
        <f t="shared" si="15"/>
        <v>0</v>
      </c>
    </row>
    <row r="157" spans="5:30" ht="0.6" customHeight="1">
      <c r="U157">
        <v>0</v>
      </c>
      <c r="V157">
        <v>25</v>
      </c>
      <c r="W157" s="14">
        <f t="shared" si="8"/>
        <v>0</v>
      </c>
      <c r="X157" s="14">
        <f t="shared" si="9"/>
        <v>0</v>
      </c>
      <c r="Y157" s="14">
        <f t="shared" si="10"/>
        <v>0</v>
      </c>
      <c r="Z157" s="14">
        <f t="shared" si="11"/>
        <v>0</v>
      </c>
      <c r="AA157" s="14">
        <f t="shared" si="12"/>
        <v>0</v>
      </c>
      <c r="AB157" s="14">
        <f t="shared" si="13"/>
        <v>0</v>
      </c>
      <c r="AC157" s="14">
        <f t="shared" si="14"/>
        <v>0</v>
      </c>
      <c r="AD157" s="14" t="str">
        <f t="shared" si="15"/>
        <v/>
      </c>
    </row>
    <row r="158" spans="5:30">
      <c r="E158" s="4"/>
      <c r="F158" s="3" t="s">
        <v>32</v>
      </c>
      <c r="G158" s="5" t="s">
        <v>33</v>
      </c>
      <c r="H158" s="32" t="s">
        <v>33</v>
      </c>
      <c r="I158" s="18"/>
      <c r="J158" s="18"/>
      <c r="K158" s="32" t="s">
        <v>33</v>
      </c>
      <c r="L158" s="18"/>
      <c r="M158" s="5" t="s">
        <v>33</v>
      </c>
      <c r="N158" s="5" t="s">
        <v>33</v>
      </c>
      <c r="O158" s="5" t="s">
        <v>33</v>
      </c>
      <c r="P158" s="5" t="s">
        <v>33</v>
      </c>
      <c r="Q158" s="32" t="s">
        <v>33</v>
      </c>
      <c r="R158" s="18"/>
      <c r="S158" s="5" t="s">
        <v>33</v>
      </c>
      <c r="U158" t="s">
        <v>46</v>
      </c>
      <c r="V158" t="s">
        <v>33</v>
      </c>
      <c r="W158" s="14" t="str">
        <f t="shared" si="8"/>
        <v/>
      </c>
      <c r="X158" s="14" t="str">
        <f t="shared" si="9"/>
        <v/>
      </c>
      <c r="Y158" s="14" t="str">
        <f t="shared" si="10"/>
        <v/>
      </c>
      <c r="Z158" s="14" t="str">
        <f t="shared" si="11"/>
        <v/>
      </c>
      <c r="AA158" s="14" t="str">
        <f t="shared" si="12"/>
        <v/>
      </c>
      <c r="AB158" s="14" t="str">
        <f t="shared" si="13"/>
        <v/>
      </c>
      <c r="AC158" s="14" t="str">
        <f t="shared" si="14"/>
        <v/>
      </c>
      <c r="AD158" s="14" t="str">
        <f t="shared" si="15"/>
        <v>COMNSSN302</v>
      </c>
    </row>
    <row r="159" spans="5:30" ht="21">
      <c r="E159" s="4"/>
      <c r="F159" s="7" t="s">
        <v>35</v>
      </c>
      <c r="G159" s="7" t="s">
        <v>5</v>
      </c>
      <c r="H159" s="30" t="s">
        <v>7</v>
      </c>
      <c r="I159" s="24"/>
      <c r="J159" s="22"/>
      <c r="K159" s="30" t="s">
        <v>9</v>
      </c>
      <c r="L159" s="22"/>
      <c r="M159" s="7" t="s">
        <v>11</v>
      </c>
      <c r="N159" s="7" t="s">
        <v>15</v>
      </c>
      <c r="O159" s="7" t="s">
        <v>17</v>
      </c>
      <c r="P159" s="7" t="s">
        <v>21</v>
      </c>
      <c r="Q159" s="30" t="s">
        <v>25</v>
      </c>
      <c r="R159" s="22"/>
      <c r="S159" s="7" t="s">
        <v>36</v>
      </c>
      <c r="U159" t="s">
        <v>48</v>
      </c>
      <c r="V159">
        <v>223</v>
      </c>
      <c r="W159" s="14" t="str">
        <f t="shared" si="8"/>
        <v>BBABMCN301</v>
      </c>
      <c r="X159" s="14" t="str">
        <f t="shared" si="9"/>
        <v>BBABMCN302</v>
      </c>
      <c r="Y159" s="14" t="str">
        <f t="shared" si="10"/>
        <v>BBABMCN303</v>
      </c>
      <c r="Z159" s="14" t="str">
        <f t="shared" si="11"/>
        <v>BBAENLN301</v>
      </c>
      <c r="AA159" s="14" t="str">
        <f t="shared" si="12"/>
        <v>BBAKALN302</v>
      </c>
      <c r="AB159" s="14" t="str">
        <f t="shared" si="13"/>
        <v>BCACAEN302</v>
      </c>
      <c r="AC159" s="14" t="str">
        <f t="shared" si="14"/>
        <v>COMFISN301</v>
      </c>
      <c r="AD159" s="14" t="str">
        <f t="shared" si="15"/>
        <v xml:space="preserve"> - - + - - </v>
      </c>
    </row>
    <row r="160" spans="5:30" ht="22.5">
      <c r="E160" s="6" t="s">
        <v>162</v>
      </c>
      <c r="F160" s="8" t="s">
        <v>39</v>
      </c>
      <c r="G160" s="9" t="s">
        <v>163</v>
      </c>
      <c r="H160" s="23" t="s">
        <v>164</v>
      </c>
      <c r="I160" s="24"/>
      <c r="J160" s="22"/>
      <c r="K160" s="23" t="s">
        <v>165</v>
      </c>
      <c r="L160" s="22"/>
      <c r="M160" s="9" t="s">
        <v>131</v>
      </c>
      <c r="N160" s="9" t="s">
        <v>166</v>
      </c>
      <c r="O160" s="9" t="s">
        <v>167</v>
      </c>
      <c r="P160" s="9" t="s">
        <v>168</v>
      </c>
      <c r="Q160" s="23" t="s">
        <v>43</v>
      </c>
      <c r="R160" s="22"/>
      <c r="S160" s="8" t="s">
        <v>33</v>
      </c>
      <c r="U160" t="s">
        <v>50</v>
      </c>
      <c r="V160">
        <v>605</v>
      </c>
      <c r="W160" s="14" t="str">
        <f t="shared" si="8"/>
        <v>47.00 + 34.00</v>
      </c>
      <c r="X160" s="14" t="str">
        <f t="shared" si="9"/>
        <v>53.00 + 36.00</v>
      </c>
      <c r="Y160" s="14" t="str">
        <f t="shared" si="10"/>
        <v>57.00 + 40.00</v>
      </c>
      <c r="Z160" s="14" t="str">
        <f t="shared" si="11"/>
        <v>42.00 + 32.00</v>
      </c>
      <c r="AA160" s="14" t="str">
        <f t="shared" si="12"/>
        <v>56.00 + 38.00</v>
      </c>
      <c r="AB160" s="14" t="str">
        <f t="shared" si="13"/>
        <v>49.00 + 29.00</v>
      </c>
      <c r="AC160" s="14" t="str">
        <f t="shared" si="14"/>
        <v>23.00 + 20.00</v>
      </c>
      <c r="AD160" s="14" t="str">
        <f t="shared" si="15"/>
        <v xml:space="preserve"> - - +49.00</v>
      </c>
    </row>
    <row r="161" spans="5:30">
      <c r="E161" s="25"/>
      <c r="F161" s="8" t="s">
        <v>42</v>
      </c>
      <c r="G161" s="9" t="s">
        <v>43</v>
      </c>
      <c r="H161" s="23" t="s">
        <v>43</v>
      </c>
      <c r="I161" s="24"/>
      <c r="J161" s="22"/>
      <c r="K161" s="23" t="s">
        <v>43</v>
      </c>
      <c r="L161" s="22"/>
      <c r="M161" s="9" t="s">
        <v>43</v>
      </c>
      <c r="N161" s="9" t="s">
        <v>43</v>
      </c>
      <c r="O161" s="9" t="s">
        <v>43</v>
      </c>
      <c r="P161" s="9" t="s">
        <v>43</v>
      </c>
      <c r="Q161" s="23" t="s">
        <v>120</v>
      </c>
      <c r="R161" s="22"/>
      <c r="S161" s="8" t="s">
        <v>33</v>
      </c>
      <c r="U161" t="s">
        <v>51</v>
      </c>
      <c r="V161">
        <v>700</v>
      </c>
      <c r="W161" s="14" t="str">
        <f t="shared" si="8"/>
        <v xml:space="preserve"> - - + - - </v>
      </c>
      <c r="X161" s="14" t="str">
        <f t="shared" si="9"/>
        <v xml:space="preserve"> - - + - - </v>
      </c>
      <c r="Y161" s="14" t="str">
        <f t="shared" si="10"/>
        <v xml:space="preserve"> - - + - - </v>
      </c>
      <c r="Z161" s="14" t="str">
        <f t="shared" si="11"/>
        <v xml:space="preserve"> - - + - - </v>
      </c>
      <c r="AA161" s="14" t="str">
        <f t="shared" si="12"/>
        <v xml:space="preserve"> - - + - - </v>
      </c>
      <c r="AB161" s="14" t="str">
        <f t="shared" si="13"/>
        <v xml:space="preserve"> - - + - - </v>
      </c>
      <c r="AC161" s="14" t="str">
        <f t="shared" si="14"/>
        <v xml:space="preserve"> - - + - - </v>
      </c>
      <c r="AD161" s="14" t="str">
        <f t="shared" si="15"/>
        <v/>
      </c>
    </row>
    <row r="162" spans="5:30">
      <c r="E162" s="27"/>
      <c r="F162" s="8" t="s">
        <v>44</v>
      </c>
      <c r="G162" s="9" t="s">
        <v>33</v>
      </c>
      <c r="H162" s="23" t="s">
        <v>33</v>
      </c>
      <c r="I162" s="24"/>
      <c r="J162" s="22"/>
      <c r="K162" s="23" t="s">
        <v>33</v>
      </c>
      <c r="L162" s="22"/>
      <c r="M162" s="9" t="s">
        <v>33</v>
      </c>
      <c r="N162" s="9" t="s">
        <v>33</v>
      </c>
      <c r="O162" s="9" t="s">
        <v>33</v>
      </c>
      <c r="P162" s="9" t="s">
        <v>33</v>
      </c>
      <c r="Q162" s="23" t="s">
        <v>33</v>
      </c>
      <c r="R162" s="22"/>
      <c r="S162" s="8">
        <v>0</v>
      </c>
      <c r="U162" t="s">
        <v>170</v>
      </c>
      <c r="V162" t="s">
        <v>33</v>
      </c>
      <c r="W162" s="14" t="str">
        <f t="shared" si="8"/>
        <v/>
      </c>
      <c r="X162" s="14" t="str">
        <f t="shared" si="9"/>
        <v/>
      </c>
      <c r="Y162" s="14" t="str">
        <f t="shared" si="10"/>
        <v/>
      </c>
      <c r="Z162" s="14" t="str">
        <f t="shared" si="11"/>
        <v/>
      </c>
      <c r="AA162" s="14" t="str">
        <f t="shared" si="12"/>
        <v/>
      </c>
      <c r="AB162" s="14" t="str">
        <f t="shared" si="13"/>
        <v/>
      </c>
      <c r="AC162" s="14" t="str">
        <f t="shared" si="14"/>
        <v/>
      </c>
      <c r="AD162" s="14">
        <f t="shared" si="15"/>
        <v>2</v>
      </c>
    </row>
    <row r="163" spans="5:30">
      <c r="E163" s="29"/>
      <c r="F163" s="8" t="s">
        <v>45</v>
      </c>
      <c r="G163" s="9">
        <v>4</v>
      </c>
      <c r="H163" s="23">
        <v>4</v>
      </c>
      <c r="I163" s="24"/>
      <c r="J163" s="22"/>
      <c r="K163" s="23">
        <v>4</v>
      </c>
      <c r="L163" s="22"/>
      <c r="M163" s="9">
        <v>3</v>
      </c>
      <c r="N163" s="9">
        <v>3</v>
      </c>
      <c r="O163" s="9">
        <v>3</v>
      </c>
      <c r="P163" s="9">
        <v>2</v>
      </c>
      <c r="Q163" s="23">
        <v>2</v>
      </c>
      <c r="R163" s="22"/>
      <c r="S163" s="8">
        <v>25</v>
      </c>
      <c r="U163" t="s">
        <v>56</v>
      </c>
      <c r="V163" t="s">
        <v>33</v>
      </c>
      <c r="W163" s="14">
        <f t="shared" si="8"/>
        <v>4</v>
      </c>
      <c r="X163" s="14">
        <f t="shared" si="9"/>
        <v>4</v>
      </c>
      <c r="Y163" s="14">
        <f t="shared" si="10"/>
        <v>4</v>
      </c>
      <c r="Z163" s="14">
        <f t="shared" si="11"/>
        <v>3</v>
      </c>
      <c r="AA163" s="14">
        <f t="shared" si="12"/>
        <v>3</v>
      </c>
      <c r="AB163" s="14">
        <f t="shared" si="13"/>
        <v>3</v>
      </c>
      <c r="AC163" s="14">
        <f t="shared" si="14"/>
        <v>2</v>
      </c>
      <c r="AD163" s="14">
        <f t="shared" si="15"/>
        <v>10</v>
      </c>
    </row>
    <row r="164" spans="5:30">
      <c r="E164" s="6">
        <v>8.92</v>
      </c>
      <c r="F164" s="8" t="s">
        <v>47</v>
      </c>
      <c r="G164" s="9">
        <v>8.5</v>
      </c>
      <c r="H164" s="23">
        <v>9</v>
      </c>
      <c r="I164" s="24"/>
      <c r="J164" s="22"/>
      <c r="K164" s="23">
        <v>10</v>
      </c>
      <c r="L164" s="22"/>
      <c r="M164" s="9">
        <v>7.5</v>
      </c>
      <c r="N164" s="9">
        <v>9.5</v>
      </c>
      <c r="O164" s="9">
        <v>8</v>
      </c>
      <c r="P164" s="9">
        <v>9</v>
      </c>
      <c r="Q164" s="23">
        <v>10</v>
      </c>
      <c r="R164" s="22"/>
      <c r="S164" s="8" t="s">
        <v>33</v>
      </c>
      <c r="U164" t="s">
        <v>33</v>
      </c>
      <c r="V164" t="s">
        <v>33</v>
      </c>
      <c r="W164" s="14">
        <f t="shared" si="8"/>
        <v>8.5</v>
      </c>
      <c r="X164" s="14">
        <f t="shared" si="9"/>
        <v>9</v>
      </c>
      <c r="Y164" s="14">
        <f t="shared" si="10"/>
        <v>10</v>
      </c>
      <c r="Z164" s="14">
        <f t="shared" si="11"/>
        <v>7.5</v>
      </c>
      <c r="AA164" s="14">
        <f t="shared" si="12"/>
        <v>9.5</v>
      </c>
      <c r="AB164" s="14">
        <f t="shared" si="13"/>
        <v>8</v>
      </c>
      <c r="AC164" s="14">
        <f t="shared" si="14"/>
        <v>9</v>
      </c>
      <c r="AD164" s="14">
        <f t="shared" si="15"/>
        <v>20</v>
      </c>
    </row>
    <row r="165" spans="5:30">
      <c r="E165" s="10">
        <v>8.32</v>
      </c>
      <c r="F165" s="8" t="s">
        <v>49</v>
      </c>
      <c r="G165" s="9">
        <v>34</v>
      </c>
      <c r="H165" s="23">
        <v>36</v>
      </c>
      <c r="I165" s="24"/>
      <c r="J165" s="22"/>
      <c r="K165" s="23">
        <v>40</v>
      </c>
      <c r="L165" s="22"/>
      <c r="M165" s="9">
        <v>22.5</v>
      </c>
      <c r="N165" s="9">
        <v>28.5</v>
      </c>
      <c r="O165" s="9">
        <v>24</v>
      </c>
      <c r="P165" s="9">
        <v>18</v>
      </c>
      <c r="Q165" s="23">
        <v>20</v>
      </c>
      <c r="R165" s="22"/>
      <c r="S165" s="8">
        <v>223</v>
      </c>
      <c r="U165">
        <v>0</v>
      </c>
      <c r="V165">
        <v>0</v>
      </c>
      <c r="W165" s="14">
        <f t="shared" si="8"/>
        <v>34</v>
      </c>
      <c r="X165" s="14">
        <f t="shared" si="9"/>
        <v>36</v>
      </c>
      <c r="Y165" s="14">
        <f t="shared" si="10"/>
        <v>40</v>
      </c>
      <c r="Z165" s="14">
        <f t="shared" si="11"/>
        <v>22.5</v>
      </c>
      <c r="AA165" s="14">
        <f t="shared" si="12"/>
        <v>28.5</v>
      </c>
      <c r="AB165" s="14">
        <f t="shared" si="13"/>
        <v>24</v>
      </c>
      <c r="AC165" s="14">
        <f t="shared" si="14"/>
        <v>18</v>
      </c>
      <c r="AD165" s="14">
        <f t="shared" si="15"/>
        <v>49</v>
      </c>
    </row>
    <row r="166" spans="5:30">
      <c r="E166" s="4"/>
      <c r="F166" s="8" t="s">
        <v>36</v>
      </c>
      <c r="G166" s="9">
        <v>81</v>
      </c>
      <c r="H166" s="23">
        <v>89</v>
      </c>
      <c r="I166" s="24"/>
      <c r="J166" s="22"/>
      <c r="K166" s="23">
        <v>97</v>
      </c>
      <c r="L166" s="22"/>
      <c r="M166" s="9">
        <v>74</v>
      </c>
      <c r="N166" s="9">
        <v>94</v>
      </c>
      <c r="O166" s="9">
        <v>78</v>
      </c>
      <c r="P166" s="9">
        <v>43</v>
      </c>
      <c r="Q166" s="23">
        <v>49</v>
      </c>
      <c r="R166" s="22"/>
      <c r="S166" s="8">
        <v>605</v>
      </c>
      <c r="U166">
        <v>0</v>
      </c>
      <c r="V166">
        <v>0</v>
      </c>
      <c r="W166" s="14">
        <f t="shared" si="8"/>
        <v>81</v>
      </c>
      <c r="X166" s="14">
        <f t="shared" si="9"/>
        <v>89</v>
      </c>
      <c r="Y166" s="14">
        <f t="shared" si="10"/>
        <v>97</v>
      </c>
      <c r="Z166" s="14">
        <f t="shared" si="11"/>
        <v>74</v>
      </c>
      <c r="AA166" s="14">
        <f t="shared" si="12"/>
        <v>94</v>
      </c>
      <c r="AB166" s="14">
        <f t="shared" si="13"/>
        <v>78</v>
      </c>
      <c r="AC166" s="14">
        <f t="shared" si="14"/>
        <v>43</v>
      </c>
      <c r="AD166" s="14">
        <f t="shared" si="15"/>
        <v>50</v>
      </c>
    </row>
    <row r="167" spans="5:30">
      <c r="E167" s="6"/>
      <c r="F167" s="8" t="s">
        <v>52</v>
      </c>
      <c r="G167" s="9">
        <v>100</v>
      </c>
      <c r="H167" s="23">
        <v>100</v>
      </c>
      <c r="I167" s="24"/>
      <c r="J167" s="22"/>
      <c r="K167" s="23">
        <v>100</v>
      </c>
      <c r="L167" s="22"/>
      <c r="M167" s="9">
        <v>100</v>
      </c>
      <c r="N167" s="9">
        <v>100</v>
      </c>
      <c r="O167" s="9">
        <v>100</v>
      </c>
      <c r="P167" s="9">
        <v>50</v>
      </c>
      <c r="Q167" s="23">
        <v>50</v>
      </c>
      <c r="R167" s="22"/>
      <c r="S167" s="8">
        <v>700</v>
      </c>
      <c r="U167" t="s">
        <v>31</v>
      </c>
      <c r="V167" t="s">
        <v>33</v>
      </c>
      <c r="W167" s="14">
        <f t="shared" si="8"/>
        <v>100</v>
      </c>
      <c r="X167" s="14">
        <f t="shared" si="9"/>
        <v>100</v>
      </c>
      <c r="Y167" s="14">
        <f t="shared" si="10"/>
        <v>100</v>
      </c>
      <c r="Z167" s="14">
        <f t="shared" si="11"/>
        <v>100</v>
      </c>
      <c r="AA167" s="14">
        <f t="shared" si="12"/>
        <v>100</v>
      </c>
      <c r="AB167" s="14">
        <f t="shared" si="13"/>
        <v>100</v>
      </c>
      <c r="AC167" s="14">
        <f t="shared" si="14"/>
        <v>50</v>
      </c>
      <c r="AD167" s="14" t="str">
        <f t="shared" si="15"/>
        <v>OO+</v>
      </c>
    </row>
    <row r="168" spans="5:30">
      <c r="E168" s="4"/>
      <c r="F168" s="8" t="s">
        <v>54</v>
      </c>
      <c r="G168" s="9" t="s">
        <v>95</v>
      </c>
      <c r="H168" s="23" t="s">
        <v>122</v>
      </c>
      <c r="I168" s="24"/>
      <c r="J168" s="22"/>
      <c r="K168" s="23" t="s">
        <v>93</v>
      </c>
      <c r="L168" s="22"/>
      <c r="M168" s="9" t="s">
        <v>108</v>
      </c>
      <c r="N168" s="9" t="s">
        <v>94</v>
      </c>
      <c r="O168" s="9" t="s">
        <v>135</v>
      </c>
      <c r="P168" s="9" t="s">
        <v>122</v>
      </c>
      <c r="Q168" s="23" t="s">
        <v>93</v>
      </c>
      <c r="R168" s="22"/>
      <c r="S168" s="8" t="s">
        <v>33</v>
      </c>
      <c r="U168" t="s">
        <v>172</v>
      </c>
      <c r="V168" t="s">
        <v>36</v>
      </c>
      <c r="W168" s="14" t="str">
        <f t="shared" si="8"/>
        <v>OA</v>
      </c>
      <c r="X168" s="14" t="str">
        <f t="shared" si="9"/>
        <v>OA+</v>
      </c>
      <c r="Y168" s="14" t="str">
        <f t="shared" si="10"/>
        <v>OO+</v>
      </c>
      <c r="Z168" s="14" t="str">
        <f t="shared" si="11"/>
        <v>AA</v>
      </c>
      <c r="AA168" s="14" t="str">
        <f t="shared" si="12"/>
        <v>OO</v>
      </c>
      <c r="AB168" s="14" t="str">
        <f t="shared" si="13"/>
        <v>AA+</v>
      </c>
      <c r="AC168" s="14" t="str">
        <f t="shared" si="14"/>
        <v>OA+</v>
      </c>
      <c r="AD168" s="14" t="str">
        <f t="shared" si="15"/>
        <v>Pass</v>
      </c>
    </row>
    <row r="169" spans="5:30">
      <c r="E169" s="11" t="s">
        <v>171</v>
      </c>
      <c r="F169" s="8" t="s">
        <v>58</v>
      </c>
      <c r="G169" s="9" t="s">
        <v>59</v>
      </c>
      <c r="H169" s="23" t="s">
        <v>59</v>
      </c>
      <c r="I169" s="24"/>
      <c r="J169" s="22"/>
      <c r="K169" s="23" t="s">
        <v>59</v>
      </c>
      <c r="L169" s="22"/>
      <c r="M169" s="9" t="s">
        <v>59</v>
      </c>
      <c r="N169" s="9" t="s">
        <v>59</v>
      </c>
      <c r="O169" s="9" t="s">
        <v>59</v>
      </c>
      <c r="P169" s="9" t="s">
        <v>59</v>
      </c>
      <c r="Q169" s="23" t="s">
        <v>59</v>
      </c>
      <c r="R169" s="22"/>
      <c r="S169" s="8" t="s">
        <v>33</v>
      </c>
      <c r="U169" t="s">
        <v>37</v>
      </c>
      <c r="V169" t="s">
        <v>33</v>
      </c>
      <c r="W169" s="14" t="str">
        <f t="shared" si="8"/>
        <v>Pass</v>
      </c>
      <c r="X169" s="14" t="str">
        <f t="shared" si="9"/>
        <v>Pass</v>
      </c>
      <c r="Y169" s="14" t="str">
        <f t="shared" si="10"/>
        <v>Pass</v>
      </c>
      <c r="Z169" s="14" t="str">
        <f t="shared" si="11"/>
        <v>Pass</v>
      </c>
      <c r="AA169" s="14" t="str">
        <f t="shared" si="12"/>
        <v>Pass</v>
      </c>
      <c r="AB169" s="14" t="str">
        <f t="shared" si="13"/>
        <v>Pass</v>
      </c>
      <c r="AC169" s="14" t="str">
        <f t="shared" si="14"/>
        <v>Pass</v>
      </c>
      <c r="AD169" s="14" t="str">
        <f t="shared" si="15"/>
        <v/>
      </c>
    </row>
    <row r="170" spans="5:30">
      <c r="E170" s="12" t="s">
        <v>33</v>
      </c>
      <c r="F170" s="12" t="s">
        <v>33</v>
      </c>
      <c r="G170" s="13" t="s">
        <v>33</v>
      </c>
      <c r="H170" s="20" t="s">
        <v>33</v>
      </c>
      <c r="I170" s="18"/>
      <c r="J170" s="18"/>
      <c r="K170" s="20" t="s">
        <v>33</v>
      </c>
      <c r="L170" s="18"/>
      <c r="M170" s="13" t="s">
        <v>33</v>
      </c>
      <c r="N170" s="13" t="s">
        <v>33</v>
      </c>
      <c r="O170" s="13" t="s">
        <v>33</v>
      </c>
      <c r="P170" s="13" t="s">
        <v>33</v>
      </c>
      <c r="Q170" s="20" t="s">
        <v>33</v>
      </c>
      <c r="R170" s="18"/>
      <c r="S170" s="13" t="s">
        <v>33</v>
      </c>
      <c r="U170" t="s">
        <v>181</v>
      </c>
      <c r="V170" t="s">
        <v>33</v>
      </c>
      <c r="W170" s="14" t="str">
        <f t="shared" si="8"/>
        <v/>
      </c>
      <c r="X170" s="14" t="str">
        <f t="shared" si="9"/>
        <v/>
      </c>
      <c r="Y170" s="14" t="str">
        <f t="shared" si="10"/>
        <v/>
      </c>
      <c r="Z170" s="14" t="str">
        <f t="shared" si="11"/>
        <v/>
      </c>
      <c r="AA170" s="14" t="str">
        <f t="shared" si="12"/>
        <v/>
      </c>
      <c r="AB170" s="14" t="str">
        <f t="shared" si="13"/>
        <v/>
      </c>
      <c r="AC170" s="14" t="str">
        <f t="shared" si="14"/>
        <v/>
      </c>
      <c r="AD170" s="14">
        <f t="shared" si="15"/>
        <v>0</v>
      </c>
    </row>
    <row r="171" spans="5:30" ht="0" hidden="1" customHeight="1">
      <c r="U171">
        <v>0</v>
      </c>
      <c r="V171">
        <v>0</v>
      </c>
      <c r="W171" s="14">
        <f t="shared" si="8"/>
        <v>0</v>
      </c>
      <c r="X171" s="14">
        <f t="shared" si="9"/>
        <v>0</v>
      </c>
      <c r="Y171" s="14">
        <f t="shared" si="10"/>
        <v>0</v>
      </c>
      <c r="Z171" s="14">
        <f t="shared" si="11"/>
        <v>0</v>
      </c>
      <c r="AA171" s="14">
        <f t="shared" si="12"/>
        <v>0</v>
      </c>
      <c r="AB171" s="14">
        <f t="shared" si="13"/>
        <v>0</v>
      </c>
      <c r="AC171" s="14">
        <f t="shared" si="14"/>
        <v>0</v>
      </c>
      <c r="AD171" s="14">
        <f t="shared" si="15"/>
        <v>0</v>
      </c>
    </row>
    <row r="172" spans="5:30" ht="0.6" customHeight="1">
      <c r="U172">
        <v>0</v>
      </c>
      <c r="V172">
        <v>25</v>
      </c>
      <c r="W172" s="14">
        <f t="shared" si="8"/>
        <v>0</v>
      </c>
      <c r="X172" s="14">
        <f t="shared" si="9"/>
        <v>0</v>
      </c>
      <c r="Y172" s="14">
        <f t="shared" si="10"/>
        <v>0</v>
      </c>
      <c r="Z172" s="14">
        <f t="shared" si="11"/>
        <v>0</v>
      </c>
      <c r="AA172" s="14">
        <f t="shared" si="12"/>
        <v>0</v>
      </c>
      <c r="AB172" s="14">
        <f t="shared" si="13"/>
        <v>0</v>
      </c>
      <c r="AC172" s="14">
        <f t="shared" si="14"/>
        <v>0</v>
      </c>
      <c r="AD172" s="14" t="str">
        <f t="shared" si="15"/>
        <v/>
      </c>
    </row>
    <row r="173" spans="5:30">
      <c r="E173" s="4"/>
      <c r="F173" s="3" t="s">
        <v>32</v>
      </c>
      <c r="G173" s="5" t="s">
        <v>33</v>
      </c>
      <c r="H173" s="32" t="s">
        <v>33</v>
      </c>
      <c r="I173" s="18"/>
      <c r="J173" s="18"/>
      <c r="K173" s="32" t="s">
        <v>33</v>
      </c>
      <c r="L173" s="18"/>
      <c r="M173" s="5" t="s">
        <v>33</v>
      </c>
      <c r="N173" s="5" t="s">
        <v>33</v>
      </c>
      <c r="O173" s="5" t="s">
        <v>33</v>
      </c>
      <c r="P173" s="5" t="s">
        <v>33</v>
      </c>
      <c r="Q173" s="32" t="s">
        <v>33</v>
      </c>
      <c r="R173" s="18"/>
      <c r="S173" s="5" t="s">
        <v>33</v>
      </c>
      <c r="U173" t="s">
        <v>46</v>
      </c>
      <c r="V173" t="s">
        <v>33</v>
      </c>
      <c r="W173" s="14" t="str">
        <f t="shared" si="8"/>
        <v/>
      </c>
      <c r="X173" s="14" t="str">
        <f t="shared" si="9"/>
        <v/>
      </c>
      <c r="Y173" s="14" t="str">
        <f t="shared" si="10"/>
        <v/>
      </c>
      <c r="Z173" s="14" t="str">
        <f t="shared" si="11"/>
        <v/>
      </c>
      <c r="AA173" s="14" t="str">
        <f t="shared" si="12"/>
        <v/>
      </c>
      <c r="AB173" s="14" t="str">
        <f t="shared" si="13"/>
        <v/>
      </c>
      <c r="AC173" s="14" t="str">
        <f t="shared" si="14"/>
        <v/>
      </c>
      <c r="AD173" s="14" t="str">
        <f t="shared" si="15"/>
        <v>COMNSSN302</v>
      </c>
    </row>
    <row r="174" spans="5:30" ht="21">
      <c r="E174" s="4"/>
      <c r="F174" s="7" t="s">
        <v>35</v>
      </c>
      <c r="G174" s="7" t="s">
        <v>5</v>
      </c>
      <c r="H174" s="30" t="s">
        <v>7</v>
      </c>
      <c r="I174" s="24"/>
      <c r="J174" s="22"/>
      <c r="K174" s="30" t="s">
        <v>9</v>
      </c>
      <c r="L174" s="22"/>
      <c r="M174" s="7" t="s">
        <v>11</v>
      </c>
      <c r="N174" s="7" t="s">
        <v>15</v>
      </c>
      <c r="O174" s="7" t="s">
        <v>17</v>
      </c>
      <c r="P174" s="7" t="s">
        <v>21</v>
      </c>
      <c r="Q174" s="30" t="s">
        <v>25</v>
      </c>
      <c r="R174" s="22"/>
      <c r="S174" s="7" t="s">
        <v>36</v>
      </c>
      <c r="U174" t="s">
        <v>48</v>
      </c>
      <c r="V174">
        <v>206.5</v>
      </c>
      <c r="W174" s="14" t="str">
        <f t="shared" si="8"/>
        <v>BBABMCN301</v>
      </c>
      <c r="X174" s="14" t="str">
        <f t="shared" si="9"/>
        <v>BBABMCN302</v>
      </c>
      <c r="Y174" s="14" t="str">
        <f t="shared" si="10"/>
        <v>BBABMCN303</v>
      </c>
      <c r="Z174" s="14" t="str">
        <f t="shared" si="11"/>
        <v>BBAENLN301</v>
      </c>
      <c r="AA174" s="14" t="str">
        <f t="shared" si="12"/>
        <v>BBAKALN302</v>
      </c>
      <c r="AB174" s="14" t="str">
        <f t="shared" si="13"/>
        <v>BCACAEN302</v>
      </c>
      <c r="AC174" s="14" t="str">
        <f t="shared" si="14"/>
        <v>COMFISN301</v>
      </c>
      <c r="AD174" s="14" t="str">
        <f t="shared" si="15"/>
        <v xml:space="preserve"> - - + - - </v>
      </c>
    </row>
    <row r="175" spans="5:30" ht="22.5">
      <c r="E175" s="6" t="s">
        <v>173</v>
      </c>
      <c r="F175" s="8" t="s">
        <v>39</v>
      </c>
      <c r="G175" s="9" t="s">
        <v>174</v>
      </c>
      <c r="H175" s="23" t="s">
        <v>175</v>
      </c>
      <c r="I175" s="24"/>
      <c r="J175" s="22"/>
      <c r="K175" s="23" t="s">
        <v>176</v>
      </c>
      <c r="L175" s="22"/>
      <c r="M175" s="9" t="s">
        <v>177</v>
      </c>
      <c r="N175" s="9" t="s">
        <v>178</v>
      </c>
      <c r="O175" s="9" t="s">
        <v>179</v>
      </c>
      <c r="P175" s="9" t="s">
        <v>180</v>
      </c>
      <c r="Q175" s="23" t="s">
        <v>43</v>
      </c>
      <c r="R175" s="22"/>
      <c r="S175" s="8" t="s">
        <v>33</v>
      </c>
      <c r="U175" t="s">
        <v>50</v>
      </c>
      <c r="V175">
        <v>555</v>
      </c>
      <c r="W175" s="14" t="str">
        <f t="shared" si="8"/>
        <v>42.00 + 28.00</v>
      </c>
      <c r="X175" s="14" t="str">
        <f t="shared" si="9"/>
        <v>49.00 + 34.00</v>
      </c>
      <c r="Y175" s="14" t="str">
        <f t="shared" si="10"/>
        <v>52.00 + 37.00</v>
      </c>
      <c r="Z175" s="14" t="str">
        <f t="shared" si="11"/>
        <v>39.00 + 32.00</v>
      </c>
      <c r="AA175" s="14" t="str">
        <f t="shared" si="12"/>
        <v>55.00 + 38.00</v>
      </c>
      <c r="AB175" s="14" t="str">
        <f t="shared" si="13"/>
        <v>28.00 + 26.00</v>
      </c>
      <c r="AC175" s="14" t="str">
        <f t="shared" si="14"/>
        <v>26.00 + 20.00</v>
      </c>
      <c r="AD175" s="14" t="str">
        <f t="shared" si="15"/>
        <v xml:space="preserve"> - - +49.00</v>
      </c>
    </row>
    <row r="176" spans="5:30">
      <c r="E176" s="25"/>
      <c r="F176" s="8" t="s">
        <v>42</v>
      </c>
      <c r="G176" s="9" t="s">
        <v>43</v>
      </c>
      <c r="H176" s="23" t="s">
        <v>43</v>
      </c>
      <c r="I176" s="24"/>
      <c r="J176" s="22"/>
      <c r="K176" s="23" t="s">
        <v>43</v>
      </c>
      <c r="L176" s="22"/>
      <c r="M176" s="9" t="s">
        <v>43</v>
      </c>
      <c r="N176" s="9" t="s">
        <v>43</v>
      </c>
      <c r="O176" s="9" t="s">
        <v>43</v>
      </c>
      <c r="P176" s="9" t="s">
        <v>43</v>
      </c>
      <c r="Q176" s="23" t="s">
        <v>120</v>
      </c>
      <c r="R176" s="22"/>
      <c r="S176" s="8" t="s">
        <v>33</v>
      </c>
      <c r="U176" t="s">
        <v>51</v>
      </c>
      <c r="V176">
        <v>700</v>
      </c>
      <c r="W176" s="14" t="str">
        <f t="shared" si="8"/>
        <v xml:space="preserve"> - - + - - </v>
      </c>
      <c r="X176" s="14" t="str">
        <f t="shared" si="9"/>
        <v xml:space="preserve"> - - + - - </v>
      </c>
      <c r="Y176" s="14" t="str">
        <f t="shared" si="10"/>
        <v xml:space="preserve"> - - + - - </v>
      </c>
      <c r="Z176" s="14" t="str">
        <f t="shared" si="11"/>
        <v xml:space="preserve"> - - + - - </v>
      </c>
      <c r="AA176" s="14" t="str">
        <f t="shared" si="12"/>
        <v xml:space="preserve"> - - + - - </v>
      </c>
      <c r="AB176" s="14" t="str">
        <f t="shared" si="13"/>
        <v xml:space="preserve"> - - + - - </v>
      </c>
      <c r="AC176" s="14" t="str">
        <f t="shared" si="14"/>
        <v xml:space="preserve"> - - + - - </v>
      </c>
      <c r="AD176" s="14" t="str">
        <f t="shared" si="15"/>
        <v/>
      </c>
    </row>
    <row r="177" spans="5:30">
      <c r="E177" s="27"/>
      <c r="F177" s="8" t="s">
        <v>44</v>
      </c>
      <c r="G177" s="9" t="s">
        <v>33</v>
      </c>
      <c r="H177" s="23" t="s">
        <v>33</v>
      </c>
      <c r="I177" s="24"/>
      <c r="J177" s="22"/>
      <c r="K177" s="23" t="s">
        <v>33</v>
      </c>
      <c r="L177" s="22"/>
      <c r="M177" s="9" t="s">
        <v>33</v>
      </c>
      <c r="N177" s="9" t="s">
        <v>33</v>
      </c>
      <c r="O177" s="9" t="s">
        <v>33</v>
      </c>
      <c r="P177" s="9" t="s">
        <v>33</v>
      </c>
      <c r="Q177" s="23" t="s">
        <v>33</v>
      </c>
      <c r="R177" s="22"/>
      <c r="S177" s="8">
        <v>0</v>
      </c>
      <c r="U177" t="s">
        <v>159</v>
      </c>
      <c r="V177" t="s">
        <v>33</v>
      </c>
      <c r="W177" s="14" t="str">
        <f t="shared" si="8"/>
        <v/>
      </c>
      <c r="X177" s="14" t="str">
        <f t="shared" si="9"/>
        <v/>
      </c>
      <c r="Y177" s="14" t="str">
        <f t="shared" si="10"/>
        <v/>
      </c>
      <c r="Z177" s="14" t="str">
        <f t="shared" si="11"/>
        <v/>
      </c>
      <c r="AA177" s="14" t="str">
        <f t="shared" si="12"/>
        <v/>
      </c>
      <c r="AB177" s="14" t="str">
        <f t="shared" si="13"/>
        <v/>
      </c>
      <c r="AC177" s="14" t="str">
        <f t="shared" si="14"/>
        <v/>
      </c>
      <c r="AD177" s="14">
        <f t="shared" si="15"/>
        <v>2</v>
      </c>
    </row>
    <row r="178" spans="5:30">
      <c r="E178" s="29"/>
      <c r="F178" s="8" t="s">
        <v>45</v>
      </c>
      <c r="G178" s="9">
        <v>4</v>
      </c>
      <c r="H178" s="23">
        <v>4</v>
      </c>
      <c r="I178" s="24"/>
      <c r="J178" s="22"/>
      <c r="K178" s="23">
        <v>4</v>
      </c>
      <c r="L178" s="22"/>
      <c r="M178" s="9">
        <v>3</v>
      </c>
      <c r="N178" s="9">
        <v>3</v>
      </c>
      <c r="O178" s="9">
        <v>3</v>
      </c>
      <c r="P178" s="9">
        <v>2</v>
      </c>
      <c r="Q178" s="23">
        <v>2</v>
      </c>
      <c r="R178" s="22"/>
      <c r="S178" s="8">
        <v>25</v>
      </c>
      <c r="U178" t="s">
        <v>56</v>
      </c>
      <c r="V178" t="s">
        <v>33</v>
      </c>
      <c r="W178" s="14">
        <f t="shared" si="8"/>
        <v>4</v>
      </c>
      <c r="X178" s="14">
        <f t="shared" si="9"/>
        <v>4</v>
      </c>
      <c r="Y178" s="14">
        <f t="shared" si="10"/>
        <v>4</v>
      </c>
      <c r="Z178" s="14">
        <f t="shared" si="11"/>
        <v>3</v>
      </c>
      <c r="AA178" s="14">
        <f t="shared" si="12"/>
        <v>3</v>
      </c>
      <c r="AB178" s="14">
        <f t="shared" si="13"/>
        <v>3</v>
      </c>
      <c r="AC178" s="14">
        <f t="shared" si="14"/>
        <v>2</v>
      </c>
      <c r="AD178" s="14">
        <f t="shared" si="15"/>
        <v>10</v>
      </c>
    </row>
    <row r="179" spans="5:30">
      <c r="E179" s="6">
        <v>8.26</v>
      </c>
      <c r="F179" s="8" t="s">
        <v>47</v>
      </c>
      <c r="G179" s="9">
        <v>7.5</v>
      </c>
      <c r="H179" s="23">
        <v>8.5</v>
      </c>
      <c r="I179" s="24"/>
      <c r="J179" s="22"/>
      <c r="K179" s="23">
        <v>9</v>
      </c>
      <c r="L179" s="22"/>
      <c r="M179" s="9">
        <v>7.5</v>
      </c>
      <c r="N179" s="9">
        <v>9.5</v>
      </c>
      <c r="O179" s="9">
        <v>5.5</v>
      </c>
      <c r="P179" s="9">
        <v>9.5</v>
      </c>
      <c r="Q179" s="23">
        <v>10</v>
      </c>
      <c r="R179" s="22"/>
      <c r="S179" s="8" t="s">
        <v>33</v>
      </c>
      <c r="U179" t="s">
        <v>33</v>
      </c>
      <c r="V179" t="s">
        <v>33</v>
      </c>
      <c r="W179" s="14">
        <f t="shared" si="8"/>
        <v>7.5</v>
      </c>
      <c r="X179" s="14">
        <f t="shared" si="9"/>
        <v>8.5</v>
      </c>
      <c r="Y179" s="14">
        <f t="shared" si="10"/>
        <v>9</v>
      </c>
      <c r="Z179" s="14">
        <f t="shared" si="11"/>
        <v>7.5</v>
      </c>
      <c r="AA179" s="14">
        <f t="shared" si="12"/>
        <v>9.5</v>
      </c>
      <c r="AB179" s="14">
        <f t="shared" si="13"/>
        <v>5.5</v>
      </c>
      <c r="AC179" s="14">
        <f t="shared" si="14"/>
        <v>9.5</v>
      </c>
      <c r="AD179" s="14">
        <f t="shared" si="15"/>
        <v>20</v>
      </c>
    </row>
    <row r="180" spans="5:30">
      <c r="E180" s="10">
        <v>8.0500000000000007</v>
      </c>
      <c r="F180" s="8" t="s">
        <v>49</v>
      </c>
      <c r="G180" s="9">
        <v>30</v>
      </c>
      <c r="H180" s="23">
        <v>34</v>
      </c>
      <c r="I180" s="24"/>
      <c r="J180" s="22"/>
      <c r="K180" s="23">
        <v>36</v>
      </c>
      <c r="L180" s="22"/>
      <c r="M180" s="9">
        <v>22.5</v>
      </c>
      <c r="N180" s="9">
        <v>28.5</v>
      </c>
      <c r="O180" s="9">
        <v>16.5</v>
      </c>
      <c r="P180" s="9">
        <v>19</v>
      </c>
      <c r="Q180" s="23">
        <v>20</v>
      </c>
      <c r="R180" s="22"/>
      <c r="S180" s="8">
        <v>206.5</v>
      </c>
      <c r="U180">
        <v>0</v>
      </c>
      <c r="V180">
        <v>0</v>
      </c>
      <c r="W180" s="14">
        <f t="shared" si="8"/>
        <v>30</v>
      </c>
      <c r="X180" s="14">
        <f t="shared" si="9"/>
        <v>34</v>
      </c>
      <c r="Y180" s="14">
        <f t="shared" si="10"/>
        <v>36</v>
      </c>
      <c r="Z180" s="14">
        <f t="shared" si="11"/>
        <v>22.5</v>
      </c>
      <c r="AA180" s="14">
        <f t="shared" si="12"/>
        <v>28.5</v>
      </c>
      <c r="AB180" s="14">
        <f t="shared" si="13"/>
        <v>16.5</v>
      </c>
      <c r="AC180" s="14">
        <f t="shared" si="14"/>
        <v>19</v>
      </c>
      <c r="AD180" s="14">
        <f t="shared" si="15"/>
        <v>49</v>
      </c>
    </row>
    <row r="181" spans="5:30">
      <c r="E181" s="4"/>
      <c r="F181" s="8" t="s">
        <v>36</v>
      </c>
      <c r="G181" s="9">
        <v>70</v>
      </c>
      <c r="H181" s="23">
        <v>83</v>
      </c>
      <c r="I181" s="24"/>
      <c r="J181" s="22"/>
      <c r="K181" s="23">
        <v>89</v>
      </c>
      <c r="L181" s="22"/>
      <c r="M181" s="9">
        <v>71</v>
      </c>
      <c r="N181" s="9">
        <v>93</v>
      </c>
      <c r="O181" s="9">
        <v>54</v>
      </c>
      <c r="P181" s="9">
        <v>46</v>
      </c>
      <c r="Q181" s="23">
        <v>49</v>
      </c>
      <c r="R181" s="22"/>
      <c r="S181" s="8">
        <v>555</v>
      </c>
      <c r="U181">
        <v>0</v>
      </c>
      <c r="V181">
        <v>0</v>
      </c>
      <c r="W181" s="14">
        <f t="shared" si="8"/>
        <v>70</v>
      </c>
      <c r="X181" s="14">
        <f t="shared" si="9"/>
        <v>83</v>
      </c>
      <c r="Y181" s="14">
        <f t="shared" si="10"/>
        <v>89</v>
      </c>
      <c r="Z181" s="14">
        <f t="shared" si="11"/>
        <v>71</v>
      </c>
      <c r="AA181" s="14">
        <f t="shared" si="12"/>
        <v>93</v>
      </c>
      <c r="AB181" s="14">
        <f t="shared" si="13"/>
        <v>54</v>
      </c>
      <c r="AC181" s="14">
        <f t="shared" si="14"/>
        <v>46</v>
      </c>
      <c r="AD181" s="14">
        <f t="shared" si="15"/>
        <v>50</v>
      </c>
    </row>
    <row r="182" spans="5:30">
      <c r="E182" s="6"/>
      <c r="F182" s="8" t="s">
        <v>52</v>
      </c>
      <c r="G182" s="9">
        <v>100</v>
      </c>
      <c r="H182" s="23">
        <v>100</v>
      </c>
      <c r="I182" s="24"/>
      <c r="J182" s="22"/>
      <c r="K182" s="23">
        <v>100</v>
      </c>
      <c r="L182" s="22"/>
      <c r="M182" s="9">
        <v>100</v>
      </c>
      <c r="N182" s="9">
        <v>100</v>
      </c>
      <c r="O182" s="9">
        <v>100</v>
      </c>
      <c r="P182" s="9">
        <v>50</v>
      </c>
      <c r="Q182" s="23">
        <v>50</v>
      </c>
      <c r="R182" s="22"/>
      <c r="S182" s="8">
        <v>700</v>
      </c>
      <c r="U182" t="s">
        <v>31</v>
      </c>
      <c r="V182" t="s">
        <v>33</v>
      </c>
      <c r="W182" s="14">
        <f t="shared" si="8"/>
        <v>100</v>
      </c>
      <c r="X182" s="14">
        <f t="shared" si="9"/>
        <v>100</v>
      </c>
      <c r="Y182" s="14">
        <f t="shared" si="10"/>
        <v>100</v>
      </c>
      <c r="Z182" s="14">
        <f t="shared" si="11"/>
        <v>100</v>
      </c>
      <c r="AA182" s="14">
        <f t="shared" si="12"/>
        <v>100</v>
      </c>
      <c r="AB182" s="14">
        <f t="shared" si="13"/>
        <v>100</v>
      </c>
      <c r="AC182" s="14">
        <f t="shared" si="14"/>
        <v>50</v>
      </c>
      <c r="AD182" s="14" t="str">
        <f t="shared" si="15"/>
        <v>OO+</v>
      </c>
    </row>
    <row r="183" spans="5:30">
      <c r="E183" s="4"/>
      <c r="F183" s="8" t="s">
        <v>54</v>
      </c>
      <c r="G183" s="9" t="s">
        <v>108</v>
      </c>
      <c r="H183" s="23" t="s">
        <v>95</v>
      </c>
      <c r="I183" s="24"/>
      <c r="J183" s="22"/>
      <c r="K183" s="23" t="s">
        <v>122</v>
      </c>
      <c r="L183" s="22"/>
      <c r="M183" s="9" t="s">
        <v>108</v>
      </c>
      <c r="N183" s="9" t="s">
        <v>94</v>
      </c>
      <c r="O183" s="9" t="s">
        <v>123</v>
      </c>
      <c r="P183" s="9" t="s">
        <v>94</v>
      </c>
      <c r="Q183" s="23" t="s">
        <v>93</v>
      </c>
      <c r="R183" s="22"/>
      <c r="S183" s="8" t="s">
        <v>33</v>
      </c>
      <c r="U183" t="s">
        <v>183</v>
      </c>
      <c r="V183" t="s">
        <v>36</v>
      </c>
      <c r="W183" s="14" t="str">
        <f t="shared" si="8"/>
        <v>AA</v>
      </c>
      <c r="X183" s="14" t="str">
        <f t="shared" si="9"/>
        <v>OA</v>
      </c>
      <c r="Y183" s="14" t="str">
        <f t="shared" si="10"/>
        <v>OA+</v>
      </c>
      <c r="Z183" s="14" t="str">
        <f t="shared" si="11"/>
        <v>AA</v>
      </c>
      <c r="AA183" s="14" t="str">
        <f t="shared" si="12"/>
        <v>OO</v>
      </c>
      <c r="AB183" s="14" t="str">
        <f t="shared" si="13"/>
        <v>BB</v>
      </c>
      <c r="AC183" s="14" t="str">
        <f t="shared" si="14"/>
        <v>OO</v>
      </c>
      <c r="AD183" s="14" t="str">
        <f t="shared" si="15"/>
        <v>Pass</v>
      </c>
    </row>
    <row r="184" spans="5:30">
      <c r="E184" s="11" t="s">
        <v>182</v>
      </c>
      <c r="F184" s="8" t="s">
        <v>58</v>
      </c>
      <c r="G184" s="9" t="s">
        <v>59</v>
      </c>
      <c r="H184" s="23" t="s">
        <v>59</v>
      </c>
      <c r="I184" s="24"/>
      <c r="J184" s="22"/>
      <c r="K184" s="23" t="s">
        <v>59</v>
      </c>
      <c r="L184" s="22"/>
      <c r="M184" s="9" t="s">
        <v>59</v>
      </c>
      <c r="N184" s="9" t="s">
        <v>59</v>
      </c>
      <c r="O184" s="9" t="s">
        <v>59</v>
      </c>
      <c r="P184" s="9" t="s">
        <v>59</v>
      </c>
      <c r="Q184" s="23" t="s">
        <v>59</v>
      </c>
      <c r="R184" s="22"/>
      <c r="S184" s="8" t="s">
        <v>33</v>
      </c>
      <c r="U184" t="s">
        <v>37</v>
      </c>
      <c r="V184" t="s">
        <v>33</v>
      </c>
      <c r="W184" s="14" t="str">
        <f t="shared" si="8"/>
        <v>Pass</v>
      </c>
      <c r="X184" s="14" t="str">
        <f t="shared" si="9"/>
        <v>Pass</v>
      </c>
      <c r="Y184" s="14" t="str">
        <f t="shared" si="10"/>
        <v>Pass</v>
      </c>
      <c r="Z184" s="14" t="str">
        <f t="shared" si="11"/>
        <v>Pass</v>
      </c>
      <c r="AA184" s="14" t="str">
        <f t="shared" si="12"/>
        <v>Pass</v>
      </c>
      <c r="AB184" s="14" t="str">
        <f t="shared" si="13"/>
        <v>Pass</v>
      </c>
      <c r="AC184" s="14" t="str">
        <f t="shared" si="14"/>
        <v>Pass</v>
      </c>
      <c r="AD184" s="14" t="str">
        <f t="shared" si="15"/>
        <v/>
      </c>
    </row>
    <row r="185" spans="5:30">
      <c r="E185" s="12" t="s">
        <v>33</v>
      </c>
      <c r="F185" s="12" t="s">
        <v>33</v>
      </c>
      <c r="G185" s="13" t="s">
        <v>33</v>
      </c>
      <c r="H185" s="20" t="s">
        <v>33</v>
      </c>
      <c r="I185" s="18"/>
      <c r="J185" s="18"/>
      <c r="K185" s="20" t="s">
        <v>33</v>
      </c>
      <c r="L185" s="18"/>
      <c r="M185" s="13" t="s">
        <v>33</v>
      </c>
      <c r="N185" s="13" t="s">
        <v>33</v>
      </c>
      <c r="O185" s="13" t="s">
        <v>33</v>
      </c>
      <c r="P185" s="13" t="s">
        <v>33</v>
      </c>
      <c r="Q185" s="20" t="s">
        <v>33</v>
      </c>
      <c r="R185" s="18"/>
      <c r="S185" s="13" t="s">
        <v>33</v>
      </c>
      <c r="U185" t="s">
        <v>192</v>
      </c>
      <c r="V185" t="s">
        <v>33</v>
      </c>
      <c r="W185" s="14" t="str">
        <f t="shared" si="8"/>
        <v/>
      </c>
      <c r="X185" s="14" t="str">
        <f t="shared" si="9"/>
        <v/>
      </c>
      <c r="Y185" s="14" t="str">
        <f t="shared" si="10"/>
        <v/>
      </c>
      <c r="Z185" s="14" t="str">
        <f t="shared" si="11"/>
        <v/>
      </c>
      <c r="AA185" s="14" t="str">
        <f t="shared" si="12"/>
        <v/>
      </c>
      <c r="AB185" s="14" t="str">
        <f t="shared" si="13"/>
        <v/>
      </c>
      <c r="AC185" s="14" t="str">
        <f t="shared" si="14"/>
        <v/>
      </c>
      <c r="AD185" s="14">
        <f t="shared" si="15"/>
        <v>0</v>
      </c>
    </row>
    <row r="186" spans="5:30" ht="0" hidden="1" customHeight="1">
      <c r="U186">
        <v>0</v>
      </c>
      <c r="V186">
        <v>0</v>
      </c>
      <c r="W186" s="14">
        <f t="shared" si="8"/>
        <v>0</v>
      </c>
      <c r="X186" s="14">
        <f t="shared" si="9"/>
        <v>0</v>
      </c>
      <c r="Y186" s="14">
        <f t="shared" si="10"/>
        <v>0</v>
      </c>
      <c r="Z186" s="14">
        <f t="shared" si="11"/>
        <v>0</v>
      </c>
      <c r="AA186" s="14">
        <f t="shared" si="12"/>
        <v>0</v>
      </c>
      <c r="AB186" s="14">
        <f t="shared" si="13"/>
        <v>0</v>
      </c>
      <c r="AC186" s="14">
        <f t="shared" si="14"/>
        <v>0</v>
      </c>
      <c r="AD186" s="14">
        <f t="shared" si="15"/>
        <v>0</v>
      </c>
    </row>
    <row r="187" spans="5:30" ht="0.6" customHeight="1">
      <c r="U187">
        <v>0</v>
      </c>
      <c r="V187">
        <v>25</v>
      </c>
      <c r="W187" s="14">
        <f t="shared" si="8"/>
        <v>0</v>
      </c>
      <c r="X187" s="14">
        <f t="shared" si="9"/>
        <v>0</v>
      </c>
      <c r="Y187" s="14">
        <f t="shared" si="10"/>
        <v>0</v>
      </c>
      <c r="Z187" s="14">
        <f t="shared" si="11"/>
        <v>0</v>
      </c>
      <c r="AA187" s="14">
        <f t="shared" si="12"/>
        <v>0</v>
      </c>
      <c r="AB187" s="14">
        <f t="shared" si="13"/>
        <v>0</v>
      </c>
      <c r="AC187" s="14">
        <f t="shared" si="14"/>
        <v>0</v>
      </c>
      <c r="AD187" s="14" t="str">
        <f t="shared" si="15"/>
        <v/>
      </c>
    </row>
    <row r="188" spans="5:30">
      <c r="E188" s="4"/>
      <c r="F188" s="3" t="s">
        <v>32</v>
      </c>
      <c r="G188" s="5" t="s">
        <v>33</v>
      </c>
      <c r="H188" s="32" t="s">
        <v>33</v>
      </c>
      <c r="I188" s="18"/>
      <c r="J188" s="18"/>
      <c r="K188" s="32" t="s">
        <v>33</v>
      </c>
      <c r="L188" s="18"/>
      <c r="M188" s="5" t="s">
        <v>33</v>
      </c>
      <c r="N188" s="5" t="s">
        <v>33</v>
      </c>
      <c r="O188" s="5" t="s">
        <v>33</v>
      </c>
      <c r="P188" s="5" t="s">
        <v>33</v>
      </c>
      <c r="Q188" s="32" t="s">
        <v>33</v>
      </c>
      <c r="R188" s="18"/>
      <c r="S188" s="5" t="s">
        <v>33</v>
      </c>
      <c r="U188" t="s">
        <v>46</v>
      </c>
      <c r="V188" t="s">
        <v>33</v>
      </c>
      <c r="W188" s="14" t="str">
        <f t="shared" si="8"/>
        <v/>
      </c>
      <c r="X188" s="14" t="str">
        <f t="shared" si="9"/>
        <v/>
      </c>
      <c r="Y188" s="14" t="str">
        <f t="shared" si="10"/>
        <v/>
      </c>
      <c r="Z188" s="14" t="str">
        <f t="shared" si="11"/>
        <v/>
      </c>
      <c r="AA188" s="14" t="str">
        <f t="shared" si="12"/>
        <v/>
      </c>
      <c r="AB188" s="14" t="str">
        <f t="shared" si="13"/>
        <v/>
      </c>
      <c r="AC188" s="14" t="str">
        <f t="shared" si="14"/>
        <v/>
      </c>
      <c r="AD188" s="14" t="str">
        <f t="shared" si="15"/>
        <v>COMNCSN302</v>
      </c>
    </row>
    <row r="189" spans="5:30" ht="21">
      <c r="E189" s="4"/>
      <c r="F189" s="7" t="s">
        <v>35</v>
      </c>
      <c r="G189" s="7" t="s">
        <v>5</v>
      </c>
      <c r="H189" s="30" t="s">
        <v>7</v>
      </c>
      <c r="I189" s="24"/>
      <c r="J189" s="22"/>
      <c r="K189" s="30" t="s">
        <v>9</v>
      </c>
      <c r="L189" s="22"/>
      <c r="M189" s="7" t="s">
        <v>11</v>
      </c>
      <c r="N189" s="7" t="s">
        <v>15</v>
      </c>
      <c r="O189" s="7" t="s">
        <v>17</v>
      </c>
      <c r="P189" s="7" t="s">
        <v>21</v>
      </c>
      <c r="Q189" s="30" t="s">
        <v>23</v>
      </c>
      <c r="R189" s="22"/>
      <c r="S189" s="7" t="s">
        <v>36</v>
      </c>
      <c r="U189" t="s">
        <v>48</v>
      </c>
      <c r="V189">
        <v>207</v>
      </c>
      <c r="W189" s="14" t="str">
        <f t="shared" si="8"/>
        <v>BBABMCN301</v>
      </c>
      <c r="X189" s="14" t="str">
        <f t="shared" si="9"/>
        <v>BBABMCN302</v>
      </c>
      <c r="Y189" s="14" t="str">
        <f t="shared" si="10"/>
        <v>BBABMCN303</v>
      </c>
      <c r="Z189" s="14" t="str">
        <f t="shared" si="11"/>
        <v>BBAENLN301</v>
      </c>
      <c r="AA189" s="14" t="str">
        <f t="shared" si="12"/>
        <v>BBAKALN302</v>
      </c>
      <c r="AB189" s="14" t="str">
        <f t="shared" si="13"/>
        <v>BCACAEN302</v>
      </c>
      <c r="AC189" s="14" t="str">
        <f t="shared" si="14"/>
        <v>COMFISN301</v>
      </c>
      <c r="AD189" s="14" t="str">
        <f t="shared" si="15"/>
        <v xml:space="preserve"> - - + - - </v>
      </c>
    </row>
    <row r="190" spans="5:30" ht="22.5">
      <c r="E190" s="6" t="s">
        <v>184</v>
      </c>
      <c r="F190" s="8" t="s">
        <v>39</v>
      </c>
      <c r="G190" s="9" t="s">
        <v>185</v>
      </c>
      <c r="H190" s="23" t="s">
        <v>186</v>
      </c>
      <c r="I190" s="24"/>
      <c r="J190" s="22"/>
      <c r="K190" s="23" t="s">
        <v>187</v>
      </c>
      <c r="L190" s="22"/>
      <c r="M190" s="9" t="s">
        <v>188</v>
      </c>
      <c r="N190" s="9" t="s">
        <v>189</v>
      </c>
      <c r="O190" s="9" t="s">
        <v>190</v>
      </c>
      <c r="P190" s="9" t="s">
        <v>191</v>
      </c>
      <c r="Q190" s="23" t="s">
        <v>43</v>
      </c>
      <c r="R190" s="22"/>
      <c r="S190" s="8" t="s">
        <v>33</v>
      </c>
      <c r="U190" t="s">
        <v>50</v>
      </c>
      <c r="V190">
        <v>547</v>
      </c>
      <c r="W190" s="14" t="str">
        <f t="shared" si="8"/>
        <v>50.00 + 33.00</v>
      </c>
      <c r="X190" s="14" t="str">
        <f t="shared" si="9"/>
        <v>47.00 + 30.00</v>
      </c>
      <c r="Y190" s="14" t="str">
        <f t="shared" si="10"/>
        <v>58.00 + 40.00</v>
      </c>
      <c r="Z190" s="14" t="str">
        <f t="shared" si="11"/>
        <v>36.00 + 29.00</v>
      </c>
      <c r="AA190" s="14" t="str">
        <f t="shared" si="12"/>
        <v>39.00 + 33.00</v>
      </c>
      <c r="AB190" s="14" t="str">
        <f t="shared" si="13"/>
        <v>36.00 + 25.00</v>
      </c>
      <c r="AC190" s="14" t="str">
        <f t="shared" si="14"/>
        <v>24.00 + 19.00</v>
      </c>
      <c r="AD190" s="14" t="str">
        <f t="shared" si="15"/>
        <v xml:space="preserve"> - - +48.00</v>
      </c>
    </row>
    <row r="191" spans="5:30">
      <c r="E191" s="25"/>
      <c r="F191" s="8" t="s">
        <v>42</v>
      </c>
      <c r="G191" s="9" t="s">
        <v>43</v>
      </c>
      <c r="H191" s="23" t="s">
        <v>43</v>
      </c>
      <c r="I191" s="24"/>
      <c r="J191" s="22"/>
      <c r="K191" s="23" t="s">
        <v>43</v>
      </c>
      <c r="L191" s="22"/>
      <c r="M191" s="9" t="s">
        <v>43</v>
      </c>
      <c r="N191" s="9" t="s">
        <v>43</v>
      </c>
      <c r="O191" s="9" t="s">
        <v>43</v>
      </c>
      <c r="P191" s="9" t="s">
        <v>43</v>
      </c>
      <c r="Q191" s="23" t="s">
        <v>107</v>
      </c>
      <c r="R191" s="22"/>
      <c r="S191" s="8" t="s">
        <v>33</v>
      </c>
      <c r="U191" t="s">
        <v>51</v>
      </c>
      <c r="V191">
        <v>700</v>
      </c>
      <c r="W191" s="14" t="str">
        <f t="shared" si="8"/>
        <v xml:space="preserve"> - - + - - </v>
      </c>
      <c r="X191" s="14" t="str">
        <f t="shared" si="9"/>
        <v xml:space="preserve"> - - + - - </v>
      </c>
      <c r="Y191" s="14" t="str">
        <f t="shared" si="10"/>
        <v xml:space="preserve"> - - + - - </v>
      </c>
      <c r="Z191" s="14" t="str">
        <f t="shared" si="11"/>
        <v xml:space="preserve"> - - + - - </v>
      </c>
      <c r="AA191" s="14" t="str">
        <f t="shared" si="12"/>
        <v xml:space="preserve"> - - + - - </v>
      </c>
      <c r="AB191" s="14" t="str">
        <f t="shared" si="13"/>
        <v xml:space="preserve"> - - + - - </v>
      </c>
      <c r="AC191" s="14" t="str">
        <f t="shared" si="14"/>
        <v xml:space="preserve"> - - + - - </v>
      </c>
      <c r="AD191" s="14" t="str">
        <f t="shared" si="15"/>
        <v/>
      </c>
    </row>
    <row r="192" spans="5:30">
      <c r="E192" s="27"/>
      <c r="F192" s="8" t="s">
        <v>44</v>
      </c>
      <c r="G192" s="9" t="s">
        <v>33</v>
      </c>
      <c r="H192" s="23" t="s">
        <v>33</v>
      </c>
      <c r="I192" s="24"/>
      <c r="J192" s="22"/>
      <c r="K192" s="23" t="s">
        <v>33</v>
      </c>
      <c r="L192" s="22"/>
      <c r="M192" s="9" t="s">
        <v>33</v>
      </c>
      <c r="N192" s="9" t="s">
        <v>33</v>
      </c>
      <c r="O192" s="9" t="s">
        <v>33</v>
      </c>
      <c r="P192" s="9" t="s">
        <v>33</v>
      </c>
      <c r="Q192" s="23" t="s">
        <v>33</v>
      </c>
      <c r="R192" s="22"/>
      <c r="S192" s="8">
        <v>0</v>
      </c>
      <c r="U192" t="s">
        <v>159</v>
      </c>
      <c r="V192" t="s">
        <v>33</v>
      </c>
      <c r="W192" s="14" t="str">
        <f t="shared" si="8"/>
        <v/>
      </c>
      <c r="X192" s="14" t="str">
        <f t="shared" si="9"/>
        <v/>
      </c>
      <c r="Y192" s="14" t="str">
        <f t="shared" si="10"/>
        <v/>
      </c>
      <c r="Z192" s="14" t="str">
        <f t="shared" si="11"/>
        <v/>
      </c>
      <c r="AA192" s="14" t="str">
        <f t="shared" si="12"/>
        <v/>
      </c>
      <c r="AB192" s="14" t="str">
        <f t="shared" si="13"/>
        <v/>
      </c>
      <c r="AC192" s="14" t="str">
        <f t="shared" si="14"/>
        <v/>
      </c>
      <c r="AD192" s="14">
        <f t="shared" si="15"/>
        <v>2</v>
      </c>
    </row>
    <row r="193" spans="5:30">
      <c r="E193" s="29"/>
      <c r="F193" s="8" t="s">
        <v>45</v>
      </c>
      <c r="G193" s="9">
        <v>4</v>
      </c>
      <c r="H193" s="23">
        <v>4</v>
      </c>
      <c r="I193" s="24"/>
      <c r="J193" s="22"/>
      <c r="K193" s="23">
        <v>4</v>
      </c>
      <c r="L193" s="22"/>
      <c r="M193" s="9">
        <v>3</v>
      </c>
      <c r="N193" s="9">
        <v>3</v>
      </c>
      <c r="O193" s="9">
        <v>3</v>
      </c>
      <c r="P193" s="9">
        <v>2</v>
      </c>
      <c r="Q193" s="23">
        <v>2</v>
      </c>
      <c r="R193" s="22"/>
      <c r="S193" s="8">
        <v>25</v>
      </c>
      <c r="U193" t="s">
        <v>56</v>
      </c>
      <c r="V193" t="s">
        <v>33</v>
      </c>
      <c r="W193" s="14">
        <f t="shared" si="8"/>
        <v>4</v>
      </c>
      <c r="X193" s="14">
        <f t="shared" si="9"/>
        <v>4</v>
      </c>
      <c r="Y193" s="14">
        <f t="shared" si="10"/>
        <v>4</v>
      </c>
      <c r="Z193" s="14">
        <f t="shared" si="11"/>
        <v>3</v>
      </c>
      <c r="AA193" s="14">
        <f t="shared" si="12"/>
        <v>3</v>
      </c>
      <c r="AB193" s="14">
        <f t="shared" si="13"/>
        <v>3</v>
      </c>
      <c r="AC193" s="14">
        <f t="shared" si="14"/>
        <v>2</v>
      </c>
      <c r="AD193" s="14">
        <f t="shared" si="15"/>
        <v>10</v>
      </c>
    </row>
    <row r="194" spans="5:30">
      <c r="E194" s="6">
        <v>8.2799999999999994</v>
      </c>
      <c r="F194" s="8" t="s">
        <v>47</v>
      </c>
      <c r="G194" s="9">
        <v>8.5</v>
      </c>
      <c r="H194" s="23">
        <v>8</v>
      </c>
      <c r="I194" s="24"/>
      <c r="J194" s="22"/>
      <c r="K194" s="23">
        <v>10</v>
      </c>
      <c r="L194" s="22"/>
      <c r="M194" s="9">
        <v>7</v>
      </c>
      <c r="N194" s="9">
        <v>7.5</v>
      </c>
      <c r="O194" s="9">
        <v>6.5</v>
      </c>
      <c r="P194" s="9">
        <v>9</v>
      </c>
      <c r="Q194" s="23">
        <v>10</v>
      </c>
      <c r="R194" s="22"/>
      <c r="S194" s="8" t="s">
        <v>33</v>
      </c>
      <c r="U194" t="s">
        <v>33</v>
      </c>
      <c r="V194" t="s">
        <v>33</v>
      </c>
      <c r="W194" s="14">
        <f t="shared" si="8"/>
        <v>8.5</v>
      </c>
      <c r="X194" s="14">
        <f t="shared" si="9"/>
        <v>8</v>
      </c>
      <c r="Y194" s="14">
        <f t="shared" si="10"/>
        <v>10</v>
      </c>
      <c r="Z194" s="14">
        <f t="shared" si="11"/>
        <v>7</v>
      </c>
      <c r="AA194" s="14">
        <f t="shared" si="12"/>
        <v>7.5</v>
      </c>
      <c r="AB194" s="14">
        <f t="shared" si="13"/>
        <v>6.5</v>
      </c>
      <c r="AC194" s="14">
        <f t="shared" si="14"/>
        <v>9</v>
      </c>
      <c r="AD194" s="14">
        <f t="shared" si="15"/>
        <v>20</v>
      </c>
    </row>
    <row r="195" spans="5:30">
      <c r="E195" s="10">
        <v>7.84</v>
      </c>
      <c r="F195" s="8" t="s">
        <v>49</v>
      </c>
      <c r="G195" s="9">
        <v>34</v>
      </c>
      <c r="H195" s="23">
        <v>32</v>
      </c>
      <c r="I195" s="24"/>
      <c r="J195" s="22"/>
      <c r="K195" s="23">
        <v>40</v>
      </c>
      <c r="L195" s="22"/>
      <c r="M195" s="9">
        <v>21</v>
      </c>
      <c r="N195" s="9">
        <v>22.5</v>
      </c>
      <c r="O195" s="9">
        <v>19.5</v>
      </c>
      <c r="P195" s="9">
        <v>18</v>
      </c>
      <c r="Q195" s="23">
        <v>20</v>
      </c>
      <c r="R195" s="22"/>
      <c r="S195" s="8">
        <v>207</v>
      </c>
      <c r="U195">
        <v>0</v>
      </c>
      <c r="V195">
        <v>0</v>
      </c>
      <c r="W195" s="14">
        <f t="shared" si="8"/>
        <v>34</v>
      </c>
      <c r="X195" s="14">
        <f t="shared" si="9"/>
        <v>32</v>
      </c>
      <c r="Y195" s="14">
        <f t="shared" si="10"/>
        <v>40</v>
      </c>
      <c r="Z195" s="14">
        <f t="shared" si="11"/>
        <v>21</v>
      </c>
      <c r="AA195" s="14">
        <f t="shared" si="12"/>
        <v>22.5</v>
      </c>
      <c r="AB195" s="14">
        <f t="shared" si="13"/>
        <v>19.5</v>
      </c>
      <c r="AC195" s="14">
        <f t="shared" si="14"/>
        <v>18</v>
      </c>
      <c r="AD195" s="14">
        <f t="shared" si="15"/>
        <v>48</v>
      </c>
    </row>
    <row r="196" spans="5:30">
      <c r="E196" s="4"/>
      <c r="F196" s="8" t="s">
        <v>36</v>
      </c>
      <c r="G196" s="9">
        <v>83</v>
      </c>
      <c r="H196" s="23">
        <v>77</v>
      </c>
      <c r="I196" s="24"/>
      <c r="J196" s="22"/>
      <c r="K196" s="23">
        <v>98</v>
      </c>
      <c r="L196" s="22"/>
      <c r="M196" s="9">
        <v>65</v>
      </c>
      <c r="N196" s="9">
        <v>72</v>
      </c>
      <c r="O196" s="9">
        <v>61</v>
      </c>
      <c r="P196" s="9">
        <v>43</v>
      </c>
      <c r="Q196" s="23">
        <v>48</v>
      </c>
      <c r="R196" s="22"/>
      <c r="S196" s="8">
        <v>547</v>
      </c>
      <c r="U196" t="s">
        <v>31</v>
      </c>
      <c r="V196" t="s">
        <v>33</v>
      </c>
      <c r="W196" s="14">
        <f t="shared" si="8"/>
        <v>83</v>
      </c>
      <c r="X196" s="14">
        <f t="shared" si="9"/>
        <v>77</v>
      </c>
      <c r="Y196" s="14">
        <f t="shared" si="10"/>
        <v>98</v>
      </c>
      <c r="Z196" s="14">
        <f t="shared" si="11"/>
        <v>65</v>
      </c>
      <c r="AA196" s="14">
        <f t="shared" si="12"/>
        <v>72</v>
      </c>
      <c r="AB196" s="14">
        <f t="shared" si="13"/>
        <v>61</v>
      </c>
      <c r="AC196" s="14">
        <f t="shared" si="14"/>
        <v>43</v>
      </c>
      <c r="AD196" s="14">
        <f t="shared" si="15"/>
        <v>50</v>
      </c>
    </row>
    <row r="197" spans="5:30">
      <c r="E197" s="6"/>
      <c r="F197" s="8" t="s">
        <v>52</v>
      </c>
      <c r="G197" s="9">
        <v>100</v>
      </c>
      <c r="H197" s="23">
        <v>100</v>
      </c>
      <c r="I197" s="24"/>
      <c r="J197" s="22"/>
      <c r="K197" s="23">
        <v>100</v>
      </c>
      <c r="L197" s="22"/>
      <c r="M197" s="9">
        <v>100</v>
      </c>
      <c r="N197" s="9">
        <v>100</v>
      </c>
      <c r="O197" s="9">
        <v>100</v>
      </c>
      <c r="P197" s="9">
        <v>50</v>
      </c>
      <c r="Q197" s="23">
        <v>50</v>
      </c>
      <c r="R197" s="22"/>
      <c r="S197" s="8">
        <v>700</v>
      </c>
      <c r="U197" t="s">
        <v>194</v>
      </c>
      <c r="V197" t="s">
        <v>36</v>
      </c>
      <c r="W197" s="14">
        <f t="shared" si="8"/>
        <v>100</v>
      </c>
      <c r="X197" s="14">
        <f t="shared" si="9"/>
        <v>100</v>
      </c>
      <c r="Y197" s="14">
        <f t="shared" si="10"/>
        <v>100</v>
      </c>
      <c r="Z197" s="14">
        <f t="shared" si="11"/>
        <v>100</v>
      </c>
      <c r="AA197" s="14">
        <f t="shared" si="12"/>
        <v>100</v>
      </c>
      <c r="AB197" s="14">
        <f t="shared" si="13"/>
        <v>100</v>
      </c>
      <c r="AC197" s="14">
        <f t="shared" si="14"/>
        <v>50</v>
      </c>
      <c r="AD197" s="14" t="str">
        <f t="shared" si="15"/>
        <v>OO+</v>
      </c>
    </row>
    <row r="198" spans="5:30">
      <c r="E198" s="4"/>
      <c r="F198" s="8" t="s">
        <v>54</v>
      </c>
      <c r="G198" s="9" t="s">
        <v>95</v>
      </c>
      <c r="H198" s="23" t="s">
        <v>135</v>
      </c>
      <c r="I198" s="24"/>
      <c r="J198" s="22"/>
      <c r="K198" s="23" t="s">
        <v>93</v>
      </c>
      <c r="L198" s="22"/>
      <c r="M198" s="9" t="s">
        <v>109</v>
      </c>
      <c r="N198" s="9" t="s">
        <v>108</v>
      </c>
      <c r="O198" s="9" t="s">
        <v>76</v>
      </c>
      <c r="P198" s="9" t="s">
        <v>122</v>
      </c>
      <c r="Q198" s="23" t="s">
        <v>93</v>
      </c>
      <c r="R198" s="22"/>
      <c r="S198" s="8" t="s">
        <v>33</v>
      </c>
      <c r="U198" t="s">
        <v>37</v>
      </c>
      <c r="V198" t="s">
        <v>33</v>
      </c>
      <c r="W198" s="14" t="str">
        <f t="shared" si="8"/>
        <v>OA</v>
      </c>
      <c r="X198" s="14" t="str">
        <f t="shared" si="9"/>
        <v>AA+</v>
      </c>
      <c r="Y198" s="14" t="str">
        <f t="shared" si="10"/>
        <v>OO+</v>
      </c>
      <c r="Z198" s="14" t="str">
        <f t="shared" si="11"/>
        <v>AB+</v>
      </c>
      <c r="AA198" s="14" t="str">
        <f t="shared" si="12"/>
        <v>AA</v>
      </c>
      <c r="AB198" s="14" t="str">
        <f t="shared" si="13"/>
        <v>AB</v>
      </c>
      <c r="AC198" s="14" t="str">
        <f t="shared" si="14"/>
        <v>OA+</v>
      </c>
      <c r="AD198" s="14" t="str">
        <f t="shared" si="15"/>
        <v>Pass</v>
      </c>
    </row>
    <row r="199" spans="5:30">
      <c r="E199" s="11" t="s">
        <v>193</v>
      </c>
      <c r="F199" s="8" t="s">
        <v>58</v>
      </c>
      <c r="G199" s="9" t="s">
        <v>59</v>
      </c>
      <c r="H199" s="23" t="s">
        <v>59</v>
      </c>
      <c r="I199" s="24"/>
      <c r="J199" s="22"/>
      <c r="K199" s="23" t="s">
        <v>59</v>
      </c>
      <c r="L199" s="22"/>
      <c r="M199" s="9" t="s">
        <v>59</v>
      </c>
      <c r="N199" s="9" t="s">
        <v>59</v>
      </c>
      <c r="O199" s="9" t="s">
        <v>59</v>
      </c>
      <c r="P199" s="9" t="s">
        <v>59</v>
      </c>
      <c r="Q199" s="23" t="s">
        <v>59</v>
      </c>
      <c r="R199" s="22"/>
      <c r="S199" s="8" t="s">
        <v>33</v>
      </c>
      <c r="U199" t="s">
        <v>202</v>
      </c>
      <c r="V199" t="s">
        <v>33</v>
      </c>
      <c r="W199" s="14" t="str">
        <f t="shared" ref="W199:W262" si="16">$G199</f>
        <v>Pass</v>
      </c>
      <c r="X199" s="14" t="str">
        <f t="shared" ref="X199:X262" si="17">$H199</f>
        <v>Pass</v>
      </c>
      <c r="Y199" s="14" t="str">
        <f t="shared" ref="Y199:Y262" si="18">$K199</f>
        <v>Pass</v>
      </c>
      <c r="Z199" s="14" t="str">
        <f t="shared" ref="Z199:Z262" si="19">$M199</f>
        <v>Pass</v>
      </c>
      <c r="AA199" s="14" t="str">
        <f t="shared" ref="AA199:AA262" si="20">$N199</f>
        <v>Pass</v>
      </c>
      <c r="AB199" s="14" t="str">
        <f t="shared" ref="AB199:AB262" si="21">$O199</f>
        <v>Pass</v>
      </c>
      <c r="AC199" s="14" t="str">
        <f t="shared" ref="AC199:AC262" si="22">$P199</f>
        <v>Pass</v>
      </c>
      <c r="AD199" s="14" t="str">
        <f t="shared" ref="AD199:AD262" si="23">$Q200</f>
        <v/>
      </c>
    </row>
    <row r="200" spans="5:30">
      <c r="E200" s="12" t="s">
        <v>33</v>
      </c>
      <c r="F200" s="12" t="s">
        <v>33</v>
      </c>
      <c r="G200" s="13" t="s">
        <v>33</v>
      </c>
      <c r="H200" s="20" t="s">
        <v>33</v>
      </c>
      <c r="I200" s="18"/>
      <c r="J200" s="18"/>
      <c r="K200" s="20" t="s">
        <v>33</v>
      </c>
      <c r="L200" s="18"/>
      <c r="M200" s="13" t="s">
        <v>33</v>
      </c>
      <c r="N200" s="13" t="s">
        <v>33</v>
      </c>
      <c r="O200" s="13" t="s">
        <v>33</v>
      </c>
      <c r="P200" s="13" t="s">
        <v>33</v>
      </c>
      <c r="Q200" s="20" t="s">
        <v>33</v>
      </c>
      <c r="R200" s="18"/>
      <c r="S200" s="13" t="s">
        <v>33</v>
      </c>
      <c r="U200">
        <v>0</v>
      </c>
      <c r="V200">
        <v>0</v>
      </c>
      <c r="W200" s="14" t="str">
        <f t="shared" si="16"/>
        <v/>
      </c>
      <c r="X200" s="14" t="str">
        <f t="shared" si="17"/>
        <v/>
      </c>
      <c r="Y200" s="14" t="str">
        <f t="shared" si="18"/>
        <v/>
      </c>
      <c r="Z200" s="14" t="str">
        <f t="shared" si="19"/>
        <v/>
      </c>
      <c r="AA200" s="14" t="str">
        <f t="shared" si="20"/>
        <v/>
      </c>
      <c r="AB200" s="14" t="str">
        <f t="shared" si="21"/>
        <v/>
      </c>
      <c r="AC200" s="14" t="str">
        <f t="shared" si="22"/>
        <v/>
      </c>
      <c r="AD200" s="14">
        <f t="shared" si="23"/>
        <v>0</v>
      </c>
    </row>
    <row r="201" spans="5:30" ht="0.6" customHeight="1">
      <c r="U201">
        <v>0</v>
      </c>
      <c r="V201">
        <v>25</v>
      </c>
      <c r="W201" s="14">
        <f t="shared" si="16"/>
        <v>0</v>
      </c>
      <c r="X201" s="14">
        <f t="shared" si="17"/>
        <v>0</v>
      </c>
      <c r="Y201" s="14">
        <f t="shared" si="18"/>
        <v>0</v>
      </c>
      <c r="Z201" s="14">
        <f t="shared" si="19"/>
        <v>0</v>
      </c>
      <c r="AA201" s="14">
        <f t="shared" si="20"/>
        <v>0</v>
      </c>
      <c r="AB201" s="14">
        <f t="shared" si="21"/>
        <v>0</v>
      </c>
      <c r="AC201" s="14">
        <f t="shared" si="22"/>
        <v>0</v>
      </c>
      <c r="AD201" s="14" t="str">
        <f t="shared" si="23"/>
        <v/>
      </c>
    </row>
    <row r="202" spans="5:30">
      <c r="E202" s="4"/>
      <c r="F202" s="3" t="s">
        <v>32</v>
      </c>
      <c r="G202" s="5" t="s">
        <v>33</v>
      </c>
      <c r="H202" s="32" t="s">
        <v>33</v>
      </c>
      <c r="I202" s="18"/>
      <c r="J202" s="18"/>
      <c r="K202" s="32" t="s">
        <v>33</v>
      </c>
      <c r="L202" s="18"/>
      <c r="M202" s="5" t="s">
        <v>33</v>
      </c>
      <c r="N202" s="5" t="s">
        <v>33</v>
      </c>
      <c r="O202" s="5" t="s">
        <v>33</v>
      </c>
      <c r="P202" s="5" t="s">
        <v>33</v>
      </c>
      <c r="Q202" s="32" t="s">
        <v>33</v>
      </c>
      <c r="R202" s="18"/>
      <c r="S202" s="5" t="s">
        <v>33</v>
      </c>
      <c r="U202" t="s">
        <v>46</v>
      </c>
      <c r="V202" t="s">
        <v>33</v>
      </c>
      <c r="W202" s="14" t="str">
        <f t="shared" si="16"/>
        <v/>
      </c>
      <c r="X202" s="14" t="str">
        <f t="shared" si="17"/>
        <v/>
      </c>
      <c r="Y202" s="14" t="str">
        <f t="shared" si="18"/>
        <v/>
      </c>
      <c r="Z202" s="14" t="str">
        <f t="shared" si="19"/>
        <v/>
      </c>
      <c r="AA202" s="14" t="str">
        <f t="shared" si="20"/>
        <v/>
      </c>
      <c r="AB202" s="14" t="str">
        <f t="shared" si="21"/>
        <v/>
      </c>
      <c r="AC202" s="14" t="str">
        <f t="shared" si="22"/>
        <v/>
      </c>
      <c r="AD202" s="14" t="str">
        <f t="shared" si="23"/>
        <v>COMNCSN302</v>
      </c>
    </row>
    <row r="203" spans="5:30" ht="21">
      <c r="E203" s="4"/>
      <c r="F203" s="7" t="s">
        <v>35</v>
      </c>
      <c r="G203" s="7" t="s">
        <v>5</v>
      </c>
      <c r="H203" s="30" t="s">
        <v>7</v>
      </c>
      <c r="I203" s="24"/>
      <c r="J203" s="22"/>
      <c r="K203" s="30" t="s">
        <v>9</v>
      </c>
      <c r="L203" s="22"/>
      <c r="M203" s="7" t="s">
        <v>11</v>
      </c>
      <c r="N203" s="7" t="s">
        <v>15</v>
      </c>
      <c r="O203" s="7" t="s">
        <v>17</v>
      </c>
      <c r="P203" s="7" t="s">
        <v>21</v>
      </c>
      <c r="Q203" s="30" t="s">
        <v>23</v>
      </c>
      <c r="R203" s="22"/>
      <c r="S203" s="7" t="s">
        <v>36</v>
      </c>
      <c r="U203" t="s">
        <v>48</v>
      </c>
      <c r="V203">
        <v>205.5</v>
      </c>
      <c r="W203" s="14" t="str">
        <f t="shared" si="16"/>
        <v>BBABMCN301</v>
      </c>
      <c r="X203" s="14" t="str">
        <f t="shared" si="17"/>
        <v>BBABMCN302</v>
      </c>
      <c r="Y203" s="14" t="str">
        <f t="shared" si="18"/>
        <v>BBABMCN303</v>
      </c>
      <c r="Z203" s="14" t="str">
        <f t="shared" si="19"/>
        <v>BBAENLN301</v>
      </c>
      <c r="AA203" s="14" t="str">
        <f t="shared" si="20"/>
        <v>BBAKALN302</v>
      </c>
      <c r="AB203" s="14" t="str">
        <f t="shared" si="21"/>
        <v>BCACAEN302</v>
      </c>
      <c r="AC203" s="14" t="str">
        <f t="shared" si="22"/>
        <v>COMFISN301</v>
      </c>
      <c r="AD203" s="14" t="str">
        <f t="shared" si="23"/>
        <v xml:space="preserve"> - - + - - </v>
      </c>
    </row>
    <row r="204" spans="5:30" ht="22.5">
      <c r="E204" s="6" t="s">
        <v>195</v>
      </c>
      <c r="F204" s="8" t="s">
        <v>39</v>
      </c>
      <c r="G204" s="9" t="s">
        <v>196</v>
      </c>
      <c r="H204" s="23" t="s">
        <v>197</v>
      </c>
      <c r="I204" s="24"/>
      <c r="J204" s="22"/>
      <c r="K204" s="23" t="s">
        <v>198</v>
      </c>
      <c r="L204" s="22"/>
      <c r="M204" s="9" t="s">
        <v>142</v>
      </c>
      <c r="N204" s="9" t="s">
        <v>199</v>
      </c>
      <c r="O204" s="9" t="s">
        <v>200</v>
      </c>
      <c r="P204" s="9" t="s">
        <v>201</v>
      </c>
      <c r="Q204" s="23" t="s">
        <v>43</v>
      </c>
      <c r="R204" s="22"/>
      <c r="S204" s="8" t="s">
        <v>33</v>
      </c>
      <c r="U204" t="s">
        <v>50</v>
      </c>
      <c r="V204">
        <v>554</v>
      </c>
      <c r="W204" s="14" t="str">
        <f t="shared" si="16"/>
        <v>49.00 + 32.00</v>
      </c>
      <c r="X204" s="14" t="str">
        <f t="shared" si="17"/>
        <v>43.00 + 36.00</v>
      </c>
      <c r="Y204" s="14" t="str">
        <f t="shared" si="18"/>
        <v>44.00 + 35.00</v>
      </c>
      <c r="Z204" s="14" t="str">
        <f t="shared" si="19"/>
        <v>43.00 + 31.00</v>
      </c>
      <c r="AA204" s="14" t="str">
        <f t="shared" si="20"/>
        <v>36.00 + 34.00</v>
      </c>
      <c r="AB204" s="14" t="str">
        <f t="shared" si="21"/>
        <v>42.00 + 30.00</v>
      </c>
      <c r="AC204" s="14" t="str">
        <f t="shared" si="22"/>
        <v>29.00 + 20.00</v>
      </c>
      <c r="AD204" s="14" t="str">
        <f t="shared" si="23"/>
        <v xml:space="preserve"> - - +50.00</v>
      </c>
    </row>
    <row r="205" spans="5:30">
      <c r="E205" s="25"/>
      <c r="F205" s="8" t="s">
        <v>42</v>
      </c>
      <c r="G205" s="9" t="s">
        <v>43</v>
      </c>
      <c r="H205" s="23" t="s">
        <v>43</v>
      </c>
      <c r="I205" s="24"/>
      <c r="J205" s="22"/>
      <c r="K205" s="23" t="s">
        <v>43</v>
      </c>
      <c r="L205" s="22"/>
      <c r="M205" s="9" t="s">
        <v>43</v>
      </c>
      <c r="N205" s="9" t="s">
        <v>43</v>
      </c>
      <c r="O205" s="9" t="s">
        <v>43</v>
      </c>
      <c r="P205" s="9" t="s">
        <v>43</v>
      </c>
      <c r="Q205" s="23" t="s">
        <v>91</v>
      </c>
      <c r="R205" s="22"/>
      <c r="S205" s="8" t="s">
        <v>33</v>
      </c>
      <c r="U205" t="s">
        <v>51</v>
      </c>
      <c r="V205">
        <v>700</v>
      </c>
      <c r="W205" s="14" t="str">
        <f t="shared" si="16"/>
        <v xml:space="preserve"> - - + - - </v>
      </c>
      <c r="X205" s="14" t="str">
        <f t="shared" si="17"/>
        <v xml:space="preserve"> - - + - - </v>
      </c>
      <c r="Y205" s="14" t="str">
        <f t="shared" si="18"/>
        <v xml:space="preserve"> - - + - - </v>
      </c>
      <c r="Z205" s="14" t="str">
        <f t="shared" si="19"/>
        <v xml:space="preserve"> - - + - - </v>
      </c>
      <c r="AA205" s="14" t="str">
        <f t="shared" si="20"/>
        <v xml:space="preserve"> - - + - - </v>
      </c>
      <c r="AB205" s="14" t="str">
        <f t="shared" si="21"/>
        <v xml:space="preserve"> - - + - - </v>
      </c>
      <c r="AC205" s="14" t="str">
        <f t="shared" si="22"/>
        <v xml:space="preserve"> - - + - - </v>
      </c>
      <c r="AD205" s="14" t="str">
        <f t="shared" si="23"/>
        <v/>
      </c>
    </row>
    <row r="206" spans="5:30">
      <c r="E206" s="27"/>
      <c r="F206" s="8" t="s">
        <v>44</v>
      </c>
      <c r="G206" s="9" t="s">
        <v>33</v>
      </c>
      <c r="H206" s="23" t="s">
        <v>33</v>
      </c>
      <c r="I206" s="24"/>
      <c r="J206" s="22"/>
      <c r="K206" s="23" t="s">
        <v>33</v>
      </c>
      <c r="L206" s="22"/>
      <c r="M206" s="9" t="s">
        <v>33</v>
      </c>
      <c r="N206" s="9" t="s">
        <v>33</v>
      </c>
      <c r="O206" s="9" t="s">
        <v>33</v>
      </c>
      <c r="P206" s="9" t="s">
        <v>33</v>
      </c>
      <c r="Q206" s="23" t="s">
        <v>33</v>
      </c>
      <c r="R206" s="22"/>
      <c r="S206" s="8">
        <v>0</v>
      </c>
      <c r="U206" t="s">
        <v>159</v>
      </c>
      <c r="V206" t="s">
        <v>33</v>
      </c>
      <c r="W206" s="14" t="str">
        <f t="shared" si="16"/>
        <v/>
      </c>
      <c r="X206" s="14" t="str">
        <f t="shared" si="17"/>
        <v/>
      </c>
      <c r="Y206" s="14" t="str">
        <f t="shared" si="18"/>
        <v/>
      </c>
      <c r="Z206" s="14" t="str">
        <f t="shared" si="19"/>
        <v/>
      </c>
      <c r="AA206" s="14" t="str">
        <f t="shared" si="20"/>
        <v/>
      </c>
      <c r="AB206" s="14" t="str">
        <f t="shared" si="21"/>
        <v/>
      </c>
      <c r="AC206" s="14" t="str">
        <f t="shared" si="22"/>
        <v/>
      </c>
      <c r="AD206" s="14">
        <f t="shared" si="23"/>
        <v>2</v>
      </c>
    </row>
    <row r="207" spans="5:30">
      <c r="E207" s="29"/>
      <c r="F207" s="8" t="s">
        <v>45</v>
      </c>
      <c r="G207" s="9">
        <v>4</v>
      </c>
      <c r="H207" s="23">
        <v>4</v>
      </c>
      <c r="I207" s="24"/>
      <c r="J207" s="22"/>
      <c r="K207" s="23">
        <v>4</v>
      </c>
      <c r="L207" s="22"/>
      <c r="M207" s="9">
        <v>3</v>
      </c>
      <c r="N207" s="9">
        <v>3</v>
      </c>
      <c r="O207" s="9">
        <v>3</v>
      </c>
      <c r="P207" s="9">
        <v>2</v>
      </c>
      <c r="Q207" s="23">
        <v>2</v>
      </c>
      <c r="R207" s="22"/>
      <c r="S207" s="8">
        <v>25</v>
      </c>
      <c r="U207" t="s">
        <v>56</v>
      </c>
      <c r="V207" t="s">
        <v>33</v>
      </c>
      <c r="W207" s="14">
        <f t="shared" si="16"/>
        <v>4</v>
      </c>
      <c r="X207" s="14">
        <f t="shared" si="17"/>
        <v>4</v>
      </c>
      <c r="Y207" s="14">
        <f t="shared" si="18"/>
        <v>4</v>
      </c>
      <c r="Z207" s="14">
        <f t="shared" si="19"/>
        <v>3</v>
      </c>
      <c r="AA207" s="14">
        <f t="shared" si="20"/>
        <v>3</v>
      </c>
      <c r="AB207" s="14">
        <f t="shared" si="21"/>
        <v>3</v>
      </c>
      <c r="AC207" s="14">
        <f t="shared" si="22"/>
        <v>2</v>
      </c>
      <c r="AD207" s="14">
        <f t="shared" si="23"/>
        <v>10</v>
      </c>
    </row>
    <row r="208" spans="5:30">
      <c r="E208" s="6">
        <v>8.2200000000000006</v>
      </c>
      <c r="F208" s="8" t="s">
        <v>47</v>
      </c>
      <c r="G208" s="9">
        <v>8.5</v>
      </c>
      <c r="H208" s="23">
        <v>8</v>
      </c>
      <c r="I208" s="24"/>
      <c r="J208" s="22"/>
      <c r="K208" s="23">
        <v>8</v>
      </c>
      <c r="L208" s="22"/>
      <c r="M208" s="9">
        <v>7.5</v>
      </c>
      <c r="N208" s="9">
        <v>7.5</v>
      </c>
      <c r="O208" s="9">
        <v>7.5</v>
      </c>
      <c r="P208" s="9">
        <v>10</v>
      </c>
      <c r="Q208" s="23">
        <v>10</v>
      </c>
      <c r="R208" s="22"/>
      <c r="S208" s="8" t="s">
        <v>33</v>
      </c>
      <c r="U208" t="s">
        <v>33</v>
      </c>
      <c r="V208" t="s">
        <v>33</v>
      </c>
      <c r="W208" s="14">
        <f t="shared" si="16"/>
        <v>8.5</v>
      </c>
      <c r="X208" s="14">
        <f t="shared" si="17"/>
        <v>8</v>
      </c>
      <c r="Y208" s="14">
        <f t="shared" si="18"/>
        <v>8</v>
      </c>
      <c r="Z208" s="14">
        <f t="shared" si="19"/>
        <v>7.5</v>
      </c>
      <c r="AA208" s="14">
        <f t="shared" si="20"/>
        <v>7.5</v>
      </c>
      <c r="AB208" s="14">
        <f t="shared" si="21"/>
        <v>7.5</v>
      </c>
      <c r="AC208" s="14">
        <f t="shared" si="22"/>
        <v>10</v>
      </c>
      <c r="AD208" s="14">
        <f t="shared" si="23"/>
        <v>20</v>
      </c>
    </row>
    <row r="209" spans="5:30">
      <c r="E209" s="10">
        <v>8.3000000000000007</v>
      </c>
      <c r="F209" s="8" t="s">
        <v>49</v>
      </c>
      <c r="G209" s="9">
        <v>34</v>
      </c>
      <c r="H209" s="23">
        <v>32</v>
      </c>
      <c r="I209" s="24"/>
      <c r="J209" s="22"/>
      <c r="K209" s="23">
        <v>32</v>
      </c>
      <c r="L209" s="22"/>
      <c r="M209" s="9">
        <v>22.5</v>
      </c>
      <c r="N209" s="9">
        <v>22.5</v>
      </c>
      <c r="O209" s="9">
        <v>22.5</v>
      </c>
      <c r="P209" s="9">
        <v>20</v>
      </c>
      <c r="Q209" s="23">
        <v>20</v>
      </c>
      <c r="R209" s="22"/>
      <c r="S209" s="8">
        <v>205.5</v>
      </c>
      <c r="U209">
        <v>0</v>
      </c>
      <c r="V209">
        <v>0</v>
      </c>
      <c r="W209" s="14">
        <f t="shared" si="16"/>
        <v>34</v>
      </c>
      <c r="X209" s="14">
        <f t="shared" si="17"/>
        <v>32</v>
      </c>
      <c r="Y209" s="14">
        <f t="shared" si="18"/>
        <v>32</v>
      </c>
      <c r="Z209" s="14">
        <f t="shared" si="19"/>
        <v>22.5</v>
      </c>
      <c r="AA209" s="14">
        <f t="shared" si="20"/>
        <v>22.5</v>
      </c>
      <c r="AB209" s="14">
        <f t="shared" si="21"/>
        <v>22.5</v>
      </c>
      <c r="AC209" s="14">
        <f t="shared" si="22"/>
        <v>20</v>
      </c>
      <c r="AD209" s="14">
        <f t="shared" si="23"/>
        <v>50</v>
      </c>
    </row>
    <row r="210" spans="5:30">
      <c r="E210" s="4"/>
      <c r="F210" s="8" t="s">
        <v>36</v>
      </c>
      <c r="G210" s="9">
        <v>81</v>
      </c>
      <c r="H210" s="23">
        <v>79</v>
      </c>
      <c r="I210" s="24"/>
      <c r="J210" s="22"/>
      <c r="K210" s="23">
        <v>79</v>
      </c>
      <c r="L210" s="22"/>
      <c r="M210" s="9">
        <v>74</v>
      </c>
      <c r="N210" s="9">
        <v>70</v>
      </c>
      <c r="O210" s="9">
        <v>72</v>
      </c>
      <c r="P210" s="9">
        <v>49</v>
      </c>
      <c r="Q210" s="23">
        <v>50</v>
      </c>
      <c r="R210" s="22"/>
      <c r="S210" s="8">
        <v>554</v>
      </c>
      <c r="U210">
        <v>0</v>
      </c>
      <c r="V210">
        <v>0</v>
      </c>
      <c r="W210" s="14">
        <f t="shared" si="16"/>
        <v>81</v>
      </c>
      <c r="X210" s="14">
        <f t="shared" si="17"/>
        <v>79</v>
      </c>
      <c r="Y210" s="14">
        <f t="shared" si="18"/>
        <v>79</v>
      </c>
      <c r="Z210" s="14">
        <f t="shared" si="19"/>
        <v>74</v>
      </c>
      <c r="AA210" s="14">
        <f t="shared" si="20"/>
        <v>70</v>
      </c>
      <c r="AB210" s="14">
        <f t="shared" si="21"/>
        <v>72</v>
      </c>
      <c r="AC210" s="14">
        <f t="shared" si="22"/>
        <v>49</v>
      </c>
      <c r="AD210" s="14">
        <f t="shared" si="23"/>
        <v>50</v>
      </c>
    </row>
    <row r="211" spans="5:30">
      <c r="E211" s="6"/>
      <c r="F211" s="8" t="s">
        <v>52</v>
      </c>
      <c r="G211" s="9">
        <v>100</v>
      </c>
      <c r="H211" s="23">
        <v>100</v>
      </c>
      <c r="I211" s="24"/>
      <c r="J211" s="22"/>
      <c r="K211" s="23">
        <v>100</v>
      </c>
      <c r="L211" s="22"/>
      <c r="M211" s="9">
        <v>100</v>
      </c>
      <c r="N211" s="9">
        <v>100</v>
      </c>
      <c r="O211" s="9">
        <v>100</v>
      </c>
      <c r="P211" s="9">
        <v>50</v>
      </c>
      <c r="Q211" s="23">
        <v>50</v>
      </c>
      <c r="R211" s="22"/>
      <c r="S211" s="8">
        <v>700</v>
      </c>
      <c r="U211" t="s">
        <v>31</v>
      </c>
      <c r="V211" t="s">
        <v>33</v>
      </c>
      <c r="W211" s="14">
        <f t="shared" si="16"/>
        <v>100</v>
      </c>
      <c r="X211" s="14">
        <f t="shared" si="17"/>
        <v>100</v>
      </c>
      <c r="Y211" s="14">
        <f t="shared" si="18"/>
        <v>100</v>
      </c>
      <c r="Z211" s="14">
        <f t="shared" si="19"/>
        <v>100</v>
      </c>
      <c r="AA211" s="14">
        <f t="shared" si="20"/>
        <v>100</v>
      </c>
      <c r="AB211" s="14">
        <f t="shared" si="21"/>
        <v>100</v>
      </c>
      <c r="AC211" s="14">
        <f t="shared" si="22"/>
        <v>50</v>
      </c>
      <c r="AD211" s="14" t="str">
        <f t="shared" si="23"/>
        <v>OO+</v>
      </c>
    </row>
    <row r="212" spans="5:30">
      <c r="E212" s="4"/>
      <c r="F212" s="8" t="s">
        <v>54</v>
      </c>
      <c r="G212" s="9" t="s">
        <v>95</v>
      </c>
      <c r="H212" s="23" t="s">
        <v>135</v>
      </c>
      <c r="I212" s="24"/>
      <c r="J212" s="22"/>
      <c r="K212" s="23" t="s">
        <v>135</v>
      </c>
      <c r="L212" s="22"/>
      <c r="M212" s="9" t="s">
        <v>108</v>
      </c>
      <c r="N212" s="9" t="s">
        <v>108</v>
      </c>
      <c r="O212" s="9" t="s">
        <v>108</v>
      </c>
      <c r="P212" s="9" t="s">
        <v>93</v>
      </c>
      <c r="Q212" s="23" t="s">
        <v>93</v>
      </c>
      <c r="R212" s="22"/>
      <c r="S212" s="8" t="s">
        <v>33</v>
      </c>
      <c r="U212" t="s">
        <v>204</v>
      </c>
      <c r="V212" t="s">
        <v>36</v>
      </c>
      <c r="W212" s="14" t="str">
        <f t="shared" si="16"/>
        <v>OA</v>
      </c>
      <c r="X212" s="14" t="str">
        <f t="shared" si="17"/>
        <v>AA+</v>
      </c>
      <c r="Y212" s="14" t="str">
        <f t="shared" si="18"/>
        <v>AA+</v>
      </c>
      <c r="Z212" s="14" t="str">
        <f t="shared" si="19"/>
        <v>AA</v>
      </c>
      <c r="AA212" s="14" t="str">
        <f t="shared" si="20"/>
        <v>AA</v>
      </c>
      <c r="AB212" s="14" t="str">
        <f t="shared" si="21"/>
        <v>AA</v>
      </c>
      <c r="AC212" s="14" t="str">
        <f t="shared" si="22"/>
        <v>OO+</v>
      </c>
      <c r="AD212" s="14" t="str">
        <f t="shared" si="23"/>
        <v>Pass</v>
      </c>
    </row>
    <row r="213" spans="5:30">
      <c r="E213" s="11" t="s">
        <v>203</v>
      </c>
      <c r="F213" s="8" t="s">
        <v>58</v>
      </c>
      <c r="G213" s="9" t="s">
        <v>59</v>
      </c>
      <c r="H213" s="23" t="s">
        <v>59</v>
      </c>
      <c r="I213" s="24"/>
      <c r="J213" s="22"/>
      <c r="K213" s="23" t="s">
        <v>59</v>
      </c>
      <c r="L213" s="22"/>
      <c r="M213" s="9" t="s">
        <v>59</v>
      </c>
      <c r="N213" s="9" t="s">
        <v>59</v>
      </c>
      <c r="O213" s="9" t="s">
        <v>59</v>
      </c>
      <c r="P213" s="9" t="s">
        <v>59</v>
      </c>
      <c r="Q213" s="23" t="s">
        <v>59</v>
      </c>
      <c r="R213" s="22"/>
      <c r="S213" s="8" t="s">
        <v>33</v>
      </c>
      <c r="U213" t="s">
        <v>37</v>
      </c>
      <c r="V213" t="s">
        <v>33</v>
      </c>
      <c r="W213" s="14" t="str">
        <f t="shared" si="16"/>
        <v>Pass</v>
      </c>
      <c r="X213" s="14" t="str">
        <f t="shared" si="17"/>
        <v>Pass</v>
      </c>
      <c r="Y213" s="14" t="str">
        <f t="shared" si="18"/>
        <v>Pass</v>
      </c>
      <c r="Z213" s="14" t="str">
        <f t="shared" si="19"/>
        <v>Pass</v>
      </c>
      <c r="AA213" s="14" t="str">
        <f t="shared" si="20"/>
        <v>Pass</v>
      </c>
      <c r="AB213" s="14" t="str">
        <f t="shared" si="21"/>
        <v>Pass</v>
      </c>
      <c r="AC213" s="14" t="str">
        <f t="shared" si="22"/>
        <v>Pass</v>
      </c>
      <c r="AD213" s="14" t="str">
        <f t="shared" si="23"/>
        <v/>
      </c>
    </row>
    <row r="214" spans="5:30">
      <c r="E214" s="12" t="s">
        <v>33</v>
      </c>
      <c r="F214" s="12" t="s">
        <v>33</v>
      </c>
      <c r="G214" s="13" t="s">
        <v>33</v>
      </c>
      <c r="H214" s="20" t="s">
        <v>33</v>
      </c>
      <c r="I214" s="18"/>
      <c r="J214" s="18"/>
      <c r="K214" s="20" t="s">
        <v>33</v>
      </c>
      <c r="L214" s="18"/>
      <c r="M214" s="13" t="s">
        <v>33</v>
      </c>
      <c r="N214" s="13" t="s">
        <v>33</v>
      </c>
      <c r="O214" s="13" t="s">
        <v>33</v>
      </c>
      <c r="P214" s="13" t="s">
        <v>33</v>
      </c>
      <c r="Q214" s="20" t="s">
        <v>33</v>
      </c>
      <c r="R214" s="18"/>
      <c r="S214" s="13" t="s">
        <v>33</v>
      </c>
      <c r="U214" t="s">
        <v>211</v>
      </c>
      <c r="V214" t="s">
        <v>33</v>
      </c>
      <c r="W214" s="14" t="str">
        <f t="shared" si="16"/>
        <v/>
      </c>
      <c r="X214" s="14" t="str">
        <f t="shared" si="17"/>
        <v/>
      </c>
      <c r="Y214" s="14" t="str">
        <f t="shared" si="18"/>
        <v/>
      </c>
      <c r="Z214" s="14" t="str">
        <f t="shared" si="19"/>
        <v/>
      </c>
      <c r="AA214" s="14" t="str">
        <f t="shared" si="20"/>
        <v/>
      </c>
      <c r="AB214" s="14" t="str">
        <f t="shared" si="21"/>
        <v/>
      </c>
      <c r="AC214" s="14" t="str">
        <f t="shared" si="22"/>
        <v/>
      </c>
      <c r="AD214" s="14">
        <f t="shared" si="23"/>
        <v>0</v>
      </c>
    </row>
    <row r="215" spans="5:30" ht="0" hidden="1" customHeight="1">
      <c r="U215">
        <v>0</v>
      </c>
      <c r="V215">
        <v>0</v>
      </c>
      <c r="W215" s="14">
        <f t="shared" si="16"/>
        <v>0</v>
      </c>
      <c r="X215" s="14">
        <f t="shared" si="17"/>
        <v>0</v>
      </c>
      <c r="Y215" s="14">
        <f t="shared" si="18"/>
        <v>0</v>
      </c>
      <c r="Z215" s="14">
        <f t="shared" si="19"/>
        <v>0</v>
      </c>
      <c r="AA215" s="14">
        <f t="shared" si="20"/>
        <v>0</v>
      </c>
      <c r="AB215" s="14">
        <f t="shared" si="21"/>
        <v>0</v>
      </c>
      <c r="AC215" s="14">
        <f t="shared" si="22"/>
        <v>0</v>
      </c>
      <c r="AD215" s="14">
        <f t="shared" si="23"/>
        <v>0</v>
      </c>
    </row>
    <row r="216" spans="5:30" ht="0.6" customHeight="1">
      <c r="U216">
        <v>0</v>
      </c>
      <c r="V216">
        <v>25</v>
      </c>
      <c r="W216" s="14">
        <f t="shared" si="16"/>
        <v>0</v>
      </c>
      <c r="X216" s="14">
        <f t="shared" si="17"/>
        <v>0</v>
      </c>
      <c r="Y216" s="14">
        <f t="shared" si="18"/>
        <v>0</v>
      </c>
      <c r="Z216" s="14">
        <f t="shared" si="19"/>
        <v>0</v>
      </c>
      <c r="AA216" s="14">
        <f t="shared" si="20"/>
        <v>0</v>
      </c>
      <c r="AB216" s="14">
        <f t="shared" si="21"/>
        <v>0</v>
      </c>
      <c r="AC216" s="14">
        <f t="shared" si="22"/>
        <v>0</v>
      </c>
      <c r="AD216" s="14" t="str">
        <f t="shared" si="23"/>
        <v/>
      </c>
    </row>
    <row r="217" spans="5:30">
      <c r="E217" s="4"/>
      <c r="F217" s="3" t="s">
        <v>32</v>
      </c>
      <c r="G217" s="5" t="s">
        <v>33</v>
      </c>
      <c r="H217" s="32" t="s">
        <v>33</v>
      </c>
      <c r="I217" s="18"/>
      <c r="J217" s="18"/>
      <c r="K217" s="32" t="s">
        <v>33</v>
      </c>
      <c r="L217" s="18"/>
      <c r="M217" s="5" t="s">
        <v>33</v>
      </c>
      <c r="N217" s="5" t="s">
        <v>33</v>
      </c>
      <c r="O217" s="5" t="s">
        <v>33</v>
      </c>
      <c r="P217" s="5" t="s">
        <v>33</v>
      </c>
      <c r="Q217" s="32" t="s">
        <v>33</v>
      </c>
      <c r="R217" s="18"/>
      <c r="S217" s="5" t="s">
        <v>33</v>
      </c>
      <c r="U217" t="s">
        <v>46</v>
      </c>
      <c r="V217" t="s">
        <v>33</v>
      </c>
      <c r="W217" s="14" t="str">
        <f t="shared" si="16"/>
        <v/>
      </c>
      <c r="X217" s="14" t="str">
        <f t="shared" si="17"/>
        <v/>
      </c>
      <c r="Y217" s="14" t="str">
        <f t="shared" si="18"/>
        <v/>
      </c>
      <c r="Z217" s="14" t="str">
        <f t="shared" si="19"/>
        <v/>
      </c>
      <c r="AA217" s="14" t="str">
        <f t="shared" si="20"/>
        <v/>
      </c>
      <c r="AB217" s="14" t="str">
        <f t="shared" si="21"/>
        <v/>
      </c>
      <c r="AC217" s="14" t="str">
        <f t="shared" si="22"/>
        <v/>
      </c>
      <c r="AD217" s="14" t="str">
        <f t="shared" si="23"/>
        <v>COMNCSN302</v>
      </c>
    </row>
    <row r="218" spans="5:30" ht="21">
      <c r="E218" s="4"/>
      <c r="F218" s="7" t="s">
        <v>35</v>
      </c>
      <c r="G218" s="7" t="s">
        <v>5</v>
      </c>
      <c r="H218" s="30" t="s">
        <v>7</v>
      </c>
      <c r="I218" s="24"/>
      <c r="J218" s="22"/>
      <c r="K218" s="30" t="s">
        <v>9</v>
      </c>
      <c r="L218" s="22"/>
      <c r="M218" s="7" t="s">
        <v>11</v>
      </c>
      <c r="N218" s="7" t="s">
        <v>15</v>
      </c>
      <c r="O218" s="7" t="s">
        <v>17</v>
      </c>
      <c r="P218" s="7" t="s">
        <v>21</v>
      </c>
      <c r="Q218" s="30" t="s">
        <v>23</v>
      </c>
      <c r="R218" s="22"/>
      <c r="S218" s="7" t="s">
        <v>36</v>
      </c>
      <c r="U218" t="s">
        <v>48</v>
      </c>
      <c r="V218">
        <v>204.5</v>
      </c>
      <c r="W218" s="14" t="str">
        <f t="shared" si="16"/>
        <v>BBABMCN301</v>
      </c>
      <c r="X218" s="14" t="str">
        <f t="shared" si="17"/>
        <v>BBABMCN302</v>
      </c>
      <c r="Y218" s="14" t="str">
        <f t="shared" si="18"/>
        <v>BBABMCN303</v>
      </c>
      <c r="Z218" s="14" t="str">
        <f t="shared" si="19"/>
        <v>BBAENLN301</v>
      </c>
      <c r="AA218" s="14" t="str">
        <f t="shared" si="20"/>
        <v>BBAKALN302</v>
      </c>
      <c r="AB218" s="14" t="str">
        <f t="shared" si="21"/>
        <v>BCACAEN302</v>
      </c>
      <c r="AC218" s="14" t="str">
        <f t="shared" si="22"/>
        <v>COMFISN301</v>
      </c>
      <c r="AD218" s="14" t="str">
        <f t="shared" si="23"/>
        <v xml:space="preserve"> - - + - - </v>
      </c>
    </row>
    <row r="219" spans="5:30" ht="22.5">
      <c r="E219" s="6" t="s">
        <v>205</v>
      </c>
      <c r="F219" s="8" t="s">
        <v>39</v>
      </c>
      <c r="G219" s="9" t="s">
        <v>206</v>
      </c>
      <c r="H219" s="23" t="s">
        <v>207</v>
      </c>
      <c r="I219" s="24"/>
      <c r="J219" s="22"/>
      <c r="K219" s="23" t="s">
        <v>208</v>
      </c>
      <c r="L219" s="22"/>
      <c r="M219" s="9" t="s">
        <v>209</v>
      </c>
      <c r="N219" s="9" t="s">
        <v>165</v>
      </c>
      <c r="O219" s="9" t="s">
        <v>210</v>
      </c>
      <c r="P219" s="9" t="s">
        <v>157</v>
      </c>
      <c r="Q219" s="23" t="s">
        <v>43</v>
      </c>
      <c r="R219" s="22"/>
      <c r="S219" s="8" t="s">
        <v>33</v>
      </c>
      <c r="U219" t="s">
        <v>50</v>
      </c>
      <c r="V219">
        <v>553</v>
      </c>
      <c r="W219" s="14" t="str">
        <f t="shared" si="16"/>
        <v>47.00 + 32.00</v>
      </c>
      <c r="X219" s="14" t="str">
        <f t="shared" si="17"/>
        <v>45.00 + 36.00</v>
      </c>
      <c r="Y219" s="14" t="str">
        <f t="shared" si="18"/>
        <v>41.00 + 38.00</v>
      </c>
      <c r="Z219" s="14" t="str">
        <f t="shared" si="19"/>
        <v>40.00 + 34.00</v>
      </c>
      <c r="AA219" s="14" t="str">
        <f t="shared" si="20"/>
        <v>57.00 + 40.00</v>
      </c>
      <c r="AB219" s="14" t="str">
        <f t="shared" si="21"/>
        <v>21.00 + 27.00</v>
      </c>
      <c r="AC219" s="14" t="str">
        <f t="shared" si="22"/>
        <v>25.00 + 20.00</v>
      </c>
      <c r="AD219" s="14" t="str">
        <f t="shared" si="23"/>
        <v xml:space="preserve"> - - +50.00</v>
      </c>
    </row>
    <row r="220" spans="5:30">
      <c r="E220" s="25"/>
      <c r="F220" s="8" t="s">
        <v>42</v>
      </c>
      <c r="G220" s="9" t="s">
        <v>43</v>
      </c>
      <c r="H220" s="23" t="s">
        <v>43</v>
      </c>
      <c r="I220" s="24"/>
      <c r="J220" s="22"/>
      <c r="K220" s="23" t="s">
        <v>43</v>
      </c>
      <c r="L220" s="22"/>
      <c r="M220" s="9" t="s">
        <v>43</v>
      </c>
      <c r="N220" s="9" t="s">
        <v>43</v>
      </c>
      <c r="O220" s="9" t="s">
        <v>43</v>
      </c>
      <c r="P220" s="9" t="s">
        <v>43</v>
      </c>
      <c r="Q220" s="23" t="s">
        <v>91</v>
      </c>
      <c r="R220" s="22"/>
      <c r="S220" s="8" t="s">
        <v>33</v>
      </c>
      <c r="U220" t="s">
        <v>51</v>
      </c>
      <c r="V220">
        <v>700</v>
      </c>
      <c r="W220" s="14" t="str">
        <f t="shared" si="16"/>
        <v xml:space="preserve"> - - + - - </v>
      </c>
      <c r="X220" s="14" t="str">
        <f t="shared" si="17"/>
        <v xml:space="preserve"> - - + - - </v>
      </c>
      <c r="Y220" s="14" t="str">
        <f t="shared" si="18"/>
        <v xml:space="preserve"> - - + - - </v>
      </c>
      <c r="Z220" s="14" t="str">
        <f t="shared" si="19"/>
        <v xml:space="preserve"> - - + - - </v>
      </c>
      <c r="AA220" s="14" t="str">
        <f t="shared" si="20"/>
        <v xml:space="preserve"> - - + - - </v>
      </c>
      <c r="AB220" s="14" t="str">
        <f t="shared" si="21"/>
        <v xml:space="preserve"> - - + - - </v>
      </c>
      <c r="AC220" s="14" t="str">
        <f t="shared" si="22"/>
        <v xml:space="preserve"> - - + - - </v>
      </c>
      <c r="AD220" s="14" t="str">
        <f t="shared" si="23"/>
        <v/>
      </c>
    </row>
    <row r="221" spans="5:30">
      <c r="E221" s="27"/>
      <c r="F221" s="8" t="s">
        <v>44</v>
      </c>
      <c r="G221" s="9" t="s">
        <v>33</v>
      </c>
      <c r="H221" s="23" t="s">
        <v>33</v>
      </c>
      <c r="I221" s="24"/>
      <c r="J221" s="22"/>
      <c r="K221" s="23" t="s">
        <v>33</v>
      </c>
      <c r="L221" s="22"/>
      <c r="M221" s="9" t="s">
        <v>33</v>
      </c>
      <c r="N221" s="9" t="s">
        <v>33</v>
      </c>
      <c r="O221" s="9" t="s">
        <v>33</v>
      </c>
      <c r="P221" s="9" t="s">
        <v>33</v>
      </c>
      <c r="Q221" s="23" t="s">
        <v>33</v>
      </c>
      <c r="R221" s="22"/>
      <c r="S221" s="8">
        <v>0</v>
      </c>
      <c r="U221" t="s">
        <v>159</v>
      </c>
      <c r="V221" t="s">
        <v>33</v>
      </c>
      <c r="W221" s="14" t="str">
        <f t="shared" si="16"/>
        <v/>
      </c>
      <c r="X221" s="14" t="str">
        <f t="shared" si="17"/>
        <v/>
      </c>
      <c r="Y221" s="14" t="str">
        <f t="shared" si="18"/>
        <v/>
      </c>
      <c r="Z221" s="14" t="str">
        <f t="shared" si="19"/>
        <v/>
      </c>
      <c r="AA221" s="14" t="str">
        <f t="shared" si="20"/>
        <v/>
      </c>
      <c r="AB221" s="14" t="str">
        <f t="shared" si="21"/>
        <v/>
      </c>
      <c r="AC221" s="14" t="str">
        <f t="shared" si="22"/>
        <v/>
      </c>
      <c r="AD221" s="14">
        <f t="shared" si="23"/>
        <v>2</v>
      </c>
    </row>
    <row r="222" spans="5:30">
      <c r="E222" s="29"/>
      <c r="F222" s="8" t="s">
        <v>45</v>
      </c>
      <c r="G222" s="9">
        <v>4</v>
      </c>
      <c r="H222" s="23">
        <v>4</v>
      </c>
      <c r="I222" s="24"/>
      <c r="J222" s="22"/>
      <c r="K222" s="23">
        <v>4</v>
      </c>
      <c r="L222" s="22"/>
      <c r="M222" s="9">
        <v>3</v>
      </c>
      <c r="N222" s="9">
        <v>3</v>
      </c>
      <c r="O222" s="9">
        <v>3</v>
      </c>
      <c r="P222" s="9">
        <v>2</v>
      </c>
      <c r="Q222" s="23">
        <v>2</v>
      </c>
      <c r="R222" s="22"/>
      <c r="S222" s="8">
        <v>25</v>
      </c>
      <c r="U222" t="s">
        <v>56</v>
      </c>
      <c r="V222" t="s">
        <v>33</v>
      </c>
      <c r="W222" s="14">
        <f t="shared" si="16"/>
        <v>4</v>
      </c>
      <c r="X222" s="14">
        <f t="shared" si="17"/>
        <v>4</v>
      </c>
      <c r="Y222" s="14">
        <f t="shared" si="18"/>
        <v>4</v>
      </c>
      <c r="Z222" s="14">
        <f t="shared" si="19"/>
        <v>3</v>
      </c>
      <c r="AA222" s="14">
        <f t="shared" si="20"/>
        <v>3</v>
      </c>
      <c r="AB222" s="14">
        <f t="shared" si="21"/>
        <v>3</v>
      </c>
      <c r="AC222" s="14">
        <f t="shared" si="22"/>
        <v>2</v>
      </c>
      <c r="AD222" s="14">
        <f t="shared" si="23"/>
        <v>10</v>
      </c>
    </row>
    <row r="223" spans="5:30">
      <c r="E223" s="6">
        <v>8.18</v>
      </c>
      <c r="F223" s="8" t="s">
        <v>47</v>
      </c>
      <c r="G223" s="9">
        <v>8</v>
      </c>
      <c r="H223" s="23">
        <v>8.5</v>
      </c>
      <c r="I223" s="24"/>
      <c r="J223" s="22"/>
      <c r="K223" s="23">
        <v>8</v>
      </c>
      <c r="L223" s="22"/>
      <c r="M223" s="9">
        <v>7.5</v>
      </c>
      <c r="N223" s="9">
        <v>10</v>
      </c>
      <c r="O223" s="9">
        <v>5</v>
      </c>
      <c r="P223" s="9">
        <v>9.5</v>
      </c>
      <c r="Q223" s="23">
        <v>10</v>
      </c>
      <c r="R223" s="22"/>
      <c r="S223" s="8" t="s">
        <v>33</v>
      </c>
      <c r="U223" t="s">
        <v>33</v>
      </c>
      <c r="V223" t="s">
        <v>33</v>
      </c>
      <c r="W223" s="14">
        <f t="shared" si="16"/>
        <v>8</v>
      </c>
      <c r="X223" s="14">
        <f t="shared" si="17"/>
        <v>8.5</v>
      </c>
      <c r="Y223" s="14">
        <f t="shared" si="18"/>
        <v>8</v>
      </c>
      <c r="Z223" s="14">
        <f t="shared" si="19"/>
        <v>7.5</v>
      </c>
      <c r="AA223" s="14">
        <f t="shared" si="20"/>
        <v>10</v>
      </c>
      <c r="AB223" s="14">
        <f t="shared" si="21"/>
        <v>5</v>
      </c>
      <c r="AC223" s="14">
        <f t="shared" si="22"/>
        <v>9.5</v>
      </c>
      <c r="AD223" s="14">
        <f t="shared" si="23"/>
        <v>20</v>
      </c>
    </row>
    <row r="224" spans="5:30">
      <c r="E224" s="10">
        <v>8.17</v>
      </c>
      <c r="F224" s="8" t="s">
        <v>49</v>
      </c>
      <c r="G224" s="9">
        <v>32</v>
      </c>
      <c r="H224" s="23">
        <v>34</v>
      </c>
      <c r="I224" s="24"/>
      <c r="J224" s="22"/>
      <c r="K224" s="23">
        <v>32</v>
      </c>
      <c r="L224" s="22"/>
      <c r="M224" s="9">
        <v>22.5</v>
      </c>
      <c r="N224" s="9">
        <v>30</v>
      </c>
      <c r="O224" s="9">
        <v>15</v>
      </c>
      <c r="P224" s="9">
        <v>19</v>
      </c>
      <c r="Q224" s="23">
        <v>20</v>
      </c>
      <c r="R224" s="22"/>
      <c r="S224" s="8">
        <v>204.5</v>
      </c>
      <c r="U224">
        <v>0</v>
      </c>
      <c r="V224">
        <v>0</v>
      </c>
      <c r="W224" s="14">
        <f t="shared" si="16"/>
        <v>32</v>
      </c>
      <c r="X224" s="14">
        <f t="shared" si="17"/>
        <v>34</v>
      </c>
      <c r="Y224" s="14">
        <f t="shared" si="18"/>
        <v>32</v>
      </c>
      <c r="Z224" s="14">
        <f t="shared" si="19"/>
        <v>22.5</v>
      </c>
      <c r="AA224" s="14">
        <f t="shared" si="20"/>
        <v>30</v>
      </c>
      <c r="AB224" s="14">
        <f t="shared" si="21"/>
        <v>15</v>
      </c>
      <c r="AC224" s="14">
        <f t="shared" si="22"/>
        <v>19</v>
      </c>
      <c r="AD224" s="14">
        <f t="shared" si="23"/>
        <v>50</v>
      </c>
    </row>
    <row r="225" spans="5:30">
      <c r="E225" s="4"/>
      <c r="F225" s="8" t="s">
        <v>36</v>
      </c>
      <c r="G225" s="9">
        <v>79</v>
      </c>
      <c r="H225" s="23">
        <v>81</v>
      </c>
      <c r="I225" s="24"/>
      <c r="J225" s="22"/>
      <c r="K225" s="23">
        <v>79</v>
      </c>
      <c r="L225" s="22"/>
      <c r="M225" s="9">
        <v>74</v>
      </c>
      <c r="N225" s="9">
        <v>97</v>
      </c>
      <c r="O225" s="9">
        <v>48</v>
      </c>
      <c r="P225" s="9">
        <v>45</v>
      </c>
      <c r="Q225" s="23">
        <v>50</v>
      </c>
      <c r="R225" s="22"/>
      <c r="S225" s="8">
        <v>553</v>
      </c>
      <c r="U225">
        <v>0</v>
      </c>
      <c r="V225">
        <v>0</v>
      </c>
      <c r="W225" s="14">
        <f t="shared" si="16"/>
        <v>79</v>
      </c>
      <c r="X225" s="14">
        <f t="shared" si="17"/>
        <v>81</v>
      </c>
      <c r="Y225" s="14">
        <f t="shared" si="18"/>
        <v>79</v>
      </c>
      <c r="Z225" s="14">
        <f t="shared" si="19"/>
        <v>74</v>
      </c>
      <c r="AA225" s="14">
        <f t="shared" si="20"/>
        <v>97</v>
      </c>
      <c r="AB225" s="14">
        <f t="shared" si="21"/>
        <v>48</v>
      </c>
      <c r="AC225" s="14">
        <f t="shared" si="22"/>
        <v>45</v>
      </c>
      <c r="AD225" s="14">
        <f t="shared" si="23"/>
        <v>50</v>
      </c>
    </row>
    <row r="226" spans="5:30">
      <c r="E226" s="6"/>
      <c r="F226" s="8" t="s">
        <v>52</v>
      </c>
      <c r="G226" s="9">
        <v>100</v>
      </c>
      <c r="H226" s="23">
        <v>100</v>
      </c>
      <c r="I226" s="24"/>
      <c r="J226" s="22"/>
      <c r="K226" s="23">
        <v>100</v>
      </c>
      <c r="L226" s="22"/>
      <c r="M226" s="9">
        <v>100</v>
      </c>
      <c r="N226" s="9">
        <v>100</v>
      </c>
      <c r="O226" s="9">
        <v>100</v>
      </c>
      <c r="P226" s="9">
        <v>50</v>
      </c>
      <c r="Q226" s="23">
        <v>50</v>
      </c>
      <c r="R226" s="22"/>
      <c r="S226" s="8">
        <v>700</v>
      </c>
      <c r="U226" t="s">
        <v>31</v>
      </c>
      <c r="V226" t="s">
        <v>33</v>
      </c>
      <c r="W226" s="14">
        <f t="shared" si="16"/>
        <v>100</v>
      </c>
      <c r="X226" s="14">
        <f t="shared" si="17"/>
        <v>100</v>
      </c>
      <c r="Y226" s="14">
        <f t="shared" si="18"/>
        <v>100</v>
      </c>
      <c r="Z226" s="14">
        <f t="shared" si="19"/>
        <v>100</v>
      </c>
      <c r="AA226" s="14">
        <f t="shared" si="20"/>
        <v>100</v>
      </c>
      <c r="AB226" s="14">
        <f t="shared" si="21"/>
        <v>100</v>
      </c>
      <c r="AC226" s="14">
        <f t="shared" si="22"/>
        <v>50</v>
      </c>
      <c r="AD226" s="14" t="str">
        <f t="shared" si="23"/>
        <v>OO+</v>
      </c>
    </row>
    <row r="227" spans="5:30">
      <c r="E227" s="4"/>
      <c r="F227" s="8" t="s">
        <v>54</v>
      </c>
      <c r="G227" s="9" t="s">
        <v>135</v>
      </c>
      <c r="H227" s="23" t="s">
        <v>95</v>
      </c>
      <c r="I227" s="24"/>
      <c r="J227" s="22"/>
      <c r="K227" s="23" t="s">
        <v>135</v>
      </c>
      <c r="L227" s="22"/>
      <c r="M227" s="9" t="s">
        <v>108</v>
      </c>
      <c r="N227" s="9" t="s">
        <v>93</v>
      </c>
      <c r="O227" s="9" t="s">
        <v>55</v>
      </c>
      <c r="P227" s="9" t="s">
        <v>94</v>
      </c>
      <c r="Q227" s="23" t="s">
        <v>93</v>
      </c>
      <c r="R227" s="22"/>
      <c r="S227" s="8" t="s">
        <v>33</v>
      </c>
      <c r="U227" t="s">
        <v>213</v>
      </c>
      <c r="V227" t="s">
        <v>36</v>
      </c>
      <c r="W227" s="14" t="str">
        <f t="shared" si="16"/>
        <v>AA+</v>
      </c>
      <c r="X227" s="14" t="str">
        <f t="shared" si="17"/>
        <v>OA</v>
      </c>
      <c r="Y227" s="14" t="str">
        <f t="shared" si="18"/>
        <v>AA+</v>
      </c>
      <c r="Z227" s="14" t="str">
        <f t="shared" si="19"/>
        <v>AA</v>
      </c>
      <c r="AA227" s="14" t="str">
        <f t="shared" si="20"/>
        <v>OO+</v>
      </c>
      <c r="AB227" s="14" t="str">
        <f t="shared" si="21"/>
        <v>BC</v>
      </c>
      <c r="AC227" s="14" t="str">
        <f t="shared" si="22"/>
        <v>OO</v>
      </c>
      <c r="AD227" s="14" t="str">
        <f t="shared" si="23"/>
        <v>Pass</v>
      </c>
    </row>
    <row r="228" spans="5:30">
      <c r="E228" s="11" t="s">
        <v>212</v>
      </c>
      <c r="F228" s="8" t="s">
        <v>58</v>
      </c>
      <c r="G228" s="9" t="s">
        <v>59</v>
      </c>
      <c r="H228" s="23" t="s">
        <v>59</v>
      </c>
      <c r="I228" s="24"/>
      <c r="J228" s="22"/>
      <c r="K228" s="23" t="s">
        <v>59</v>
      </c>
      <c r="L228" s="22"/>
      <c r="M228" s="9" t="s">
        <v>59</v>
      </c>
      <c r="N228" s="9" t="s">
        <v>59</v>
      </c>
      <c r="O228" s="9" t="s">
        <v>59</v>
      </c>
      <c r="P228" s="9" t="s">
        <v>59</v>
      </c>
      <c r="Q228" s="23" t="s">
        <v>59</v>
      </c>
      <c r="R228" s="22"/>
      <c r="S228" s="8" t="s">
        <v>33</v>
      </c>
      <c r="U228" t="s">
        <v>37</v>
      </c>
      <c r="V228" t="s">
        <v>33</v>
      </c>
      <c r="W228" s="14" t="str">
        <f t="shared" si="16"/>
        <v>Pass</v>
      </c>
      <c r="X228" s="14" t="str">
        <f t="shared" si="17"/>
        <v>Pass</v>
      </c>
      <c r="Y228" s="14" t="str">
        <f t="shared" si="18"/>
        <v>Pass</v>
      </c>
      <c r="Z228" s="14" t="str">
        <f t="shared" si="19"/>
        <v>Pass</v>
      </c>
      <c r="AA228" s="14" t="str">
        <f t="shared" si="20"/>
        <v>Pass</v>
      </c>
      <c r="AB228" s="14" t="str">
        <f t="shared" si="21"/>
        <v>Pass</v>
      </c>
      <c r="AC228" s="14" t="str">
        <f t="shared" si="22"/>
        <v>Pass</v>
      </c>
      <c r="AD228" s="14" t="str">
        <f t="shared" si="23"/>
        <v/>
      </c>
    </row>
    <row r="229" spans="5:30">
      <c r="E229" s="12" t="s">
        <v>33</v>
      </c>
      <c r="F229" s="12" t="s">
        <v>33</v>
      </c>
      <c r="G229" s="13" t="s">
        <v>33</v>
      </c>
      <c r="H229" s="20" t="s">
        <v>33</v>
      </c>
      <c r="I229" s="18"/>
      <c r="J229" s="18"/>
      <c r="K229" s="20" t="s">
        <v>33</v>
      </c>
      <c r="L229" s="18"/>
      <c r="M229" s="13" t="s">
        <v>33</v>
      </c>
      <c r="N229" s="13" t="s">
        <v>33</v>
      </c>
      <c r="O229" s="13" t="s">
        <v>33</v>
      </c>
      <c r="P229" s="13" t="s">
        <v>33</v>
      </c>
      <c r="Q229" s="20" t="s">
        <v>33</v>
      </c>
      <c r="R229" s="18"/>
      <c r="S229" s="13" t="s">
        <v>33</v>
      </c>
      <c r="U229" t="s">
        <v>222</v>
      </c>
      <c r="V229" t="s">
        <v>33</v>
      </c>
      <c r="W229" s="14" t="str">
        <f t="shared" si="16"/>
        <v/>
      </c>
      <c r="X229" s="14" t="str">
        <f t="shared" si="17"/>
        <v/>
      </c>
      <c r="Y229" s="14" t="str">
        <f t="shared" si="18"/>
        <v/>
      </c>
      <c r="Z229" s="14" t="str">
        <f t="shared" si="19"/>
        <v/>
      </c>
      <c r="AA229" s="14" t="str">
        <f t="shared" si="20"/>
        <v/>
      </c>
      <c r="AB229" s="14" t="str">
        <f t="shared" si="21"/>
        <v/>
      </c>
      <c r="AC229" s="14" t="str">
        <f t="shared" si="22"/>
        <v/>
      </c>
      <c r="AD229" s="14">
        <f t="shared" si="23"/>
        <v>0</v>
      </c>
    </row>
    <row r="230" spans="5:30" ht="0" hidden="1" customHeight="1">
      <c r="U230">
        <v>0</v>
      </c>
      <c r="V230">
        <v>0</v>
      </c>
      <c r="W230" s="14">
        <f t="shared" si="16"/>
        <v>0</v>
      </c>
      <c r="X230" s="14">
        <f t="shared" si="17"/>
        <v>0</v>
      </c>
      <c r="Y230" s="14">
        <f t="shared" si="18"/>
        <v>0</v>
      </c>
      <c r="Z230" s="14">
        <f t="shared" si="19"/>
        <v>0</v>
      </c>
      <c r="AA230" s="14">
        <f t="shared" si="20"/>
        <v>0</v>
      </c>
      <c r="AB230" s="14">
        <f t="shared" si="21"/>
        <v>0</v>
      </c>
      <c r="AC230" s="14">
        <f t="shared" si="22"/>
        <v>0</v>
      </c>
      <c r="AD230" s="14">
        <f t="shared" si="23"/>
        <v>0</v>
      </c>
    </row>
    <row r="231" spans="5:30" ht="0.6" customHeight="1">
      <c r="U231">
        <v>0</v>
      </c>
      <c r="V231">
        <v>25</v>
      </c>
      <c r="W231" s="14">
        <f t="shared" si="16"/>
        <v>0</v>
      </c>
      <c r="X231" s="14">
        <f t="shared" si="17"/>
        <v>0</v>
      </c>
      <c r="Y231" s="14">
        <f t="shared" si="18"/>
        <v>0</v>
      </c>
      <c r="Z231" s="14">
        <f t="shared" si="19"/>
        <v>0</v>
      </c>
      <c r="AA231" s="14">
        <f t="shared" si="20"/>
        <v>0</v>
      </c>
      <c r="AB231" s="14">
        <f t="shared" si="21"/>
        <v>0</v>
      </c>
      <c r="AC231" s="14">
        <f t="shared" si="22"/>
        <v>0</v>
      </c>
      <c r="AD231" s="14" t="str">
        <f t="shared" si="23"/>
        <v/>
      </c>
    </row>
    <row r="232" spans="5:30">
      <c r="E232" s="4"/>
      <c r="F232" s="3" t="s">
        <v>32</v>
      </c>
      <c r="G232" s="5" t="s">
        <v>33</v>
      </c>
      <c r="H232" s="32" t="s">
        <v>33</v>
      </c>
      <c r="I232" s="18"/>
      <c r="J232" s="18"/>
      <c r="K232" s="32" t="s">
        <v>33</v>
      </c>
      <c r="L232" s="18"/>
      <c r="M232" s="5" t="s">
        <v>33</v>
      </c>
      <c r="N232" s="5" t="s">
        <v>33</v>
      </c>
      <c r="O232" s="5" t="s">
        <v>33</v>
      </c>
      <c r="P232" s="5" t="s">
        <v>33</v>
      </c>
      <c r="Q232" s="32" t="s">
        <v>33</v>
      </c>
      <c r="R232" s="18"/>
      <c r="S232" s="5" t="s">
        <v>33</v>
      </c>
      <c r="U232" t="s">
        <v>46</v>
      </c>
      <c r="V232" t="s">
        <v>33</v>
      </c>
      <c r="W232" s="14" t="str">
        <f t="shared" si="16"/>
        <v/>
      </c>
      <c r="X232" s="14" t="str">
        <f t="shared" si="17"/>
        <v/>
      </c>
      <c r="Y232" s="14" t="str">
        <f t="shared" si="18"/>
        <v/>
      </c>
      <c r="Z232" s="14" t="str">
        <f t="shared" si="19"/>
        <v/>
      </c>
      <c r="AA232" s="14" t="str">
        <f t="shared" si="20"/>
        <v/>
      </c>
      <c r="AB232" s="14" t="str">
        <f t="shared" si="21"/>
        <v/>
      </c>
      <c r="AC232" s="14" t="str">
        <f t="shared" si="22"/>
        <v/>
      </c>
      <c r="AD232" s="14" t="str">
        <f t="shared" si="23"/>
        <v>COMFISN301</v>
      </c>
    </row>
    <row r="233" spans="5:30" ht="21">
      <c r="E233" s="4"/>
      <c r="F233" s="7" t="s">
        <v>35</v>
      </c>
      <c r="G233" s="7" t="s">
        <v>5</v>
      </c>
      <c r="H233" s="30" t="s">
        <v>7</v>
      </c>
      <c r="I233" s="24"/>
      <c r="J233" s="22"/>
      <c r="K233" s="30" t="s">
        <v>9</v>
      </c>
      <c r="L233" s="22"/>
      <c r="M233" s="7" t="s">
        <v>11</v>
      </c>
      <c r="N233" s="7" t="s">
        <v>13</v>
      </c>
      <c r="O233" s="7" t="s">
        <v>17</v>
      </c>
      <c r="P233" s="7" t="s">
        <v>19</v>
      </c>
      <c r="Q233" s="30" t="s">
        <v>21</v>
      </c>
      <c r="R233" s="22"/>
      <c r="S233" s="7" t="s">
        <v>36</v>
      </c>
      <c r="U233" t="s">
        <v>48</v>
      </c>
      <c r="V233">
        <v>224</v>
      </c>
      <c r="W233" s="14" t="str">
        <f t="shared" si="16"/>
        <v>BBABMCN301</v>
      </c>
      <c r="X233" s="14" t="str">
        <f t="shared" si="17"/>
        <v>BBABMCN302</v>
      </c>
      <c r="Y233" s="14" t="str">
        <f t="shared" si="18"/>
        <v>BBABMCN303</v>
      </c>
      <c r="Z233" s="14" t="str">
        <f t="shared" si="19"/>
        <v>BBAENLN301</v>
      </c>
      <c r="AA233" s="14" t="str">
        <f t="shared" si="20"/>
        <v>BBAHDLN301</v>
      </c>
      <c r="AB233" s="14" t="str">
        <f t="shared" si="21"/>
        <v>BCACAEN302</v>
      </c>
      <c r="AC233" s="14" t="str">
        <f t="shared" si="22"/>
        <v>COMCUSN302</v>
      </c>
      <c r="AD233" s="14" t="str">
        <f t="shared" si="23"/>
        <v>29.00 + 18.00</v>
      </c>
    </row>
    <row r="234" spans="5:30" ht="22.5">
      <c r="E234" s="6" t="s">
        <v>214</v>
      </c>
      <c r="F234" s="8" t="s">
        <v>39</v>
      </c>
      <c r="G234" s="9" t="s">
        <v>215</v>
      </c>
      <c r="H234" s="23" t="s">
        <v>216</v>
      </c>
      <c r="I234" s="24"/>
      <c r="J234" s="22"/>
      <c r="K234" s="23" t="s">
        <v>217</v>
      </c>
      <c r="L234" s="22"/>
      <c r="M234" s="9" t="s">
        <v>218</v>
      </c>
      <c r="N234" s="9" t="s">
        <v>219</v>
      </c>
      <c r="O234" s="9" t="s">
        <v>220</v>
      </c>
      <c r="P234" s="9" t="s">
        <v>43</v>
      </c>
      <c r="Q234" s="23" t="s">
        <v>221</v>
      </c>
      <c r="R234" s="22"/>
      <c r="S234" s="8" t="s">
        <v>33</v>
      </c>
      <c r="U234" t="s">
        <v>50</v>
      </c>
      <c r="V234">
        <v>604</v>
      </c>
      <c r="W234" s="14" t="str">
        <f t="shared" si="16"/>
        <v>55.00 + 32.00</v>
      </c>
      <c r="X234" s="14" t="str">
        <f t="shared" si="17"/>
        <v>47.00 + 36.00</v>
      </c>
      <c r="Y234" s="14" t="str">
        <f t="shared" si="18"/>
        <v>58.00 + 39.00</v>
      </c>
      <c r="Z234" s="14" t="str">
        <f t="shared" si="19"/>
        <v>42.00 + 31.00</v>
      </c>
      <c r="AA234" s="14" t="str">
        <f t="shared" si="20"/>
        <v>57.00 + 39.00</v>
      </c>
      <c r="AB234" s="14" t="str">
        <f t="shared" si="21"/>
        <v>42.00 + 29.00</v>
      </c>
      <c r="AC234" s="14" t="str">
        <f t="shared" si="22"/>
        <v xml:space="preserve"> - - + - - </v>
      </c>
      <c r="AD234" s="14" t="str">
        <f t="shared" si="23"/>
        <v xml:space="preserve"> - - + - - </v>
      </c>
    </row>
    <row r="235" spans="5:30">
      <c r="E235" s="25"/>
      <c r="F235" s="8" t="s">
        <v>42</v>
      </c>
      <c r="G235" s="9" t="s">
        <v>43</v>
      </c>
      <c r="H235" s="23" t="s">
        <v>43</v>
      </c>
      <c r="I235" s="24"/>
      <c r="J235" s="22"/>
      <c r="K235" s="23" t="s">
        <v>43</v>
      </c>
      <c r="L235" s="22"/>
      <c r="M235" s="9" t="s">
        <v>43</v>
      </c>
      <c r="N235" s="9" t="s">
        <v>43</v>
      </c>
      <c r="O235" s="9" t="s">
        <v>43</v>
      </c>
      <c r="P235" s="9" t="s">
        <v>91</v>
      </c>
      <c r="Q235" s="23" t="s">
        <v>43</v>
      </c>
      <c r="R235" s="22"/>
      <c r="S235" s="8" t="s">
        <v>33</v>
      </c>
      <c r="U235" t="s">
        <v>51</v>
      </c>
      <c r="V235">
        <v>700</v>
      </c>
      <c r="W235" s="14" t="str">
        <f t="shared" si="16"/>
        <v xml:space="preserve"> - - + - - </v>
      </c>
      <c r="X235" s="14" t="str">
        <f t="shared" si="17"/>
        <v xml:space="preserve"> - - + - - </v>
      </c>
      <c r="Y235" s="14" t="str">
        <f t="shared" si="18"/>
        <v xml:space="preserve"> - - + - - </v>
      </c>
      <c r="Z235" s="14" t="str">
        <f t="shared" si="19"/>
        <v xml:space="preserve"> - - + - - </v>
      </c>
      <c r="AA235" s="14" t="str">
        <f t="shared" si="20"/>
        <v xml:space="preserve"> - - + - - </v>
      </c>
      <c r="AB235" s="14" t="str">
        <f t="shared" si="21"/>
        <v xml:space="preserve"> - - + - - </v>
      </c>
      <c r="AC235" s="14" t="str">
        <f t="shared" si="22"/>
        <v xml:space="preserve"> - - +50.00</v>
      </c>
      <c r="AD235" s="14" t="str">
        <f t="shared" si="23"/>
        <v/>
      </c>
    </row>
    <row r="236" spans="5:30">
      <c r="E236" s="27"/>
      <c r="F236" s="8" t="s">
        <v>44</v>
      </c>
      <c r="G236" s="9" t="s">
        <v>33</v>
      </c>
      <c r="H236" s="23" t="s">
        <v>33</v>
      </c>
      <c r="I236" s="24"/>
      <c r="J236" s="22"/>
      <c r="K236" s="23" t="s">
        <v>33</v>
      </c>
      <c r="L236" s="22"/>
      <c r="M236" s="9" t="s">
        <v>33</v>
      </c>
      <c r="N236" s="9" t="s">
        <v>33</v>
      </c>
      <c r="O236" s="9" t="s">
        <v>33</v>
      </c>
      <c r="P236" s="9" t="s">
        <v>33</v>
      </c>
      <c r="Q236" s="23" t="s">
        <v>33</v>
      </c>
      <c r="R236" s="22"/>
      <c r="S236" s="8">
        <v>0</v>
      </c>
      <c r="U236" t="s">
        <v>170</v>
      </c>
      <c r="V236" t="s">
        <v>33</v>
      </c>
      <c r="W236" s="14" t="str">
        <f t="shared" si="16"/>
        <v/>
      </c>
      <c r="X236" s="14" t="str">
        <f t="shared" si="17"/>
        <v/>
      </c>
      <c r="Y236" s="14" t="str">
        <f t="shared" si="18"/>
        <v/>
      </c>
      <c r="Z236" s="14" t="str">
        <f t="shared" si="19"/>
        <v/>
      </c>
      <c r="AA236" s="14" t="str">
        <f t="shared" si="20"/>
        <v/>
      </c>
      <c r="AB236" s="14" t="str">
        <f t="shared" si="21"/>
        <v/>
      </c>
      <c r="AC236" s="14" t="str">
        <f t="shared" si="22"/>
        <v/>
      </c>
      <c r="AD236" s="14">
        <f t="shared" si="23"/>
        <v>2</v>
      </c>
    </row>
    <row r="237" spans="5:30">
      <c r="E237" s="29"/>
      <c r="F237" s="8" t="s">
        <v>45</v>
      </c>
      <c r="G237" s="9">
        <v>4</v>
      </c>
      <c r="H237" s="23">
        <v>4</v>
      </c>
      <c r="I237" s="24"/>
      <c r="J237" s="22"/>
      <c r="K237" s="23">
        <v>4</v>
      </c>
      <c r="L237" s="22"/>
      <c r="M237" s="9">
        <v>3</v>
      </c>
      <c r="N237" s="9">
        <v>3</v>
      </c>
      <c r="O237" s="9">
        <v>3</v>
      </c>
      <c r="P237" s="9">
        <v>2</v>
      </c>
      <c r="Q237" s="23">
        <v>2</v>
      </c>
      <c r="R237" s="22"/>
      <c r="S237" s="8">
        <v>25</v>
      </c>
      <c r="U237" t="s">
        <v>56</v>
      </c>
      <c r="V237" t="s">
        <v>33</v>
      </c>
      <c r="W237" s="14">
        <f t="shared" si="16"/>
        <v>4</v>
      </c>
      <c r="X237" s="14">
        <f t="shared" si="17"/>
        <v>4</v>
      </c>
      <c r="Y237" s="14">
        <f t="shared" si="18"/>
        <v>4</v>
      </c>
      <c r="Z237" s="14">
        <f t="shared" si="19"/>
        <v>3</v>
      </c>
      <c r="AA237" s="14">
        <f t="shared" si="20"/>
        <v>3</v>
      </c>
      <c r="AB237" s="14">
        <f t="shared" si="21"/>
        <v>3</v>
      </c>
      <c r="AC237" s="14">
        <f t="shared" si="22"/>
        <v>2</v>
      </c>
      <c r="AD237" s="14">
        <f t="shared" si="23"/>
        <v>9.5</v>
      </c>
    </row>
    <row r="238" spans="5:30">
      <c r="E238" s="6">
        <v>8.9600000000000009</v>
      </c>
      <c r="F238" s="8" t="s">
        <v>47</v>
      </c>
      <c r="G238" s="9">
        <v>9</v>
      </c>
      <c r="H238" s="23">
        <v>8.5</v>
      </c>
      <c r="I238" s="24"/>
      <c r="J238" s="22"/>
      <c r="K238" s="23">
        <v>10</v>
      </c>
      <c r="L238" s="22"/>
      <c r="M238" s="9">
        <v>7.5</v>
      </c>
      <c r="N238" s="9">
        <v>10</v>
      </c>
      <c r="O238" s="9">
        <v>7.5</v>
      </c>
      <c r="P238" s="9">
        <v>10</v>
      </c>
      <c r="Q238" s="23">
        <v>9.5</v>
      </c>
      <c r="R238" s="22"/>
      <c r="S238" s="8" t="s">
        <v>33</v>
      </c>
      <c r="U238" t="s">
        <v>33</v>
      </c>
      <c r="V238" t="s">
        <v>33</v>
      </c>
      <c r="W238" s="14">
        <f t="shared" si="16"/>
        <v>9</v>
      </c>
      <c r="X238" s="14">
        <f t="shared" si="17"/>
        <v>8.5</v>
      </c>
      <c r="Y238" s="14">
        <f t="shared" si="18"/>
        <v>10</v>
      </c>
      <c r="Z238" s="14">
        <f t="shared" si="19"/>
        <v>7.5</v>
      </c>
      <c r="AA238" s="14">
        <f t="shared" si="20"/>
        <v>10</v>
      </c>
      <c r="AB238" s="14">
        <f t="shared" si="21"/>
        <v>7.5</v>
      </c>
      <c r="AC238" s="14">
        <f t="shared" si="22"/>
        <v>10</v>
      </c>
      <c r="AD238" s="14">
        <f t="shared" si="23"/>
        <v>19</v>
      </c>
    </row>
    <row r="239" spans="5:30">
      <c r="E239" s="10">
        <v>8.7799999999999994</v>
      </c>
      <c r="F239" s="8" t="s">
        <v>49</v>
      </c>
      <c r="G239" s="9">
        <v>36</v>
      </c>
      <c r="H239" s="23">
        <v>34</v>
      </c>
      <c r="I239" s="24"/>
      <c r="J239" s="22"/>
      <c r="K239" s="23">
        <v>40</v>
      </c>
      <c r="L239" s="22"/>
      <c r="M239" s="9">
        <v>22.5</v>
      </c>
      <c r="N239" s="9">
        <v>30</v>
      </c>
      <c r="O239" s="9">
        <v>22.5</v>
      </c>
      <c r="P239" s="9">
        <v>20</v>
      </c>
      <c r="Q239" s="23">
        <v>19</v>
      </c>
      <c r="R239" s="22"/>
      <c r="S239" s="8">
        <v>224</v>
      </c>
      <c r="U239">
        <v>0</v>
      </c>
      <c r="V239">
        <v>0</v>
      </c>
      <c r="W239" s="14">
        <f t="shared" si="16"/>
        <v>36</v>
      </c>
      <c r="X239" s="14">
        <f t="shared" si="17"/>
        <v>34</v>
      </c>
      <c r="Y239" s="14">
        <f t="shared" si="18"/>
        <v>40</v>
      </c>
      <c r="Z239" s="14">
        <f t="shared" si="19"/>
        <v>22.5</v>
      </c>
      <c r="AA239" s="14">
        <f t="shared" si="20"/>
        <v>30</v>
      </c>
      <c r="AB239" s="14">
        <f t="shared" si="21"/>
        <v>22.5</v>
      </c>
      <c r="AC239" s="14">
        <f t="shared" si="22"/>
        <v>20</v>
      </c>
      <c r="AD239" s="14">
        <f t="shared" si="23"/>
        <v>47</v>
      </c>
    </row>
    <row r="240" spans="5:30">
      <c r="E240" s="4"/>
      <c r="F240" s="8" t="s">
        <v>36</v>
      </c>
      <c r="G240" s="9">
        <v>87</v>
      </c>
      <c r="H240" s="23">
        <v>83</v>
      </c>
      <c r="I240" s="24"/>
      <c r="J240" s="22"/>
      <c r="K240" s="23">
        <v>97</v>
      </c>
      <c r="L240" s="22"/>
      <c r="M240" s="9">
        <v>73</v>
      </c>
      <c r="N240" s="9">
        <v>96</v>
      </c>
      <c r="O240" s="9">
        <v>71</v>
      </c>
      <c r="P240" s="9">
        <v>50</v>
      </c>
      <c r="Q240" s="23">
        <v>47</v>
      </c>
      <c r="R240" s="22"/>
      <c r="S240" s="8">
        <v>604</v>
      </c>
      <c r="U240">
        <v>0</v>
      </c>
      <c r="V240">
        <v>0</v>
      </c>
      <c r="W240" s="14">
        <f t="shared" si="16"/>
        <v>87</v>
      </c>
      <c r="X240" s="14">
        <f t="shared" si="17"/>
        <v>83</v>
      </c>
      <c r="Y240" s="14">
        <f t="shared" si="18"/>
        <v>97</v>
      </c>
      <c r="Z240" s="14">
        <f t="shared" si="19"/>
        <v>73</v>
      </c>
      <c r="AA240" s="14">
        <f t="shared" si="20"/>
        <v>96</v>
      </c>
      <c r="AB240" s="14">
        <f t="shared" si="21"/>
        <v>71</v>
      </c>
      <c r="AC240" s="14">
        <f t="shared" si="22"/>
        <v>50</v>
      </c>
      <c r="AD240" s="14">
        <f t="shared" si="23"/>
        <v>50</v>
      </c>
    </row>
    <row r="241" spans="5:30">
      <c r="E241" s="6"/>
      <c r="F241" s="8" t="s">
        <v>52</v>
      </c>
      <c r="G241" s="9">
        <v>100</v>
      </c>
      <c r="H241" s="23">
        <v>100</v>
      </c>
      <c r="I241" s="24"/>
      <c r="J241" s="22"/>
      <c r="K241" s="23">
        <v>100</v>
      </c>
      <c r="L241" s="22"/>
      <c r="M241" s="9">
        <v>100</v>
      </c>
      <c r="N241" s="9">
        <v>100</v>
      </c>
      <c r="O241" s="9">
        <v>100</v>
      </c>
      <c r="P241" s="9">
        <v>50</v>
      </c>
      <c r="Q241" s="23">
        <v>50</v>
      </c>
      <c r="R241" s="22"/>
      <c r="S241" s="8">
        <v>700</v>
      </c>
      <c r="U241" t="s">
        <v>31</v>
      </c>
      <c r="V241" t="s">
        <v>33</v>
      </c>
      <c r="W241" s="14">
        <f t="shared" si="16"/>
        <v>100</v>
      </c>
      <c r="X241" s="14">
        <f t="shared" si="17"/>
        <v>100</v>
      </c>
      <c r="Y241" s="14">
        <f t="shared" si="18"/>
        <v>100</v>
      </c>
      <c r="Z241" s="14">
        <f t="shared" si="19"/>
        <v>100</v>
      </c>
      <c r="AA241" s="14">
        <f t="shared" si="20"/>
        <v>100</v>
      </c>
      <c r="AB241" s="14">
        <f t="shared" si="21"/>
        <v>100</v>
      </c>
      <c r="AC241" s="14">
        <f t="shared" si="22"/>
        <v>50</v>
      </c>
      <c r="AD241" s="14" t="str">
        <f t="shared" si="23"/>
        <v>OO</v>
      </c>
    </row>
    <row r="242" spans="5:30">
      <c r="E242" s="4"/>
      <c r="F242" s="8" t="s">
        <v>54</v>
      </c>
      <c r="G242" s="9" t="s">
        <v>122</v>
      </c>
      <c r="H242" s="23" t="s">
        <v>95</v>
      </c>
      <c r="I242" s="24"/>
      <c r="J242" s="22"/>
      <c r="K242" s="23" t="s">
        <v>93</v>
      </c>
      <c r="L242" s="22"/>
      <c r="M242" s="9" t="s">
        <v>108</v>
      </c>
      <c r="N242" s="9" t="s">
        <v>93</v>
      </c>
      <c r="O242" s="9" t="s">
        <v>108</v>
      </c>
      <c r="P242" s="9" t="s">
        <v>93</v>
      </c>
      <c r="Q242" s="23" t="s">
        <v>94</v>
      </c>
      <c r="R242" s="22"/>
      <c r="S242" s="8" t="s">
        <v>33</v>
      </c>
      <c r="U242" t="s">
        <v>224</v>
      </c>
      <c r="V242" t="s">
        <v>36</v>
      </c>
      <c r="W242" s="14" t="str">
        <f t="shared" si="16"/>
        <v>OA+</v>
      </c>
      <c r="X242" s="14" t="str">
        <f t="shared" si="17"/>
        <v>OA</v>
      </c>
      <c r="Y242" s="14" t="str">
        <f t="shared" si="18"/>
        <v>OO+</v>
      </c>
      <c r="Z242" s="14" t="str">
        <f t="shared" si="19"/>
        <v>AA</v>
      </c>
      <c r="AA242" s="14" t="str">
        <f t="shared" si="20"/>
        <v>OO+</v>
      </c>
      <c r="AB242" s="14" t="str">
        <f t="shared" si="21"/>
        <v>AA</v>
      </c>
      <c r="AC242" s="14" t="str">
        <f t="shared" si="22"/>
        <v>OO+</v>
      </c>
      <c r="AD242" s="14" t="str">
        <f t="shared" si="23"/>
        <v>Pass</v>
      </c>
    </row>
    <row r="243" spans="5:30">
      <c r="E243" s="11" t="s">
        <v>223</v>
      </c>
      <c r="F243" s="8" t="s">
        <v>58</v>
      </c>
      <c r="G243" s="9" t="s">
        <v>59</v>
      </c>
      <c r="H243" s="23" t="s">
        <v>59</v>
      </c>
      <c r="I243" s="24"/>
      <c r="J243" s="22"/>
      <c r="K243" s="23" t="s">
        <v>59</v>
      </c>
      <c r="L243" s="22"/>
      <c r="M243" s="9" t="s">
        <v>59</v>
      </c>
      <c r="N243" s="9" t="s">
        <v>59</v>
      </c>
      <c r="O243" s="9" t="s">
        <v>59</v>
      </c>
      <c r="P243" s="9" t="s">
        <v>59</v>
      </c>
      <c r="Q243" s="23" t="s">
        <v>59</v>
      </c>
      <c r="R243" s="22"/>
      <c r="S243" s="8" t="s">
        <v>33</v>
      </c>
      <c r="U243" t="s">
        <v>37</v>
      </c>
      <c r="V243" t="s">
        <v>33</v>
      </c>
      <c r="W243" s="14" t="str">
        <f t="shared" si="16"/>
        <v>Pass</v>
      </c>
      <c r="X243" s="14" t="str">
        <f t="shared" si="17"/>
        <v>Pass</v>
      </c>
      <c r="Y243" s="14" t="str">
        <f t="shared" si="18"/>
        <v>Pass</v>
      </c>
      <c r="Z243" s="14" t="str">
        <f t="shared" si="19"/>
        <v>Pass</v>
      </c>
      <c r="AA243" s="14" t="str">
        <f t="shared" si="20"/>
        <v>Pass</v>
      </c>
      <c r="AB243" s="14" t="str">
        <f t="shared" si="21"/>
        <v>Pass</v>
      </c>
      <c r="AC243" s="14" t="str">
        <f t="shared" si="22"/>
        <v>Pass</v>
      </c>
      <c r="AD243" s="14" t="str">
        <f t="shared" si="23"/>
        <v/>
      </c>
    </row>
    <row r="244" spans="5:30">
      <c r="E244" s="12" t="s">
        <v>33</v>
      </c>
      <c r="F244" s="12" t="s">
        <v>33</v>
      </c>
      <c r="G244" s="13" t="s">
        <v>33</v>
      </c>
      <c r="H244" s="20" t="s">
        <v>33</v>
      </c>
      <c r="I244" s="18"/>
      <c r="J244" s="18"/>
      <c r="K244" s="20" t="s">
        <v>33</v>
      </c>
      <c r="L244" s="18"/>
      <c r="M244" s="13" t="s">
        <v>33</v>
      </c>
      <c r="N244" s="13" t="s">
        <v>33</v>
      </c>
      <c r="O244" s="13" t="s">
        <v>33</v>
      </c>
      <c r="P244" s="13" t="s">
        <v>33</v>
      </c>
      <c r="Q244" s="20" t="s">
        <v>33</v>
      </c>
      <c r="R244" s="18"/>
      <c r="S244" s="13" t="s">
        <v>33</v>
      </c>
      <c r="U244" t="s">
        <v>230</v>
      </c>
      <c r="V244" t="s">
        <v>33</v>
      </c>
      <c r="W244" s="14" t="str">
        <f t="shared" si="16"/>
        <v/>
      </c>
      <c r="X244" s="14" t="str">
        <f t="shared" si="17"/>
        <v/>
      </c>
      <c r="Y244" s="14" t="str">
        <f t="shared" si="18"/>
        <v/>
      </c>
      <c r="Z244" s="14" t="str">
        <f t="shared" si="19"/>
        <v/>
      </c>
      <c r="AA244" s="14" t="str">
        <f t="shared" si="20"/>
        <v/>
      </c>
      <c r="AB244" s="14" t="str">
        <f t="shared" si="21"/>
        <v/>
      </c>
      <c r="AC244" s="14" t="str">
        <f t="shared" si="22"/>
        <v/>
      </c>
      <c r="AD244" s="14">
        <f t="shared" si="23"/>
        <v>0</v>
      </c>
    </row>
    <row r="245" spans="5:30" ht="0" hidden="1" customHeight="1">
      <c r="U245">
        <v>0</v>
      </c>
      <c r="V245">
        <v>0</v>
      </c>
      <c r="W245" s="14">
        <f t="shared" si="16"/>
        <v>0</v>
      </c>
      <c r="X245" s="14">
        <f t="shared" si="17"/>
        <v>0</v>
      </c>
      <c r="Y245" s="14">
        <f t="shared" si="18"/>
        <v>0</v>
      </c>
      <c r="Z245" s="14">
        <f t="shared" si="19"/>
        <v>0</v>
      </c>
      <c r="AA245" s="14">
        <f t="shared" si="20"/>
        <v>0</v>
      </c>
      <c r="AB245" s="14">
        <f t="shared" si="21"/>
        <v>0</v>
      </c>
      <c r="AC245" s="14">
        <f t="shared" si="22"/>
        <v>0</v>
      </c>
      <c r="AD245" s="14">
        <f t="shared" si="23"/>
        <v>0</v>
      </c>
    </row>
    <row r="246" spans="5:30" ht="0.6" customHeight="1">
      <c r="U246">
        <v>0</v>
      </c>
      <c r="V246">
        <v>25</v>
      </c>
      <c r="W246" s="14">
        <f t="shared" si="16"/>
        <v>0</v>
      </c>
      <c r="X246" s="14">
        <f t="shared" si="17"/>
        <v>0</v>
      </c>
      <c r="Y246" s="14">
        <f t="shared" si="18"/>
        <v>0</v>
      </c>
      <c r="Z246" s="14">
        <f t="shared" si="19"/>
        <v>0</v>
      </c>
      <c r="AA246" s="14">
        <f t="shared" si="20"/>
        <v>0</v>
      </c>
      <c r="AB246" s="14">
        <f t="shared" si="21"/>
        <v>0</v>
      </c>
      <c r="AC246" s="14">
        <f t="shared" si="22"/>
        <v>0</v>
      </c>
      <c r="AD246" s="14" t="str">
        <f t="shared" si="23"/>
        <v/>
      </c>
    </row>
    <row r="247" spans="5:30">
      <c r="E247" s="4"/>
      <c r="F247" s="3" t="s">
        <v>32</v>
      </c>
      <c r="G247" s="5" t="s">
        <v>33</v>
      </c>
      <c r="H247" s="32" t="s">
        <v>33</v>
      </c>
      <c r="I247" s="18"/>
      <c r="J247" s="18"/>
      <c r="K247" s="32" t="s">
        <v>33</v>
      </c>
      <c r="L247" s="18"/>
      <c r="M247" s="5" t="s">
        <v>33</v>
      </c>
      <c r="N247" s="5" t="s">
        <v>33</v>
      </c>
      <c r="O247" s="5" t="s">
        <v>33</v>
      </c>
      <c r="P247" s="5" t="s">
        <v>33</v>
      </c>
      <c r="Q247" s="32" t="s">
        <v>33</v>
      </c>
      <c r="R247" s="18"/>
      <c r="S247" s="5" t="s">
        <v>33</v>
      </c>
      <c r="U247" t="s">
        <v>46</v>
      </c>
      <c r="V247" t="s">
        <v>33</v>
      </c>
      <c r="W247" s="14" t="str">
        <f t="shared" si="16"/>
        <v/>
      </c>
      <c r="X247" s="14" t="str">
        <f t="shared" si="17"/>
        <v/>
      </c>
      <c r="Y247" s="14" t="str">
        <f t="shared" si="18"/>
        <v/>
      </c>
      <c r="Z247" s="14" t="str">
        <f t="shared" si="19"/>
        <v/>
      </c>
      <c r="AA247" s="14" t="str">
        <f t="shared" si="20"/>
        <v/>
      </c>
      <c r="AB247" s="14" t="str">
        <f t="shared" si="21"/>
        <v/>
      </c>
      <c r="AC247" s="14" t="str">
        <f t="shared" si="22"/>
        <v/>
      </c>
      <c r="AD247" s="14" t="str">
        <f t="shared" si="23"/>
        <v>COMNSSN302</v>
      </c>
    </row>
    <row r="248" spans="5:30" ht="21">
      <c r="E248" s="4"/>
      <c r="F248" s="7" t="s">
        <v>35</v>
      </c>
      <c r="G248" s="7" t="s">
        <v>5</v>
      </c>
      <c r="H248" s="30" t="s">
        <v>7</v>
      </c>
      <c r="I248" s="24"/>
      <c r="J248" s="22"/>
      <c r="K248" s="30" t="s">
        <v>9</v>
      </c>
      <c r="L248" s="22"/>
      <c r="M248" s="7" t="s">
        <v>11</v>
      </c>
      <c r="N248" s="7" t="s">
        <v>15</v>
      </c>
      <c r="O248" s="7" t="s">
        <v>17</v>
      </c>
      <c r="P248" s="7" t="s">
        <v>21</v>
      </c>
      <c r="Q248" s="30" t="s">
        <v>25</v>
      </c>
      <c r="R248" s="22"/>
      <c r="S248" s="7" t="s">
        <v>36</v>
      </c>
      <c r="U248" t="s">
        <v>48</v>
      </c>
      <c r="V248">
        <v>209</v>
      </c>
      <c r="W248" s="14" t="str">
        <f t="shared" si="16"/>
        <v>BBABMCN301</v>
      </c>
      <c r="X248" s="14" t="str">
        <f t="shared" si="17"/>
        <v>BBABMCN302</v>
      </c>
      <c r="Y248" s="14" t="str">
        <f t="shared" si="18"/>
        <v>BBABMCN303</v>
      </c>
      <c r="Z248" s="14" t="str">
        <f t="shared" si="19"/>
        <v>BBAENLN301</v>
      </c>
      <c r="AA248" s="14" t="str">
        <f t="shared" si="20"/>
        <v>BBAKALN302</v>
      </c>
      <c r="AB248" s="14" t="str">
        <f t="shared" si="21"/>
        <v>BCACAEN302</v>
      </c>
      <c r="AC248" s="14" t="str">
        <f t="shared" si="22"/>
        <v>COMFISN301</v>
      </c>
      <c r="AD248" s="14" t="str">
        <f t="shared" si="23"/>
        <v xml:space="preserve"> - - + - - </v>
      </c>
    </row>
    <row r="249" spans="5:30" ht="22.5">
      <c r="E249" s="6" t="s">
        <v>225</v>
      </c>
      <c r="F249" s="8" t="s">
        <v>39</v>
      </c>
      <c r="G249" s="9" t="s">
        <v>174</v>
      </c>
      <c r="H249" s="23" t="s">
        <v>226</v>
      </c>
      <c r="I249" s="24"/>
      <c r="J249" s="22"/>
      <c r="K249" s="23" t="s">
        <v>227</v>
      </c>
      <c r="L249" s="22"/>
      <c r="M249" s="9" t="s">
        <v>228</v>
      </c>
      <c r="N249" s="9" t="s">
        <v>178</v>
      </c>
      <c r="O249" s="9" t="s">
        <v>229</v>
      </c>
      <c r="P249" s="9" t="s">
        <v>201</v>
      </c>
      <c r="Q249" s="23" t="s">
        <v>43</v>
      </c>
      <c r="R249" s="22"/>
      <c r="S249" s="8" t="s">
        <v>33</v>
      </c>
      <c r="U249" t="s">
        <v>50</v>
      </c>
      <c r="V249">
        <v>562</v>
      </c>
      <c r="W249" s="14" t="str">
        <f t="shared" si="16"/>
        <v>42.00 + 28.00</v>
      </c>
      <c r="X249" s="14" t="str">
        <f t="shared" si="17"/>
        <v>41.00 + 36.00</v>
      </c>
      <c r="Y249" s="14" t="str">
        <f t="shared" si="18"/>
        <v>55.00 + 39.00</v>
      </c>
      <c r="Z249" s="14" t="str">
        <f t="shared" si="19"/>
        <v>45.00 + 32.00</v>
      </c>
      <c r="AA249" s="14" t="str">
        <f t="shared" si="20"/>
        <v>55.00 + 38.00</v>
      </c>
      <c r="AB249" s="14" t="str">
        <f t="shared" si="21"/>
        <v>26.00 + 28.00</v>
      </c>
      <c r="AC249" s="14" t="str">
        <f t="shared" si="22"/>
        <v>29.00 + 20.00</v>
      </c>
      <c r="AD249" s="14" t="str">
        <f t="shared" si="23"/>
        <v xml:space="preserve"> - - +48.00</v>
      </c>
    </row>
    <row r="250" spans="5:30">
      <c r="E250" s="25"/>
      <c r="F250" s="8" t="s">
        <v>42</v>
      </c>
      <c r="G250" s="9" t="s">
        <v>43</v>
      </c>
      <c r="H250" s="23" t="s">
        <v>43</v>
      </c>
      <c r="I250" s="24"/>
      <c r="J250" s="22"/>
      <c r="K250" s="23" t="s">
        <v>43</v>
      </c>
      <c r="L250" s="22"/>
      <c r="M250" s="9" t="s">
        <v>43</v>
      </c>
      <c r="N250" s="9" t="s">
        <v>43</v>
      </c>
      <c r="O250" s="9" t="s">
        <v>43</v>
      </c>
      <c r="P250" s="9" t="s">
        <v>43</v>
      </c>
      <c r="Q250" s="23" t="s">
        <v>107</v>
      </c>
      <c r="R250" s="22"/>
      <c r="S250" s="8" t="s">
        <v>33</v>
      </c>
      <c r="U250" t="s">
        <v>51</v>
      </c>
      <c r="V250">
        <v>700</v>
      </c>
      <c r="W250" s="14" t="str">
        <f t="shared" si="16"/>
        <v xml:space="preserve"> - - + - - </v>
      </c>
      <c r="X250" s="14" t="str">
        <f t="shared" si="17"/>
        <v xml:space="preserve"> - - + - - </v>
      </c>
      <c r="Y250" s="14" t="str">
        <f t="shared" si="18"/>
        <v xml:space="preserve"> - - + - - </v>
      </c>
      <c r="Z250" s="14" t="str">
        <f t="shared" si="19"/>
        <v xml:space="preserve"> - - + - - </v>
      </c>
      <c r="AA250" s="14" t="str">
        <f t="shared" si="20"/>
        <v xml:space="preserve"> - - + - - </v>
      </c>
      <c r="AB250" s="14" t="str">
        <f t="shared" si="21"/>
        <v xml:space="preserve"> - - + - - </v>
      </c>
      <c r="AC250" s="14" t="str">
        <f t="shared" si="22"/>
        <v xml:space="preserve"> - - + - - </v>
      </c>
      <c r="AD250" s="14" t="str">
        <f t="shared" si="23"/>
        <v/>
      </c>
    </row>
    <row r="251" spans="5:30">
      <c r="E251" s="27"/>
      <c r="F251" s="8" t="s">
        <v>44</v>
      </c>
      <c r="G251" s="9" t="s">
        <v>33</v>
      </c>
      <c r="H251" s="23" t="s">
        <v>33</v>
      </c>
      <c r="I251" s="24"/>
      <c r="J251" s="22"/>
      <c r="K251" s="23" t="s">
        <v>33</v>
      </c>
      <c r="L251" s="22"/>
      <c r="M251" s="9" t="s">
        <v>33</v>
      </c>
      <c r="N251" s="9" t="s">
        <v>33</v>
      </c>
      <c r="O251" s="9" t="s">
        <v>33</v>
      </c>
      <c r="P251" s="9" t="s">
        <v>33</v>
      </c>
      <c r="Q251" s="23" t="s">
        <v>33</v>
      </c>
      <c r="R251" s="22"/>
      <c r="S251" s="8">
        <v>0</v>
      </c>
      <c r="U251" t="s">
        <v>159</v>
      </c>
      <c r="V251" t="s">
        <v>33</v>
      </c>
      <c r="W251" s="14" t="str">
        <f t="shared" si="16"/>
        <v/>
      </c>
      <c r="X251" s="14" t="str">
        <f t="shared" si="17"/>
        <v/>
      </c>
      <c r="Y251" s="14" t="str">
        <f t="shared" si="18"/>
        <v/>
      </c>
      <c r="Z251" s="14" t="str">
        <f t="shared" si="19"/>
        <v/>
      </c>
      <c r="AA251" s="14" t="str">
        <f t="shared" si="20"/>
        <v/>
      </c>
      <c r="AB251" s="14" t="str">
        <f t="shared" si="21"/>
        <v/>
      </c>
      <c r="AC251" s="14" t="str">
        <f t="shared" si="22"/>
        <v/>
      </c>
      <c r="AD251" s="14">
        <f t="shared" si="23"/>
        <v>2</v>
      </c>
    </row>
    <row r="252" spans="5:30">
      <c r="E252" s="29"/>
      <c r="F252" s="8" t="s">
        <v>45</v>
      </c>
      <c r="G252" s="9">
        <v>4</v>
      </c>
      <c r="H252" s="23">
        <v>4</v>
      </c>
      <c r="I252" s="24"/>
      <c r="J252" s="22"/>
      <c r="K252" s="23">
        <v>4</v>
      </c>
      <c r="L252" s="22"/>
      <c r="M252" s="9">
        <v>3</v>
      </c>
      <c r="N252" s="9">
        <v>3</v>
      </c>
      <c r="O252" s="9">
        <v>3</v>
      </c>
      <c r="P252" s="9">
        <v>2</v>
      </c>
      <c r="Q252" s="23">
        <v>2</v>
      </c>
      <c r="R252" s="22"/>
      <c r="S252" s="8">
        <v>25</v>
      </c>
      <c r="U252" t="s">
        <v>56</v>
      </c>
      <c r="V252" t="s">
        <v>33</v>
      </c>
      <c r="W252" s="14">
        <f t="shared" si="16"/>
        <v>4</v>
      </c>
      <c r="X252" s="14">
        <f t="shared" si="17"/>
        <v>4</v>
      </c>
      <c r="Y252" s="14">
        <f t="shared" si="18"/>
        <v>4</v>
      </c>
      <c r="Z252" s="14">
        <f t="shared" si="19"/>
        <v>3</v>
      </c>
      <c r="AA252" s="14">
        <f t="shared" si="20"/>
        <v>3</v>
      </c>
      <c r="AB252" s="14">
        <f t="shared" si="21"/>
        <v>3</v>
      </c>
      <c r="AC252" s="14">
        <f t="shared" si="22"/>
        <v>2</v>
      </c>
      <c r="AD252" s="14">
        <f t="shared" si="23"/>
        <v>10</v>
      </c>
    </row>
    <row r="253" spans="5:30">
      <c r="E253" s="6">
        <v>8.36</v>
      </c>
      <c r="F253" s="8" t="s">
        <v>47</v>
      </c>
      <c r="G253" s="9">
        <v>7.5</v>
      </c>
      <c r="H253" s="23">
        <v>8</v>
      </c>
      <c r="I253" s="24"/>
      <c r="J253" s="22"/>
      <c r="K253" s="23">
        <v>9.5</v>
      </c>
      <c r="L253" s="22"/>
      <c r="M253" s="9">
        <v>8</v>
      </c>
      <c r="N253" s="9">
        <v>9.5</v>
      </c>
      <c r="O253" s="9">
        <v>5.5</v>
      </c>
      <c r="P253" s="9">
        <v>10</v>
      </c>
      <c r="Q253" s="23">
        <v>10</v>
      </c>
      <c r="R253" s="22"/>
      <c r="S253" s="8" t="s">
        <v>33</v>
      </c>
      <c r="U253" t="s">
        <v>33</v>
      </c>
      <c r="V253" t="s">
        <v>33</v>
      </c>
      <c r="W253" s="14">
        <f t="shared" si="16"/>
        <v>7.5</v>
      </c>
      <c r="X253" s="14">
        <f t="shared" si="17"/>
        <v>8</v>
      </c>
      <c r="Y253" s="14">
        <f t="shared" si="18"/>
        <v>9.5</v>
      </c>
      <c r="Z253" s="14">
        <f t="shared" si="19"/>
        <v>8</v>
      </c>
      <c r="AA253" s="14">
        <f t="shared" si="20"/>
        <v>9.5</v>
      </c>
      <c r="AB253" s="14">
        <f t="shared" si="21"/>
        <v>5.5</v>
      </c>
      <c r="AC253" s="14">
        <f t="shared" si="22"/>
        <v>10</v>
      </c>
      <c r="AD253" s="14">
        <f t="shared" si="23"/>
        <v>20</v>
      </c>
    </row>
    <row r="254" spans="5:30">
      <c r="E254" s="10">
        <v>8.0500000000000007</v>
      </c>
      <c r="F254" s="8" t="s">
        <v>49</v>
      </c>
      <c r="G254" s="9">
        <v>30</v>
      </c>
      <c r="H254" s="23">
        <v>32</v>
      </c>
      <c r="I254" s="24"/>
      <c r="J254" s="22"/>
      <c r="K254" s="23">
        <v>38</v>
      </c>
      <c r="L254" s="22"/>
      <c r="M254" s="9">
        <v>24</v>
      </c>
      <c r="N254" s="9">
        <v>28.5</v>
      </c>
      <c r="O254" s="9">
        <v>16.5</v>
      </c>
      <c r="P254" s="9">
        <v>20</v>
      </c>
      <c r="Q254" s="23">
        <v>20</v>
      </c>
      <c r="R254" s="22"/>
      <c r="S254" s="8">
        <v>209</v>
      </c>
      <c r="U254">
        <v>0</v>
      </c>
      <c r="V254">
        <v>0</v>
      </c>
      <c r="W254" s="14">
        <f t="shared" si="16"/>
        <v>30</v>
      </c>
      <c r="X254" s="14">
        <f t="shared" si="17"/>
        <v>32</v>
      </c>
      <c r="Y254" s="14">
        <f t="shared" si="18"/>
        <v>38</v>
      </c>
      <c r="Z254" s="14">
        <f t="shared" si="19"/>
        <v>24</v>
      </c>
      <c r="AA254" s="14">
        <f t="shared" si="20"/>
        <v>28.5</v>
      </c>
      <c r="AB254" s="14">
        <f t="shared" si="21"/>
        <v>16.5</v>
      </c>
      <c r="AC254" s="14">
        <f t="shared" si="22"/>
        <v>20</v>
      </c>
      <c r="AD254" s="14">
        <f t="shared" si="23"/>
        <v>48</v>
      </c>
    </row>
    <row r="255" spans="5:30">
      <c r="E255" s="4"/>
      <c r="F255" s="8" t="s">
        <v>36</v>
      </c>
      <c r="G255" s="9">
        <v>70</v>
      </c>
      <c r="H255" s="23">
        <v>77</v>
      </c>
      <c r="I255" s="24"/>
      <c r="J255" s="22"/>
      <c r="K255" s="23">
        <v>94</v>
      </c>
      <c r="L255" s="22"/>
      <c r="M255" s="9">
        <v>77</v>
      </c>
      <c r="N255" s="9">
        <v>93</v>
      </c>
      <c r="O255" s="9">
        <v>54</v>
      </c>
      <c r="P255" s="9">
        <v>49</v>
      </c>
      <c r="Q255" s="23">
        <v>48</v>
      </c>
      <c r="R255" s="22"/>
      <c r="S255" s="8">
        <v>562</v>
      </c>
      <c r="U255">
        <v>0</v>
      </c>
      <c r="V255">
        <v>0</v>
      </c>
      <c r="W255" s="14">
        <f t="shared" si="16"/>
        <v>70</v>
      </c>
      <c r="X255" s="14">
        <f t="shared" si="17"/>
        <v>77</v>
      </c>
      <c r="Y255" s="14">
        <f t="shared" si="18"/>
        <v>94</v>
      </c>
      <c r="Z255" s="14">
        <f t="shared" si="19"/>
        <v>77</v>
      </c>
      <c r="AA255" s="14">
        <f t="shared" si="20"/>
        <v>93</v>
      </c>
      <c r="AB255" s="14">
        <f t="shared" si="21"/>
        <v>54</v>
      </c>
      <c r="AC255" s="14">
        <f t="shared" si="22"/>
        <v>49</v>
      </c>
      <c r="AD255" s="14">
        <f t="shared" si="23"/>
        <v>50</v>
      </c>
    </row>
    <row r="256" spans="5:30">
      <c r="E256" s="6"/>
      <c r="F256" s="8" t="s">
        <v>52</v>
      </c>
      <c r="G256" s="9">
        <v>100</v>
      </c>
      <c r="H256" s="23">
        <v>100</v>
      </c>
      <c r="I256" s="24"/>
      <c r="J256" s="22"/>
      <c r="K256" s="23">
        <v>100</v>
      </c>
      <c r="L256" s="22"/>
      <c r="M256" s="9">
        <v>100</v>
      </c>
      <c r="N256" s="9">
        <v>100</v>
      </c>
      <c r="O256" s="9">
        <v>100</v>
      </c>
      <c r="P256" s="9">
        <v>50</v>
      </c>
      <c r="Q256" s="23">
        <v>50</v>
      </c>
      <c r="R256" s="22"/>
      <c r="S256" s="8">
        <v>700</v>
      </c>
      <c r="U256" t="s">
        <v>31</v>
      </c>
      <c r="V256" t="s">
        <v>33</v>
      </c>
      <c r="W256" s="14">
        <f t="shared" si="16"/>
        <v>100</v>
      </c>
      <c r="X256" s="14">
        <f t="shared" si="17"/>
        <v>100</v>
      </c>
      <c r="Y256" s="14">
        <f t="shared" si="18"/>
        <v>100</v>
      </c>
      <c r="Z256" s="14">
        <f t="shared" si="19"/>
        <v>100</v>
      </c>
      <c r="AA256" s="14">
        <f t="shared" si="20"/>
        <v>100</v>
      </c>
      <c r="AB256" s="14">
        <f t="shared" si="21"/>
        <v>100</v>
      </c>
      <c r="AC256" s="14">
        <f t="shared" si="22"/>
        <v>50</v>
      </c>
      <c r="AD256" s="14" t="str">
        <f t="shared" si="23"/>
        <v>OO+</v>
      </c>
    </row>
    <row r="257" spans="5:30">
      <c r="E257" s="4"/>
      <c r="F257" s="8" t="s">
        <v>54</v>
      </c>
      <c r="G257" s="9" t="s">
        <v>108</v>
      </c>
      <c r="H257" s="23" t="s">
        <v>135</v>
      </c>
      <c r="I257" s="24"/>
      <c r="J257" s="22"/>
      <c r="K257" s="23" t="s">
        <v>94</v>
      </c>
      <c r="L257" s="22"/>
      <c r="M257" s="9" t="s">
        <v>135</v>
      </c>
      <c r="N257" s="9" t="s">
        <v>94</v>
      </c>
      <c r="O257" s="9" t="s">
        <v>123</v>
      </c>
      <c r="P257" s="9" t="s">
        <v>93</v>
      </c>
      <c r="Q257" s="23" t="s">
        <v>93</v>
      </c>
      <c r="R257" s="22"/>
      <c r="S257" s="8" t="s">
        <v>33</v>
      </c>
      <c r="U257" t="s">
        <v>232</v>
      </c>
      <c r="V257" t="s">
        <v>36</v>
      </c>
      <c r="W257" s="14" t="str">
        <f t="shared" si="16"/>
        <v>AA</v>
      </c>
      <c r="X257" s="14" t="str">
        <f t="shared" si="17"/>
        <v>AA+</v>
      </c>
      <c r="Y257" s="14" t="str">
        <f t="shared" si="18"/>
        <v>OO</v>
      </c>
      <c r="Z257" s="14" t="str">
        <f t="shared" si="19"/>
        <v>AA+</v>
      </c>
      <c r="AA257" s="14" t="str">
        <f t="shared" si="20"/>
        <v>OO</v>
      </c>
      <c r="AB257" s="14" t="str">
        <f t="shared" si="21"/>
        <v>BB</v>
      </c>
      <c r="AC257" s="14" t="str">
        <f t="shared" si="22"/>
        <v>OO+</v>
      </c>
      <c r="AD257" s="14" t="str">
        <f t="shared" si="23"/>
        <v>Pass</v>
      </c>
    </row>
    <row r="258" spans="5:30">
      <c r="E258" s="11" t="s">
        <v>231</v>
      </c>
      <c r="F258" s="8" t="s">
        <v>58</v>
      </c>
      <c r="G258" s="9" t="s">
        <v>59</v>
      </c>
      <c r="H258" s="23" t="s">
        <v>59</v>
      </c>
      <c r="I258" s="24"/>
      <c r="J258" s="22"/>
      <c r="K258" s="23" t="s">
        <v>59</v>
      </c>
      <c r="L258" s="22"/>
      <c r="M258" s="9" t="s">
        <v>59</v>
      </c>
      <c r="N258" s="9" t="s">
        <v>59</v>
      </c>
      <c r="O258" s="9" t="s">
        <v>59</v>
      </c>
      <c r="P258" s="9" t="s">
        <v>59</v>
      </c>
      <c r="Q258" s="23" t="s">
        <v>59</v>
      </c>
      <c r="R258" s="22"/>
      <c r="S258" s="8" t="s">
        <v>33</v>
      </c>
      <c r="U258" t="s">
        <v>37</v>
      </c>
      <c r="V258" t="s">
        <v>33</v>
      </c>
      <c r="W258" s="14" t="str">
        <f t="shared" si="16"/>
        <v>Pass</v>
      </c>
      <c r="X258" s="14" t="str">
        <f t="shared" si="17"/>
        <v>Pass</v>
      </c>
      <c r="Y258" s="14" t="str">
        <f t="shared" si="18"/>
        <v>Pass</v>
      </c>
      <c r="Z258" s="14" t="str">
        <f t="shared" si="19"/>
        <v>Pass</v>
      </c>
      <c r="AA258" s="14" t="str">
        <f t="shared" si="20"/>
        <v>Pass</v>
      </c>
      <c r="AB258" s="14" t="str">
        <f t="shared" si="21"/>
        <v>Pass</v>
      </c>
      <c r="AC258" s="14" t="str">
        <f t="shared" si="22"/>
        <v>Pass</v>
      </c>
      <c r="AD258" s="14" t="str">
        <f t="shared" si="23"/>
        <v/>
      </c>
    </row>
    <row r="259" spans="5:30">
      <c r="E259" s="12" t="s">
        <v>33</v>
      </c>
      <c r="F259" s="12" t="s">
        <v>33</v>
      </c>
      <c r="G259" s="13" t="s">
        <v>33</v>
      </c>
      <c r="H259" s="20" t="s">
        <v>33</v>
      </c>
      <c r="I259" s="18"/>
      <c r="J259" s="18"/>
      <c r="K259" s="20" t="s">
        <v>33</v>
      </c>
      <c r="L259" s="18"/>
      <c r="M259" s="13" t="s">
        <v>33</v>
      </c>
      <c r="N259" s="13" t="s">
        <v>33</v>
      </c>
      <c r="O259" s="13" t="s">
        <v>33</v>
      </c>
      <c r="P259" s="13" t="s">
        <v>33</v>
      </c>
      <c r="Q259" s="20" t="s">
        <v>33</v>
      </c>
      <c r="R259" s="18"/>
      <c r="S259" s="13" t="s">
        <v>33</v>
      </c>
      <c r="U259" t="s">
        <v>240</v>
      </c>
      <c r="V259" t="s">
        <v>33</v>
      </c>
      <c r="W259" s="14" t="str">
        <f t="shared" si="16"/>
        <v/>
      </c>
      <c r="X259" s="14" t="str">
        <f t="shared" si="17"/>
        <v/>
      </c>
      <c r="Y259" s="14" t="str">
        <f t="shared" si="18"/>
        <v/>
      </c>
      <c r="Z259" s="14" t="str">
        <f t="shared" si="19"/>
        <v/>
      </c>
      <c r="AA259" s="14" t="str">
        <f t="shared" si="20"/>
        <v/>
      </c>
      <c r="AB259" s="14" t="str">
        <f t="shared" si="21"/>
        <v/>
      </c>
      <c r="AC259" s="14" t="str">
        <f t="shared" si="22"/>
        <v/>
      </c>
      <c r="AD259" s="14">
        <f t="shared" si="23"/>
        <v>0</v>
      </c>
    </row>
    <row r="260" spans="5:30" ht="0" hidden="1" customHeight="1">
      <c r="U260">
        <v>0</v>
      </c>
      <c r="V260">
        <v>0</v>
      </c>
      <c r="W260" s="14">
        <f t="shared" si="16"/>
        <v>0</v>
      </c>
      <c r="X260" s="14">
        <f t="shared" si="17"/>
        <v>0</v>
      </c>
      <c r="Y260" s="14">
        <f t="shared" si="18"/>
        <v>0</v>
      </c>
      <c r="Z260" s="14">
        <f t="shared" si="19"/>
        <v>0</v>
      </c>
      <c r="AA260" s="14">
        <f t="shared" si="20"/>
        <v>0</v>
      </c>
      <c r="AB260" s="14">
        <f t="shared" si="21"/>
        <v>0</v>
      </c>
      <c r="AC260" s="14">
        <f t="shared" si="22"/>
        <v>0</v>
      </c>
      <c r="AD260" s="14">
        <f t="shared" si="23"/>
        <v>0</v>
      </c>
    </row>
    <row r="261" spans="5:30" ht="0.6" customHeight="1">
      <c r="U261">
        <v>0</v>
      </c>
      <c r="V261">
        <v>25</v>
      </c>
      <c r="W261" s="14">
        <f t="shared" si="16"/>
        <v>0</v>
      </c>
      <c r="X261" s="14">
        <f t="shared" si="17"/>
        <v>0</v>
      </c>
      <c r="Y261" s="14">
        <f t="shared" si="18"/>
        <v>0</v>
      </c>
      <c r="Z261" s="14">
        <f t="shared" si="19"/>
        <v>0</v>
      </c>
      <c r="AA261" s="14">
        <f t="shared" si="20"/>
        <v>0</v>
      </c>
      <c r="AB261" s="14">
        <f t="shared" si="21"/>
        <v>0</v>
      </c>
      <c r="AC261" s="14">
        <f t="shared" si="22"/>
        <v>0</v>
      </c>
      <c r="AD261" s="14" t="str">
        <f t="shared" si="23"/>
        <v/>
      </c>
    </row>
    <row r="262" spans="5:30">
      <c r="E262" s="4"/>
      <c r="F262" s="3" t="s">
        <v>32</v>
      </c>
      <c r="G262" s="5" t="s">
        <v>33</v>
      </c>
      <c r="H262" s="32" t="s">
        <v>33</v>
      </c>
      <c r="I262" s="18"/>
      <c r="J262" s="18"/>
      <c r="K262" s="32" t="s">
        <v>33</v>
      </c>
      <c r="L262" s="18"/>
      <c r="M262" s="5" t="s">
        <v>33</v>
      </c>
      <c r="N262" s="5" t="s">
        <v>33</v>
      </c>
      <c r="O262" s="5" t="s">
        <v>33</v>
      </c>
      <c r="P262" s="5" t="s">
        <v>33</v>
      </c>
      <c r="Q262" s="32" t="s">
        <v>33</v>
      </c>
      <c r="R262" s="18"/>
      <c r="S262" s="5" t="s">
        <v>33</v>
      </c>
      <c r="U262" t="s">
        <v>46</v>
      </c>
      <c r="V262" t="s">
        <v>33</v>
      </c>
      <c r="W262" s="14" t="str">
        <f t="shared" si="16"/>
        <v/>
      </c>
      <c r="X262" s="14" t="str">
        <f t="shared" si="17"/>
        <v/>
      </c>
      <c r="Y262" s="14" t="str">
        <f t="shared" si="18"/>
        <v/>
      </c>
      <c r="Z262" s="14" t="str">
        <f t="shared" si="19"/>
        <v/>
      </c>
      <c r="AA262" s="14" t="str">
        <f t="shared" si="20"/>
        <v/>
      </c>
      <c r="AB262" s="14" t="str">
        <f t="shared" si="21"/>
        <v/>
      </c>
      <c r="AC262" s="14" t="str">
        <f t="shared" si="22"/>
        <v/>
      </c>
      <c r="AD262" s="14" t="str">
        <f t="shared" si="23"/>
        <v>COMNSSN302</v>
      </c>
    </row>
    <row r="263" spans="5:30" ht="21">
      <c r="E263" s="4"/>
      <c r="F263" s="7" t="s">
        <v>35</v>
      </c>
      <c r="G263" s="7" t="s">
        <v>5</v>
      </c>
      <c r="H263" s="30" t="s">
        <v>7</v>
      </c>
      <c r="I263" s="24"/>
      <c r="J263" s="22"/>
      <c r="K263" s="30" t="s">
        <v>9</v>
      </c>
      <c r="L263" s="22"/>
      <c r="M263" s="7" t="s">
        <v>11</v>
      </c>
      <c r="N263" s="7" t="s">
        <v>15</v>
      </c>
      <c r="O263" s="7" t="s">
        <v>17</v>
      </c>
      <c r="P263" s="7" t="s">
        <v>21</v>
      </c>
      <c r="Q263" s="30" t="s">
        <v>25</v>
      </c>
      <c r="R263" s="22"/>
      <c r="S263" s="7" t="s">
        <v>36</v>
      </c>
      <c r="U263" t="s">
        <v>48</v>
      </c>
      <c r="V263">
        <v>216.5</v>
      </c>
      <c r="W263" s="14" t="str">
        <f t="shared" ref="W263:W326" si="24">$G263</f>
        <v>BBABMCN301</v>
      </c>
      <c r="X263" s="14" t="str">
        <f t="shared" ref="X263:X326" si="25">$H263</f>
        <v>BBABMCN302</v>
      </c>
      <c r="Y263" s="14" t="str">
        <f t="shared" ref="Y263:Y326" si="26">$K263</f>
        <v>BBABMCN303</v>
      </c>
      <c r="Z263" s="14" t="str">
        <f t="shared" ref="Z263:Z326" si="27">$M263</f>
        <v>BBAENLN301</v>
      </c>
      <c r="AA263" s="14" t="str">
        <f t="shared" ref="AA263:AA326" si="28">$N263</f>
        <v>BBAKALN302</v>
      </c>
      <c r="AB263" s="14" t="str">
        <f t="shared" ref="AB263:AB326" si="29">$O263</f>
        <v>BCACAEN302</v>
      </c>
      <c r="AC263" s="14" t="str">
        <f t="shared" ref="AC263:AC326" si="30">$P263</f>
        <v>COMFISN301</v>
      </c>
      <c r="AD263" s="14" t="str">
        <f t="shared" ref="AD263:AD326" si="31">$Q264</f>
        <v xml:space="preserve"> - - + - - </v>
      </c>
    </row>
    <row r="264" spans="5:30" ht="22.5">
      <c r="E264" s="6" t="s">
        <v>233</v>
      </c>
      <c r="F264" s="8" t="s">
        <v>39</v>
      </c>
      <c r="G264" s="9" t="s">
        <v>234</v>
      </c>
      <c r="H264" s="23" t="s">
        <v>235</v>
      </c>
      <c r="I264" s="24"/>
      <c r="J264" s="22"/>
      <c r="K264" s="23" t="s">
        <v>217</v>
      </c>
      <c r="L264" s="22"/>
      <c r="M264" s="9" t="s">
        <v>236</v>
      </c>
      <c r="N264" s="9" t="s">
        <v>237</v>
      </c>
      <c r="O264" s="9" t="s">
        <v>238</v>
      </c>
      <c r="P264" s="9" t="s">
        <v>239</v>
      </c>
      <c r="Q264" s="23" t="s">
        <v>43</v>
      </c>
      <c r="R264" s="22"/>
      <c r="S264" s="8" t="s">
        <v>33</v>
      </c>
      <c r="U264" t="s">
        <v>50</v>
      </c>
      <c r="V264">
        <v>576</v>
      </c>
      <c r="W264" s="14" t="str">
        <f t="shared" si="24"/>
        <v>44.00 + 32.00</v>
      </c>
      <c r="X264" s="14" t="str">
        <f t="shared" si="25"/>
        <v>44.00 + 36.00</v>
      </c>
      <c r="Y264" s="14" t="str">
        <f t="shared" si="26"/>
        <v>58.00 + 39.00</v>
      </c>
      <c r="Z264" s="14" t="str">
        <f t="shared" si="27"/>
        <v>43.00 + 32.00</v>
      </c>
      <c r="AA264" s="14" t="str">
        <f t="shared" si="28"/>
        <v>55.00 + 34.00</v>
      </c>
      <c r="AB264" s="14" t="str">
        <f t="shared" si="29"/>
        <v>37.00 + 33.00</v>
      </c>
      <c r="AC264" s="14" t="str">
        <f t="shared" si="30"/>
        <v>24.00 + 17.00</v>
      </c>
      <c r="AD264" s="14" t="str">
        <f t="shared" si="31"/>
        <v xml:space="preserve"> - - +48.00</v>
      </c>
    </row>
    <row r="265" spans="5:30">
      <c r="E265" s="25"/>
      <c r="F265" s="8" t="s">
        <v>42</v>
      </c>
      <c r="G265" s="9" t="s">
        <v>43</v>
      </c>
      <c r="H265" s="23" t="s">
        <v>43</v>
      </c>
      <c r="I265" s="24"/>
      <c r="J265" s="22"/>
      <c r="K265" s="23" t="s">
        <v>43</v>
      </c>
      <c r="L265" s="22"/>
      <c r="M265" s="9" t="s">
        <v>43</v>
      </c>
      <c r="N265" s="9" t="s">
        <v>43</v>
      </c>
      <c r="O265" s="9" t="s">
        <v>43</v>
      </c>
      <c r="P265" s="9" t="s">
        <v>43</v>
      </c>
      <c r="Q265" s="23" t="s">
        <v>107</v>
      </c>
      <c r="R265" s="22"/>
      <c r="S265" s="8" t="s">
        <v>33</v>
      </c>
      <c r="U265" t="s">
        <v>51</v>
      </c>
      <c r="V265">
        <v>700</v>
      </c>
      <c r="W265" s="14" t="str">
        <f t="shared" si="24"/>
        <v xml:space="preserve"> - - + - - </v>
      </c>
      <c r="X265" s="14" t="str">
        <f t="shared" si="25"/>
        <v xml:space="preserve"> - - + - - </v>
      </c>
      <c r="Y265" s="14" t="str">
        <f t="shared" si="26"/>
        <v xml:space="preserve"> - - + - - </v>
      </c>
      <c r="Z265" s="14" t="str">
        <f t="shared" si="27"/>
        <v xml:space="preserve"> - - + - - </v>
      </c>
      <c r="AA265" s="14" t="str">
        <f t="shared" si="28"/>
        <v xml:space="preserve"> - - + - - </v>
      </c>
      <c r="AB265" s="14" t="str">
        <f t="shared" si="29"/>
        <v xml:space="preserve"> - - + - - </v>
      </c>
      <c r="AC265" s="14" t="str">
        <f t="shared" si="30"/>
        <v xml:space="preserve"> - - + - - </v>
      </c>
      <c r="AD265" s="14" t="str">
        <f t="shared" si="31"/>
        <v/>
      </c>
    </row>
    <row r="266" spans="5:30">
      <c r="E266" s="27"/>
      <c r="F266" s="8" t="s">
        <v>44</v>
      </c>
      <c r="G266" s="9" t="s">
        <v>33</v>
      </c>
      <c r="H266" s="23" t="s">
        <v>33</v>
      </c>
      <c r="I266" s="24"/>
      <c r="J266" s="22"/>
      <c r="K266" s="23" t="s">
        <v>33</v>
      </c>
      <c r="L266" s="22"/>
      <c r="M266" s="9" t="s">
        <v>33</v>
      </c>
      <c r="N266" s="9" t="s">
        <v>33</v>
      </c>
      <c r="O266" s="9" t="s">
        <v>33</v>
      </c>
      <c r="P266" s="9" t="s">
        <v>33</v>
      </c>
      <c r="Q266" s="23" t="s">
        <v>33</v>
      </c>
      <c r="R266" s="22"/>
      <c r="S266" s="8">
        <v>0</v>
      </c>
      <c r="U266" t="s">
        <v>170</v>
      </c>
      <c r="V266" t="s">
        <v>33</v>
      </c>
      <c r="W266" s="14" t="str">
        <f t="shared" si="24"/>
        <v/>
      </c>
      <c r="X266" s="14" t="str">
        <f t="shared" si="25"/>
        <v/>
      </c>
      <c r="Y266" s="14" t="str">
        <f t="shared" si="26"/>
        <v/>
      </c>
      <c r="Z266" s="14" t="str">
        <f t="shared" si="27"/>
        <v/>
      </c>
      <c r="AA266" s="14" t="str">
        <f t="shared" si="28"/>
        <v/>
      </c>
      <c r="AB266" s="14" t="str">
        <f t="shared" si="29"/>
        <v/>
      </c>
      <c r="AC266" s="14" t="str">
        <f t="shared" si="30"/>
        <v/>
      </c>
      <c r="AD266" s="14">
        <f t="shared" si="31"/>
        <v>2</v>
      </c>
    </row>
    <row r="267" spans="5:30">
      <c r="E267" s="29"/>
      <c r="F267" s="8" t="s">
        <v>45</v>
      </c>
      <c r="G267" s="9">
        <v>4</v>
      </c>
      <c r="H267" s="23">
        <v>4</v>
      </c>
      <c r="I267" s="24"/>
      <c r="J267" s="22"/>
      <c r="K267" s="23">
        <v>4</v>
      </c>
      <c r="L267" s="22"/>
      <c r="M267" s="9">
        <v>3</v>
      </c>
      <c r="N267" s="9">
        <v>3</v>
      </c>
      <c r="O267" s="9">
        <v>3</v>
      </c>
      <c r="P267" s="9">
        <v>2</v>
      </c>
      <c r="Q267" s="23">
        <v>2</v>
      </c>
      <c r="R267" s="22"/>
      <c r="S267" s="8">
        <v>25</v>
      </c>
      <c r="U267" t="s">
        <v>56</v>
      </c>
      <c r="V267" t="s">
        <v>33</v>
      </c>
      <c r="W267" s="14">
        <f t="shared" si="24"/>
        <v>4</v>
      </c>
      <c r="X267" s="14">
        <f t="shared" si="25"/>
        <v>4</v>
      </c>
      <c r="Y267" s="14">
        <f t="shared" si="26"/>
        <v>4</v>
      </c>
      <c r="Z267" s="14">
        <f t="shared" si="27"/>
        <v>3</v>
      </c>
      <c r="AA267" s="14">
        <f t="shared" si="28"/>
        <v>3</v>
      </c>
      <c r="AB267" s="14">
        <f t="shared" si="29"/>
        <v>3</v>
      </c>
      <c r="AC267" s="14">
        <f t="shared" si="30"/>
        <v>2</v>
      </c>
      <c r="AD267" s="14">
        <f t="shared" si="31"/>
        <v>10</v>
      </c>
    </row>
    <row r="268" spans="5:30">
      <c r="E268" s="6">
        <v>8.66</v>
      </c>
      <c r="F268" s="8" t="s">
        <v>47</v>
      </c>
      <c r="G268" s="9">
        <v>8</v>
      </c>
      <c r="H268" s="23">
        <v>8.5</v>
      </c>
      <c r="I268" s="24"/>
      <c r="J268" s="22"/>
      <c r="K268" s="23">
        <v>10</v>
      </c>
      <c r="L268" s="22"/>
      <c r="M268" s="9">
        <v>8</v>
      </c>
      <c r="N268" s="9">
        <v>9</v>
      </c>
      <c r="O268" s="9">
        <v>7.5</v>
      </c>
      <c r="P268" s="9">
        <v>8.5</v>
      </c>
      <c r="Q268" s="23">
        <v>10</v>
      </c>
      <c r="R268" s="22"/>
      <c r="S268" s="8" t="s">
        <v>33</v>
      </c>
      <c r="U268" t="s">
        <v>33</v>
      </c>
      <c r="V268" t="s">
        <v>33</v>
      </c>
      <c r="W268" s="14">
        <f t="shared" si="24"/>
        <v>8</v>
      </c>
      <c r="X268" s="14">
        <f t="shared" si="25"/>
        <v>8.5</v>
      </c>
      <c r="Y268" s="14">
        <f t="shared" si="26"/>
        <v>10</v>
      </c>
      <c r="Z268" s="14">
        <f t="shared" si="27"/>
        <v>8</v>
      </c>
      <c r="AA268" s="14">
        <f t="shared" si="28"/>
        <v>9</v>
      </c>
      <c r="AB268" s="14">
        <f t="shared" si="29"/>
        <v>7.5</v>
      </c>
      <c r="AC268" s="14">
        <f t="shared" si="30"/>
        <v>8.5</v>
      </c>
      <c r="AD268" s="14">
        <f t="shared" si="31"/>
        <v>20</v>
      </c>
    </row>
    <row r="269" spans="5:30">
      <c r="E269" s="10">
        <v>8.4499999999999993</v>
      </c>
      <c r="F269" s="8" t="s">
        <v>49</v>
      </c>
      <c r="G269" s="9">
        <v>32</v>
      </c>
      <c r="H269" s="23">
        <v>34</v>
      </c>
      <c r="I269" s="24"/>
      <c r="J269" s="22"/>
      <c r="K269" s="23">
        <v>40</v>
      </c>
      <c r="L269" s="22"/>
      <c r="M269" s="9">
        <v>24</v>
      </c>
      <c r="N269" s="9">
        <v>27</v>
      </c>
      <c r="O269" s="9">
        <v>22.5</v>
      </c>
      <c r="P269" s="9">
        <v>17</v>
      </c>
      <c r="Q269" s="23">
        <v>20</v>
      </c>
      <c r="R269" s="22"/>
      <c r="S269" s="8">
        <v>216.5</v>
      </c>
      <c r="U269">
        <v>0</v>
      </c>
      <c r="V269">
        <v>0</v>
      </c>
      <c r="W269" s="14">
        <f t="shared" si="24"/>
        <v>32</v>
      </c>
      <c r="X269" s="14">
        <f t="shared" si="25"/>
        <v>34</v>
      </c>
      <c r="Y269" s="14">
        <f t="shared" si="26"/>
        <v>40</v>
      </c>
      <c r="Z269" s="14">
        <f t="shared" si="27"/>
        <v>24</v>
      </c>
      <c r="AA269" s="14">
        <f t="shared" si="28"/>
        <v>27</v>
      </c>
      <c r="AB269" s="14">
        <f t="shared" si="29"/>
        <v>22.5</v>
      </c>
      <c r="AC269" s="14">
        <f t="shared" si="30"/>
        <v>17</v>
      </c>
      <c r="AD269" s="14">
        <f t="shared" si="31"/>
        <v>48</v>
      </c>
    </row>
    <row r="270" spans="5:30">
      <c r="E270" s="4"/>
      <c r="F270" s="8" t="s">
        <v>36</v>
      </c>
      <c r="G270" s="9">
        <v>76</v>
      </c>
      <c r="H270" s="23">
        <v>80</v>
      </c>
      <c r="I270" s="24"/>
      <c r="J270" s="22"/>
      <c r="K270" s="23">
        <v>97</v>
      </c>
      <c r="L270" s="22"/>
      <c r="M270" s="9">
        <v>75</v>
      </c>
      <c r="N270" s="9">
        <v>89</v>
      </c>
      <c r="O270" s="9">
        <v>70</v>
      </c>
      <c r="P270" s="9">
        <v>41</v>
      </c>
      <c r="Q270" s="23">
        <v>48</v>
      </c>
      <c r="R270" s="22"/>
      <c r="S270" s="8">
        <v>576</v>
      </c>
      <c r="U270">
        <v>0</v>
      </c>
      <c r="V270">
        <v>0</v>
      </c>
      <c r="W270" s="14">
        <f t="shared" si="24"/>
        <v>76</v>
      </c>
      <c r="X270" s="14">
        <f t="shared" si="25"/>
        <v>80</v>
      </c>
      <c r="Y270" s="14">
        <f t="shared" si="26"/>
        <v>97</v>
      </c>
      <c r="Z270" s="14">
        <f t="shared" si="27"/>
        <v>75</v>
      </c>
      <c r="AA270" s="14">
        <f t="shared" si="28"/>
        <v>89</v>
      </c>
      <c r="AB270" s="14">
        <f t="shared" si="29"/>
        <v>70</v>
      </c>
      <c r="AC270" s="14">
        <f t="shared" si="30"/>
        <v>41</v>
      </c>
      <c r="AD270" s="14">
        <f t="shared" si="31"/>
        <v>50</v>
      </c>
    </row>
    <row r="271" spans="5:30">
      <c r="E271" s="6"/>
      <c r="F271" s="8" t="s">
        <v>52</v>
      </c>
      <c r="G271" s="9">
        <v>100</v>
      </c>
      <c r="H271" s="23">
        <v>100</v>
      </c>
      <c r="I271" s="24"/>
      <c r="J271" s="22"/>
      <c r="K271" s="23">
        <v>100</v>
      </c>
      <c r="L271" s="22"/>
      <c r="M271" s="9">
        <v>100</v>
      </c>
      <c r="N271" s="9">
        <v>100</v>
      </c>
      <c r="O271" s="9">
        <v>100</v>
      </c>
      <c r="P271" s="9">
        <v>50</v>
      </c>
      <c r="Q271" s="23">
        <v>50</v>
      </c>
      <c r="R271" s="22"/>
      <c r="S271" s="8">
        <v>700</v>
      </c>
      <c r="U271" t="s">
        <v>31</v>
      </c>
      <c r="V271" t="s">
        <v>33</v>
      </c>
      <c r="W271" s="14">
        <f t="shared" si="24"/>
        <v>100</v>
      </c>
      <c r="X271" s="14">
        <f t="shared" si="25"/>
        <v>100</v>
      </c>
      <c r="Y271" s="14">
        <f t="shared" si="26"/>
        <v>100</v>
      </c>
      <c r="Z271" s="14">
        <f t="shared" si="27"/>
        <v>100</v>
      </c>
      <c r="AA271" s="14">
        <f t="shared" si="28"/>
        <v>100</v>
      </c>
      <c r="AB271" s="14">
        <f t="shared" si="29"/>
        <v>100</v>
      </c>
      <c r="AC271" s="14">
        <f t="shared" si="30"/>
        <v>50</v>
      </c>
      <c r="AD271" s="14" t="str">
        <f t="shared" si="31"/>
        <v>OO+</v>
      </c>
    </row>
    <row r="272" spans="5:30">
      <c r="E272" s="4"/>
      <c r="F272" s="8" t="s">
        <v>54</v>
      </c>
      <c r="G272" s="9" t="s">
        <v>135</v>
      </c>
      <c r="H272" s="23" t="s">
        <v>95</v>
      </c>
      <c r="I272" s="24"/>
      <c r="J272" s="22"/>
      <c r="K272" s="23" t="s">
        <v>93</v>
      </c>
      <c r="L272" s="22"/>
      <c r="M272" s="9" t="s">
        <v>135</v>
      </c>
      <c r="N272" s="9" t="s">
        <v>122</v>
      </c>
      <c r="O272" s="9" t="s">
        <v>108</v>
      </c>
      <c r="P272" s="9" t="s">
        <v>95</v>
      </c>
      <c r="Q272" s="23" t="s">
        <v>93</v>
      </c>
      <c r="R272" s="22"/>
      <c r="S272" s="8" t="s">
        <v>33</v>
      </c>
      <c r="U272" t="s">
        <v>242</v>
      </c>
      <c r="V272" t="s">
        <v>36</v>
      </c>
      <c r="W272" s="14" t="str">
        <f t="shared" si="24"/>
        <v>AA+</v>
      </c>
      <c r="X272" s="14" t="str">
        <f t="shared" si="25"/>
        <v>OA</v>
      </c>
      <c r="Y272" s="14" t="str">
        <f t="shared" si="26"/>
        <v>OO+</v>
      </c>
      <c r="Z272" s="14" t="str">
        <f t="shared" si="27"/>
        <v>AA+</v>
      </c>
      <c r="AA272" s="14" t="str">
        <f t="shared" si="28"/>
        <v>OA+</v>
      </c>
      <c r="AB272" s="14" t="str">
        <f t="shared" si="29"/>
        <v>AA</v>
      </c>
      <c r="AC272" s="14" t="str">
        <f t="shared" si="30"/>
        <v>OA</v>
      </c>
      <c r="AD272" s="14" t="str">
        <f t="shared" si="31"/>
        <v>Pass</v>
      </c>
    </row>
    <row r="273" spans="5:30">
      <c r="E273" s="11" t="s">
        <v>241</v>
      </c>
      <c r="F273" s="8" t="s">
        <v>58</v>
      </c>
      <c r="G273" s="9" t="s">
        <v>59</v>
      </c>
      <c r="H273" s="23" t="s">
        <v>59</v>
      </c>
      <c r="I273" s="24"/>
      <c r="J273" s="22"/>
      <c r="K273" s="23" t="s">
        <v>59</v>
      </c>
      <c r="L273" s="22"/>
      <c r="M273" s="9" t="s">
        <v>59</v>
      </c>
      <c r="N273" s="9" t="s">
        <v>59</v>
      </c>
      <c r="O273" s="9" t="s">
        <v>59</v>
      </c>
      <c r="P273" s="9" t="s">
        <v>59</v>
      </c>
      <c r="Q273" s="23" t="s">
        <v>59</v>
      </c>
      <c r="R273" s="22"/>
      <c r="S273" s="8" t="s">
        <v>33</v>
      </c>
      <c r="U273" t="s">
        <v>37</v>
      </c>
      <c r="V273" t="s">
        <v>33</v>
      </c>
      <c r="W273" s="14" t="str">
        <f t="shared" si="24"/>
        <v>Pass</v>
      </c>
      <c r="X273" s="14" t="str">
        <f t="shared" si="25"/>
        <v>Pass</v>
      </c>
      <c r="Y273" s="14" t="str">
        <f t="shared" si="26"/>
        <v>Pass</v>
      </c>
      <c r="Z273" s="14" t="str">
        <f t="shared" si="27"/>
        <v>Pass</v>
      </c>
      <c r="AA273" s="14" t="str">
        <f t="shared" si="28"/>
        <v>Pass</v>
      </c>
      <c r="AB273" s="14" t="str">
        <f t="shared" si="29"/>
        <v>Pass</v>
      </c>
      <c r="AC273" s="14" t="str">
        <f t="shared" si="30"/>
        <v>Pass</v>
      </c>
      <c r="AD273" s="14" t="str">
        <f t="shared" si="31"/>
        <v/>
      </c>
    </row>
    <row r="274" spans="5:30">
      <c r="E274" s="12" t="s">
        <v>33</v>
      </c>
      <c r="F274" s="12" t="s">
        <v>33</v>
      </c>
      <c r="G274" s="13" t="s">
        <v>33</v>
      </c>
      <c r="H274" s="20" t="s">
        <v>33</v>
      </c>
      <c r="I274" s="18"/>
      <c r="J274" s="18"/>
      <c r="K274" s="20" t="s">
        <v>33</v>
      </c>
      <c r="L274" s="18"/>
      <c r="M274" s="13" t="s">
        <v>33</v>
      </c>
      <c r="N274" s="13" t="s">
        <v>33</v>
      </c>
      <c r="O274" s="13" t="s">
        <v>33</v>
      </c>
      <c r="P274" s="13" t="s">
        <v>33</v>
      </c>
      <c r="Q274" s="20" t="s">
        <v>33</v>
      </c>
      <c r="R274" s="18"/>
      <c r="S274" s="13" t="s">
        <v>33</v>
      </c>
      <c r="U274" t="s">
        <v>248</v>
      </c>
      <c r="V274" t="s">
        <v>33</v>
      </c>
      <c r="W274" s="14" t="str">
        <f t="shared" si="24"/>
        <v/>
      </c>
      <c r="X274" s="14" t="str">
        <f t="shared" si="25"/>
        <v/>
      </c>
      <c r="Y274" s="14" t="str">
        <f t="shared" si="26"/>
        <v/>
      </c>
      <c r="Z274" s="14" t="str">
        <f t="shared" si="27"/>
        <v/>
      </c>
      <c r="AA274" s="14" t="str">
        <f t="shared" si="28"/>
        <v/>
      </c>
      <c r="AB274" s="14" t="str">
        <f t="shared" si="29"/>
        <v/>
      </c>
      <c r="AC274" s="14" t="str">
        <f t="shared" si="30"/>
        <v/>
      </c>
      <c r="AD274" s="14">
        <f t="shared" si="31"/>
        <v>0</v>
      </c>
    </row>
    <row r="275" spans="5:30" ht="0" hidden="1" customHeight="1">
      <c r="U275">
        <v>0</v>
      </c>
      <c r="V275">
        <v>0</v>
      </c>
      <c r="W275" s="14">
        <f t="shared" si="24"/>
        <v>0</v>
      </c>
      <c r="X275" s="14">
        <f t="shared" si="25"/>
        <v>0</v>
      </c>
      <c r="Y275" s="14">
        <f t="shared" si="26"/>
        <v>0</v>
      </c>
      <c r="Z275" s="14">
        <f t="shared" si="27"/>
        <v>0</v>
      </c>
      <c r="AA275" s="14">
        <f t="shared" si="28"/>
        <v>0</v>
      </c>
      <c r="AB275" s="14">
        <f t="shared" si="29"/>
        <v>0</v>
      </c>
      <c r="AC275" s="14">
        <f t="shared" si="30"/>
        <v>0</v>
      </c>
      <c r="AD275" s="14">
        <f t="shared" si="31"/>
        <v>0</v>
      </c>
    </row>
    <row r="276" spans="5:30" ht="0.6" customHeight="1">
      <c r="U276">
        <v>0</v>
      </c>
      <c r="V276">
        <v>22</v>
      </c>
      <c r="W276" s="14">
        <f t="shared" si="24"/>
        <v>0</v>
      </c>
      <c r="X276" s="14">
        <f t="shared" si="25"/>
        <v>0</v>
      </c>
      <c r="Y276" s="14">
        <f t="shared" si="26"/>
        <v>0</v>
      </c>
      <c r="Z276" s="14">
        <f t="shared" si="27"/>
        <v>0</v>
      </c>
      <c r="AA276" s="14">
        <f t="shared" si="28"/>
        <v>0</v>
      </c>
      <c r="AB276" s="14">
        <f t="shared" si="29"/>
        <v>0</v>
      </c>
      <c r="AC276" s="14">
        <f t="shared" si="30"/>
        <v>0</v>
      </c>
      <c r="AD276" s="14" t="str">
        <f t="shared" si="31"/>
        <v/>
      </c>
    </row>
    <row r="277" spans="5:30">
      <c r="E277" s="4"/>
      <c r="F277" s="3" t="s">
        <v>32</v>
      </c>
      <c r="G277" s="5" t="s">
        <v>33</v>
      </c>
      <c r="H277" s="32" t="s">
        <v>33</v>
      </c>
      <c r="I277" s="18"/>
      <c r="J277" s="18"/>
      <c r="K277" s="32" t="s">
        <v>33</v>
      </c>
      <c r="L277" s="18"/>
      <c r="M277" s="5" t="s">
        <v>33</v>
      </c>
      <c r="N277" s="5" t="s">
        <v>33</v>
      </c>
      <c r="O277" s="5" t="s">
        <v>33</v>
      </c>
      <c r="P277" s="5" t="s">
        <v>33</v>
      </c>
      <c r="Q277" s="32" t="s">
        <v>33</v>
      </c>
      <c r="R277" s="18"/>
      <c r="S277" s="5" t="s">
        <v>33</v>
      </c>
      <c r="U277" t="s">
        <v>46</v>
      </c>
      <c r="V277" t="s">
        <v>33</v>
      </c>
      <c r="W277" s="14" t="str">
        <f t="shared" si="24"/>
        <v/>
      </c>
      <c r="X277" s="14" t="str">
        <f t="shared" si="25"/>
        <v/>
      </c>
      <c r="Y277" s="14" t="str">
        <f t="shared" si="26"/>
        <v/>
      </c>
      <c r="Z277" s="14" t="str">
        <f t="shared" si="27"/>
        <v/>
      </c>
      <c r="AA277" s="14" t="str">
        <f t="shared" si="28"/>
        <v/>
      </c>
      <c r="AB277" s="14" t="str">
        <f t="shared" si="29"/>
        <v/>
      </c>
      <c r="AC277" s="14" t="str">
        <f t="shared" si="30"/>
        <v/>
      </c>
      <c r="AD277" s="14" t="str">
        <f t="shared" si="31"/>
        <v>COMFISN301</v>
      </c>
    </row>
    <row r="278" spans="5:30" ht="21">
      <c r="E278" s="4"/>
      <c r="F278" s="7" t="s">
        <v>35</v>
      </c>
      <c r="G278" s="7" t="s">
        <v>5</v>
      </c>
      <c r="H278" s="30" t="s">
        <v>7</v>
      </c>
      <c r="I278" s="24"/>
      <c r="J278" s="22"/>
      <c r="K278" s="30" t="s">
        <v>9</v>
      </c>
      <c r="L278" s="22"/>
      <c r="M278" s="7" t="s">
        <v>11</v>
      </c>
      <c r="N278" s="7" t="s">
        <v>15</v>
      </c>
      <c r="O278" s="7" t="s">
        <v>17</v>
      </c>
      <c r="P278" s="7" t="s">
        <v>19</v>
      </c>
      <c r="Q278" s="30" t="s">
        <v>21</v>
      </c>
      <c r="R278" s="22"/>
      <c r="S278" s="7" t="s">
        <v>36</v>
      </c>
      <c r="U278" t="s">
        <v>48</v>
      </c>
      <c r="V278">
        <v>165.5</v>
      </c>
      <c r="W278" s="14" t="str">
        <f t="shared" si="24"/>
        <v>BBABMCN301</v>
      </c>
      <c r="X278" s="14" t="str">
        <f t="shared" si="25"/>
        <v>BBABMCN302</v>
      </c>
      <c r="Y278" s="14" t="str">
        <f t="shared" si="26"/>
        <v>BBABMCN303</v>
      </c>
      <c r="Z278" s="14" t="str">
        <f t="shared" si="27"/>
        <v>BBAENLN301</v>
      </c>
      <c r="AA278" s="14" t="str">
        <f t="shared" si="28"/>
        <v>BBAKALN302</v>
      </c>
      <c r="AB278" s="14" t="str">
        <f t="shared" si="29"/>
        <v>BCACAEN302</v>
      </c>
      <c r="AC278" s="14" t="str">
        <f t="shared" si="30"/>
        <v>COMCUSN302</v>
      </c>
      <c r="AD278" s="14" t="str">
        <f t="shared" si="31"/>
        <v>15.00 + 16.00</v>
      </c>
    </row>
    <row r="279" spans="5:30" ht="22.5">
      <c r="E279" s="6" t="s">
        <v>243</v>
      </c>
      <c r="F279" s="8" t="s">
        <v>39</v>
      </c>
      <c r="G279" s="9" t="s">
        <v>127</v>
      </c>
      <c r="H279" s="23" t="s">
        <v>244</v>
      </c>
      <c r="I279" s="24"/>
      <c r="J279" s="22"/>
      <c r="K279" s="23" t="s">
        <v>245</v>
      </c>
      <c r="L279" s="22"/>
      <c r="M279" s="9" t="s">
        <v>131</v>
      </c>
      <c r="N279" s="9" t="s">
        <v>187</v>
      </c>
      <c r="O279" s="9" t="s">
        <v>246</v>
      </c>
      <c r="P279" s="9" t="s">
        <v>43</v>
      </c>
      <c r="Q279" s="23" t="s">
        <v>247</v>
      </c>
      <c r="R279" s="22"/>
      <c r="S279" s="8" t="s">
        <v>33</v>
      </c>
      <c r="U279" t="s">
        <v>65</v>
      </c>
      <c r="V279">
        <v>469</v>
      </c>
      <c r="W279" s="14" t="str">
        <f t="shared" si="24"/>
        <v>25.00 + 27.00</v>
      </c>
      <c r="X279" s="14" t="str">
        <f t="shared" si="25"/>
        <v>37.00 + 31.00</v>
      </c>
      <c r="Y279" s="14" t="str">
        <f t="shared" si="26"/>
        <v>38.00 + 32.00</v>
      </c>
      <c r="Z279" s="14" t="str">
        <f t="shared" si="27"/>
        <v>42.00 + 32.00</v>
      </c>
      <c r="AA279" s="14" t="str">
        <f t="shared" si="28"/>
        <v>58.00 + 40.00</v>
      </c>
      <c r="AB279" s="14" t="str">
        <f t="shared" si="29"/>
        <v>3.00 + 23.00</v>
      </c>
      <c r="AC279" s="14" t="str">
        <f t="shared" si="30"/>
        <v xml:space="preserve"> - - + - - </v>
      </c>
      <c r="AD279" s="14" t="str">
        <f t="shared" si="31"/>
        <v xml:space="preserve"> - - + - - </v>
      </c>
    </row>
    <row r="280" spans="5:30">
      <c r="E280" s="25"/>
      <c r="F280" s="8" t="s">
        <v>42</v>
      </c>
      <c r="G280" s="9" t="s">
        <v>43</v>
      </c>
      <c r="H280" s="23" t="s">
        <v>43</v>
      </c>
      <c r="I280" s="24"/>
      <c r="J280" s="22"/>
      <c r="K280" s="23" t="s">
        <v>43</v>
      </c>
      <c r="L280" s="22"/>
      <c r="M280" s="9" t="s">
        <v>43</v>
      </c>
      <c r="N280" s="9" t="s">
        <v>43</v>
      </c>
      <c r="O280" s="9" t="s">
        <v>43</v>
      </c>
      <c r="P280" s="9" t="s">
        <v>91</v>
      </c>
      <c r="Q280" s="23" t="s">
        <v>43</v>
      </c>
      <c r="R280" s="22"/>
      <c r="S280" s="8" t="s">
        <v>33</v>
      </c>
      <c r="U280" t="s">
        <v>51</v>
      </c>
      <c r="V280">
        <v>700</v>
      </c>
      <c r="W280" s="14" t="str">
        <f t="shared" si="24"/>
        <v xml:space="preserve"> - - + - - </v>
      </c>
      <c r="X280" s="14" t="str">
        <f t="shared" si="25"/>
        <v xml:space="preserve"> - - + - - </v>
      </c>
      <c r="Y280" s="14" t="str">
        <f t="shared" si="26"/>
        <v xml:space="preserve"> - - + - - </v>
      </c>
      <c r="Z280" s="14" t="str">
        <f t="shared" si="27"/>
        <v xml:space="preserve"> - - + - - </v>
      </c>
      <c r="AA280" s="14" t="str">
        <f t="shared" si="28"/>
        <v xml:space="preserve"> - - + - - </v>
      </c>
      <c r="AB280" s="14" t="str">
        <f t="shared" si="29"/>
        <v xml:space="preserve"> - - + - - </v>
      </c>
      <c r="AC280" s="14" t="str">
        <f t="shared" si="30"/>
        <v xml:space="preserve"> - - +50.00</v>
      </c>
      <c r="AD280" s="14" t="str">
        <f t="shared" si="31"/>
        <v/>
      </c>
    </row>
    <row r="281" spans="5:30">
      <c r="E281" s="27"/>
      <c r="F281" s="8" t="s">
        <v>44</v>
      </c>
      <c r="G281" s="9" t="s">
        <v>33</v>
      </c>
      <c r="H281" s="23" t="s">
        <v>33</v>
      </c>
      <c r="I281" s="24"/>
      <c r="J281" s="22"/>
      <c r="K281" s="23" t="s">
        <v>33</v>
      </c>
      <c r="L281" s="22"/>
      <c r="M281" s="9" t="s">
        <v>33</v>
      </c>
      <c r="N281" s="9" t="s">
        <v>33</v>
      </c>
      <c r="O281" s="9" t="s">
        <v>33</v>
      </c>
      <c r="P281" s="9" t="s">
        <v>33</v>
      </c>
      <c r="Q281" s="23" t="s">
        <v>33</v>
      </c>
      <c r="R281" s="22"/>
      <c r="S281" s="8">
        <v>0</v>
      </c>
      <c r="U281" t="s">
        <v>66</v>
      </c>
      <c r="V281" t="s">
        <v>33</v>
      </c>
      <c r="W281" s="14" t="str">
        <f t="shared" si="24"/>
        <v/>
      </c>
      <c r="X281" s="14" t="str">
        <f t="shared" si="25"/>
        <v/>
      </c>
      <c r="Y281" s="14" t="str">
        <f t="shared" si="26"/>
        <v/>
      </c>
      <c r="Z281" s="14" t="str">
        <f t="shared" si="27"/>
        <v/>
      </c>
      <c r="AA281" s="14" t="str">
        <f t="shared" si="28"/>
        <v/>
      </c>
      <c r="AB281" s="14" t="str">
        <f t="shared" si="29"/>
        <v/>
      </c>
      <c r="AC281" s="14" t="str">
        <f t="shared" si="30"/>
        <v/>
      </c>
      <c r="AD281" s="14">
        <f t="shared" si="31"/>
        <v>2</v>
      </c>
    </row>
    <row r="282" spans="5:30">
      <c r="E282" s="29"/>
      <c r="F282" s="8" t="s">
        <v>45</v>
      </c>
      <c r="G282" s="9">
        <v>4</v>
      </c>
      <c r="H282" s="23">
        <v>4</v>
      </c>
      <c r="I282" s="24"/>
      <c r="J282" s="22"/>
      <c r="K282" s="23">
        <v>4</v>
      </c>
      <c r="L282" s="22"/>
      <c r="M282" s="9">
        <v>3</v>
      </c>
      <c r="N282" s="9">
        <v>3</v>
      </c>
      <c r="O282" s="9">
        <v>3</v>
      </c>
      <c r="P282" s="9">
        <v>2</v>
      </c>
      <c r="Q282" s="23">
        <v>2</v>
      </c>
      <c r="R282" s="22"/>
      <c r="S282" s="8">
        <v>22</v>
      </c>
      <c r="U282" t="s">
        <v>56</v>
      </c>
      <c r="V282" t="s">
        <v>33</v>
      </c>
      <c r="W282" s="14">
        <f t="shared" si="24"/>
        <v>4</v>
      </c>
      <c r="X282" s="14">
        <f t="shared" si="25"/>
        <v>4</v>
      </c>
      <c r="Y282" s="14">
        <f t="shared" si="26"/>
        <v>4</v>
      </c>
      <c r="Z282" s="14">
        <f t="shared" si="27"/>
        <v>3</v>
      </c>
      <c r="AA282" s="14">
        <f t="shared" si="28"/>
        <v>3</v>
      </c>
      <c r="AB282" s="14">
        <f t="shared" si="29"/>
        <v>3</v>
      </c>
      <c r="AC282" s="14">
        <f t="shared" si="30"/>
        <v>2</v>
      </c>
      <c r="AD282" s="14">
        <f t="shared" si="31"/>
        <v>6.5</v>
      </c>
    </row>
    <row r="283" spans="5:30">
      <c r="E283" s="6"/>
      <c r="F283" s="8" t="s">
        <v>47</v>
      </c>
      <c r="G283" s="9">
        <v>5.5</v>
      </c>
      <c r="H283" s="23">
        <v>7</v>
      </c>
      <c r="I283" s="24"/>
      <c r="J283" s="22"/>
      <c r="K283" s="23">
        <v>7.5</v>
      </c>
      <c r="L283" s="22"/>
      <c r="M283" s="9">
        <v>7.5</v>
      </c>
      <c r="N283" s="9">
        <v>10</v>
      </c>
      <c r="O283" s="9"/>
      <c r="P283" s="9">
        <v>10</v>
      </c>
      <c r="Q283" s="23">
        <v>6.5</v>
      </c>
      <c r="R283" s="22"/>
      <c r="S283" s="8" t="s">
        <v>33</v>
      </c>
      <c r="U283" t="s">
        <v>33</v>
      </c>
      <c r="V283" t="s">
        <v>33</v>
      </c>
      <c r="W283" s="14">
        <f t="shared" si="24"/>
        <v>5.5</v>
      </c>
      <c r="X283" s="14">
        <f t="shared" si="25"/>
        <v>7</v>
      </c>
      <c r="Y283" s="14">
        <f t="shared" si="26"/>
        <v>7.5</v>
      </c>
      <c r="Z283" s="14">
        <f t="shared" si="27"/>
        <v>7.5</v>
      </c>
      <c r="AA283" s="14">
        <f t="shared" si="28"/>
        <v>10</v>
      </c>
      <c r="AB283" s="14">
        <f t="shared" si="29"/>
        <v>0</v>
      </c>
      <c r="AC283" s="14">
        <f t="shared" si="30"/>
        <v>10</v>
      </c>
      <c r="AD283" s="14">
        <f t="shared" si="31"/>
        <v>13</v>
      </c>
    </row>
    <row r="284" spans="5:30">
      <c r="E284" s="6"/>
      <c r="F284" s="8" t="s">
        <v>49</v>
      </c>
      <c r="G284" s="9">
        <v>22</v>
      </c>
      <c r="H284" s="23">
        <v>28</v>
      </c>
      <c r="I284" s="24"/>
      <c r="J284" s="22"/>
      <c r="K284" s="23">
        <v>30</v>
      </c>
      <c r="L284" s="22"/>
      <c r="M284" s="9">
        <v>22.5</v>
      </c>
      <c r="N284" s="9">
        <v>30</v>
      </c>
      <c r="O284" s="9"/>
      <c r="P284" s="9">
        <v>20</v>
      </c>
      <c r="Q284" s="23">
        <v>13</v>
      </c>
      <c r="R284" s="22"/>
      <c r="S284" s="8">
        <v>165.5</v>
      </c>
      <c r="U284">
        <v>0</v>
      </c>
      <c r="V284">
        <v>0</v>
      </c>
      <c r="W284" s="14">
        <f t="shared" si="24"/>
        <v>22</v>
      </c>
      <c r="X284" s="14">
        <f t="shared" si="25"/>
        <v>28</v>
      </c>
      <c r="Y284" s="14">
        <f t="shared" si="26"/>
        <v>30</v>
      </c>
      <c r="Z284" s="14">
        <f t="shared" si="27"/>
        <v>22.5</v>
      </c>
      <c r="AA284" s="14">
        <f t="shared" si="28"/>
        <v>30</v>
      </c>
      <c r="AB284" s="14">
        <f t="shared" si="29"/>
        <v>0</v>
      </c>
      <c r="AC284" s="14">
        <f t="shared" si="30"/>
        <v>20</v>
      </c>
      <c r="AD284" s="14">
        <f t="shared" si="31"/>
        <v>31</v>
      </c>
    </row>
    <row r="285" spans="5:30">
      <c r="E285" s="4"/>
      <c r="F285" s="8" t="s">
        <v>36</v>
      </c>
      <c r="G285" s="9">
        <v>52</v>
      </c>
      <c r="H285" s="23">
        <v>68</v>
      </c>
      <c r="I285" s="24"/>
      <c r="J285" s="22"/>
      <c r="K285" s="23">
        <v>70</v>
      </c>
      <c r="L285" s="22"/>
      <c r="M285" s="9">
        <v>74</v>
      </c>
      <c r="N285" s="9">
        <v>98</v>
      </c>
      <c r="O285" s="9">
        <v>26</v>
      </c>
      <c r="P285" s="9">
        <v>50</v>
      </c>
      <c r="Q285" s="23">
        <v>31</v>
      </c>
      <c r="R285" s="22"/>
      <c r="S285" s="8">
        <v>469</v>
      </c>
      <c r="U285">
        <v>0</v>
      </c>
      <c r="V285">
        <v>0</v>
      </c>
      <c r="W285" s="14">
        <f t="shared" si="24"/>
        <v>52</v>
      </c>
      <c r="X285" s="14">
        <f t="shared" si="25"/>
        <v>68</v>
      </c>
      <c r="Y285" s="14">
        <f t="shared" si="26"/>
        <v>70</v>
      </c>
      <c r="Z285" s="14">
        <f t="shared" si="27"/>
        <v>74</v>
      </c>
      <c r="AA285" s="14">
        <f t="shared" si="28"/>
        <v>98</v>
      </c>
      <c r="AB285" s="14">
        <f t="shared" si="29"/>
        <v>26</v>
      </c>
      <c r="AC285" s="14">
        <f t="shared" si="30"/>
        <v>50</v>
      </c>
      <c r="AD285" s="14">
        <f t="shared" si="31"/>
        <v>50</v>
      </c>
    </row>
    <row r="286" spans="5:30">
      <c r="E286" s="6"/>
      <c r="F286" s="8" t="s">
        <v>52</v>
      </c>
      <c r="G286" s="9">
        <v>100</v>
      </c>
      <c r="H286" s="23">
        <v>100</v>
      </c>
      <c r="I286" s="24"/>
      <c r="J286" s="22"/>
      <c r="K286" s="23">
        <v>100</v>
      </c>
      <c r="L286" s="22"/>
      <c r="M286" s="9">
        <v>100</v>
      </c>
      <c r="N286" s="9">
        <v>100</v>
      </c>
      <c r="O286" s="9">
        <v>100</v>
      </c>
      <c r="P286" s="9">
        <v>50</v>
      </c>
      <c r="Q286" s="23">
        <v>50</v>
      </c>
      <c r="R286" s="22"/>
      <c r="S286" s="8">
        <v>700</v>
      </c>
      <c r="U286" t="s">
        <v>31</v>
      </c>
      <c r="V286" t="s">
        <v>33</v>
      </c>
      <c r="W286" s="14">
        <f t="shared" si="24"/>
        <v>100</v>
      </c>
      <c r="X286" s="14">
        <f t="shared" si="25"/>
        <v>100</v>
      </c>
      <c r="Y286" s="14">
        <f t="shared" si="26"/>
        <v>100</v>
      </c>
      <c r="Z286" s="14">
        <f t="shared" si="27"/>
        <v>100</v>
      </c>
      <c r="AA286" s="14">
        <f t="shared" si="28"/>
        <v>100</v>
      </c>
      <c r="AB286" s="14">
        <f t="shared" si="29"/>
        <v>100</v>
      </c>
      <c r="AC286" s="14">
        <f t="shared" si="30"/>
        <v>50</v>
      </c>
      <c r="AD286" s="14" t="str">
        <f t="shared" si="31"/>
        <v>AB</v>
      </c>
    </row>
    <row r="287" spans="5:30">
      <c r="E287" s="4"/>
      <c r="F287" s="8" t="s">
        <v>54</v>
      </c>
      <c r="G287" s="9" t="s">
        <v>123</v>
      </c>
      <c r="H287" s="23" t="s">
        <v>109</v>
      </c>
      <c r="I287" s="24"/>
      <c r="J287" s="22"/>
      <c r="K287" s="23" t="s">
        <v>108</v>
      </c>
      <c r="L287" s="22"/>
      <c r="M287" s="9" t="s">
        <v>108</v>
      </c>
      <c r="N287" s="9" t="s">
        <v>93</v>
      </c>
      <c r="O287" s="9"/>
      <c r="P287" s="9" t="s">
        <v>93</v>
      </c>
      <c r="Q287" s="23" t="s">
        <v>76</v>
      </c>
      <c r="R287" s="22"/>
      <c r="S287" s="8" t="s">
        <v>33</v>
      </c>
      <c r="U287" t="s">
        <v>250</v>
      </c>
      <c r="V287" t="s">
        <v>36</v>
      </c>
      <c r="W287" s="14" t="str">
        <f t="shared" si="24"/>
        <v>BB</v>
      </c>
      <c r="X287" s="14" t="str">
        <f t="shared" si="25"/>
        <v>AB+</v>
      </c>
      <c r="Y287" s="14" t="str">
        <f t="shared" si="26"/>
        <v>AA</v>
      </c>
      <c r="Z287" s="14" t="str">
        <f t="shared" si="27"/>
        <v>AA</v>
      </c>
      <c r="AA287" s="14" t="str">
        <f t="shared" si="28"/>
        <v>OO+</v>
      </c>
      <c r="AB287" s="14">
        <f t="shared" si="29"/>
        <v>0</v>
      </c>
      <c r="AC287" s="14" t="str">
        <f t="shared" si="30"/>
        <v>OO+</v>
      </c>
      <c r="AD287" s="14" t="str">
        <f t="shared" si="31"/>
        <v>Pass</v>
      </c>
    </row>
    <row r="288" spans="5:30">
      <c r="E288" s="11" t="s">
        <v>249</v>
      </c>
      <c r="F288" s="8" t="s">
        <v>58</v>
      </c>
      <c r="G288" s="9" t="s">
        <v>59</v>
      </c>
      <c r="H288" s="23" t="s">
        <v>59</v>
      </c>
      <c r="I288" s="24"/>
      <c r="J288" s="22"/>
      <c r="K288" s="23" t="s">
        <v>59</v>
      </c>
      <c r="L288" s="22"/>
      <c r="M288" s="9" t="s">
        <v>59</v>
      </c>
      <c r="N288" s="9" t="s">
        <v>59</v>
      </c>
      <c r="O288" s="9" t="s">
        <v>68</v>
      </c>
      <c r="P288" s="9" t="s">
        <v>59</v>
      </c>
      <c r="Q288" s="23" t="s">
        <v>59</v>
      </c>
      <c r="R288" s="22"/>
      <c r="S288" s="8" t="s">
        <v>33</v>
      </c>
      <c r="U288" t="s">
        <v>37</v>
      </c>
      <c r="V288" t="s">
        <v>33</v>
      </c>
      <c r="W288" s="14" t="str">
        <f t="shared" si="24"/>
        <v>Pass</v>
      </c>
      <c r="X288" s="14" t="str">
        <f t="shared" si="25"/>
        <v>Pass</v>
      </c>
      <c r="Y288" s="14" t="str">
        <f t="shared" si="26"/>
        <v>Pass</v>
      </c>
      <c r="Z288" s="14" t="str">
        <f t="shared" si="27"/>
        <v>Pass</v>
      </c>
      <c r="AA288" s="14" t="str">
        <f t="shared" si="28"/>
        <v>Pass</v>
      </c>
      <c r="AB288" s="14" t="str">
        <f t="shared" si="29"/>
        <v>Fail</v>
      </c>
      <c r="AC288" s="14" t="str">
        <f t="shared" si="30"/>
        <v>Pass</v>
      </c>
      <c r="AD288" s="14" t="str">
        <f t="shared" si="31"/>
        <v/>
      </c>
    </row>
    <row r="289" spans="5:30">
      <c r="E289" s="12" t="s">
        <v>33</v>
      </c>
      <c r="F289" s="12" t="s">
        <v>33</v>
      </c>
      <c r="G289" s="13" t="s">
        <v>33</v>
      </c>
      <c r="H289" s="20" t="s">
        <v>33</v>
      </c>
      <c r="I289" s="18"/>
      <c r="J289" s="18"/>
      <c r="K289" s="20" t="s">
        <v>33</v>
      </c>
      <c r="L289" s="18"/>
      <c r="M289" s="13" t="s">
        <v>33</v>
      </c>
      <c r="N289" s="13" t="s">
        <v>33</v>
      </c>
      <c r="O289" s="13" t="s">
        <v>33</v>
      </c>
      <c r="P289" s="13" t="s">
        <v>33</v>
      </c>
      <c r="Q289" s="20" t="s">
        <v>33</v>
      </c>
      <c r="R289" s="18"/>
      <c r="S289" s="13" t="s">
        <v>33</v>
      </c>
      <c r="U289" t="s">
        <v>257</v>
      </c>
      <c r="V289" t="s">
        <v>33</v>
      </c>
      <c r="W289" s="14" t="str">
        <f t="shared" si="24"/>
        <v/>
      </c>
      <c r="X289" s="14" t="str">
        <f t="shared" si="25"/>
        <v/>
      </c>
      <c r="Y289" s="14" t="str">
        <f t="shared" si="26"/>
        <v/>
      </c>
      <c r="Z289" s="14" t="str">
        <f t="shared" si="27"/>
        <v/>
      </c>
      <c r="AA289" s="14" t="str">
        <f t="shared" si="28"/>
        <v/>
      </c>
      <c r="AB289" s="14" t="str">
        <f t="shared" si="29"/>
        <v/>
      </c>
      <c r="AC289" s="14" t="str">
        <f t="shared" si="30"/>
        <v/>
      </c>
      <c r="AD289" s="14">
        <f t="shared" si="31"/>
        <v>0</v>
      </c>
    </row>
    <row r="290" spans="5:30" ht="0" hidden="1" customHeight="1">
      <c r="U290">
        <v>0</v>
      </c>
      <c r="V290">
        <v>0</v>
      </c>
      <c r="W290" s="14">
        <f t="shared" si="24"/>
        <v>0</v>
      </c>
      <c r="X290" s="14">
        <f t="shared" si="25"/>
        <v>0</v>
      </c>
      <c r="Y290" s="14">
        <f t="shared" si="26"/>
        <v>0</v>
      </c>
      <c r="Z290" s="14">
        <f t="shared" si="27"/>
        <v>0</v>
      </c>
      <c r="AA290" s="14">
        <f t="shared" si="28"/>
        <v>0</v>
      </c>
      <c r="AB290" s="14">
        <f t="shared" si="29"/>
        <v>0</v>
      </c>
      <c r="AC290" s="14">
        <f t="shared" si="30"/>
        <v>0</v>
      </c>
      <c r="AD290" s="14">
        <f t="shared" si="31"/>
        <v>0</v>
      </c>
    </row>
    <row r="291" spans="5:30" ht="0.6" customHeight="1">
      <c r="U291">
        <v>0</v>
      </c>
      <c r="V291">
        <v>25</v>
      </c>
      <c r="W291" s="14">
        <f t="shared" si="24"/>
        <v>0</v>
      </c>
      <c r="X291" s="14">
        <f t="shared" si="25"/>
        <v>0</v>
      </c>
      <c r="Y291" s="14">
        <f t="shared" si="26"/>
        <v>0</v>
      </c>
      <c r="Z291" s="14">
        <f t="shared" si="27"/>
        <v>0</v>
      </c>
      <c r="AA291" s="14">
        <f t="shared" si="28"/>
        <v>0</v>
      </c>
      <c r="AB291" s="14">
        <f t="shared" si="29"/>
        <v>0</v>
      </c>
      <c r="AC291" s="14">
        <f t="shared" si="30"/>
        <v>0</v>
      </c>
      <c r="AD291" s="14" t="str">
        <f t="shared" si="31"/>
        <v/>
      </c>
    </row>
    <row r="292" spans="5:30">
      <c r="E292" s="4"/>
      <c r="F292" s="3" t="s">
        <v>32</v>
      </c>
      <c r="G292" s="5" t="s">
        <v>33</v>
      </c>
      <c r="H292" s="32" t="s">
        <v>33</v>
      </c>
      <c r="I292" s="18"/>
      <c r="J292" s="18"/>
      <c r="K292" s="32" t="s">
        <v>33</v>
      </c>
      <c r="L292" s="18"/>
      <c r="M292" s="5" t="s">
        <v>33</v>
      </c>
      <c r="N292" s="5" t="s">
        <v>33</v>
      </c>
      <c r="O292" s="5" t="s">
        <v>33</v>
      </c>
      <c r="P292" s="5" t="s">
        <v>33</v>
      </c>
      <c r="Q292" s="32" t="s">
        <v>33</v>
      </c>
      <c r="R292" s="18"/>
      <c r="S292" s="5" t="s">
        <v>33</v>
      </c>
      <c r="U292" t="s">
        <v>46</v>
      </c>
      <c r="V292" t="s">
        <v>33</v>
      </c>
      <c r="W292" s="14" t="str">
        <f t="shared" si="24"/>
        <v/>
      </c>
      <c r="X292" s="14" t="str">
        <f t="shared" si="25"/>
        <v/>
      </c>
      <c r="Y292" s="14" t="str">
        <f t="shared" si="26"/>
        <v/>
      </c>
      <c r="Z292" s="14" t="str">
        <f t="shared" si="27"/>
        <v/>
      </c>
      <c r="AA292" s="14" t="str">
        <f t="shared" si="28"/>
        <v/>
      </c>
      <c r="AB292" s="14" t="str">
        <f t="shared" si="29"/>
        <v/>
      </c>
      <c r="AC292" s="14" t="str">
        <f t="shared" si="30"/>
        <v/>
      </c>
      <c r="AD292" s="14" t="str">
        <f t="shared" si="31"/>
        <v>COMFISN301</v>
      </c>
    </row>
    <row r="293" spans="5:30" ht="21">
      <c r="E293" s="4"/>
      <c r="F293" s="7" t="s">
        <v>35</v>
      </c>
      <c r="G293" s="7" t="s">
        <v>5</v>
      </c>
      <c r="H293" s="30" t="s">
        <v>7</v>
      </c>
      <c r="I293" s="24"/>
      <c r="J293" s="22"/>
      <c r="K293" s="30" t="s">
        <v>9</v>
      </c>
      <c r="L293" s="22"/>
      <c r="M293" s="7" t="s">
        <v>11</v>
      </c>
      <c r="N293" s="7" t="s">
        <v>15</v>
      </c>
      <c r="O293" s="7" t="s">
        <v>17</v>
      </c>
      <c r="P293" s="7" t="s">
        <v>19</v>
      </c>
      <c r="Q293" s="30" t="s">
        <v>21</v>
      </c>
      <c r="R293" s="22"/>
      <c r="S293" s="7" t="s">
        <v>36</v>
      </c>
      <c r="U293" t="s">
        <v>48</v>
      </c>
      <c r="V293">
        <v>203.5</v>
      </c>
      <c r="W293" s="14" t="str">
        <f t="shared" si="24"/>
        <v>BBABMCN301</v>
      </c>
      <c r="X293" s="14" t="str">
        <f t="shared" si="25"/>
        <v>BBABMCN302</v>
      </c>
      <c r="Y293" s="14" t="str">
        <f t="shared" si="26"/>
        <v>BBABMCN303</v>
      </c>
      <c r="Z293" s="14" t="str">
        <f t="shared" si="27"/>
        <v>BBAENLN301</v>
      </c>
      <c r="AA293" s="14" t="str">
        <f t="shared" si="28"/>
        <v>BBAKALN302</v>
      </c>
      <c r="AB293" s="14" t="str">
        <f t="shared" si="29"/>
        <v>BCACAEN302</v>
      </c>
      <c r="AC293" s="14" t="str">
        <f t="shared" si="30"/>
        <v>COMCUSN302</v>
      </c>
      <c r="AD293" s="14" t="str">
        <f t="shared" si="31"/>
        <v>22.00 + 15.00</v>
      </c>
    </row>
    <row r="294" spans="5:30" ht="22.5">
      <c r="E294" s="6" t="s">
        <v>251</v>
      </c>
      <c r="F294" s="8" t="s">
        <v>39</v>
      </c>
      <c r="G294" s="9" t="s">
        <v>174</v>
      </c>
      <c r="H294" s="23" t="s">
        <v>252</v>
      </c>
      <c r="I294" s="24"/>
      <c r="J294" s="22"/>
      <c r="K294" s="23" t="s">
        <v>253</v>
      </c>
      <c r="L294" s="22"/>
      <c r="M294" s="9" t="s">
        <v>254</v>
      </c>
      <c r="N294" s="9" t="s">
        <v>227</v>
      </c>
      <c r="O294" s="9" t="s">
        <v>255</v>
      </c>
      <c r="P294" s="9" t="s">
        <v>43</v>
      </c>
      <c r="Q294" s="23" t="s">
        <v>256</v>
      </c>
      <c r="R294" s="22"/>
      <c r="S294" s="8" t="s">
        <v>33</v>
      </c>
      <c r="U294" t="s">
        <v>50</v>
      </c>
      <c r="V294">
        <v>544</v>
      </c>
      <c r="W294" s="14" t="str">
        <f t="shared" si="24"/>
        <v>42.00 + 28.00</v>
      </c>
      <c r="X294" s="14" t="str">
        <f t="shared" si="25"/>
        <v>43.00 + 33.00</v>
      </c>
      <c r="Y294" s="14" t="str">
        <f t="shared" si="26"/>
        <v>51.00 + 37.00</v>
      </c>
      <c r="Z294" s="14" t="str">
        <f t="shared" si="27"/>
        <v>42.00 + 33.00</v>
      </c>
      <c r="AA294" s="14" t="str">
        <f t="shared" si="28"/>
        <v>55.00 + 39.00</v>
      </c>
      <c r="AB294" s="14" t="str">
        <f t="shared" si="29"/>
        <v>32.00 + 23.00</v>
      </c>
      <c r="AC294" s="14" t="str">
        <f t="shared" si="30"/>
        <v xml:space="preserve"> - - + - - </v>
      </c>
      <c r="AD294" s="14" t="str">
        <f t="shared" si="31"/>
        <v xml:space="preserve"> - - + - - </v>
      </c>
    </row>
    <row r="295" spans="5:30">
      <c r="E295" s="25"/>
      <c r="F295" s="8" t="s">
        <v>42</v>
      </c>
      <c r="G295" s="9" t="s">
        <v>43</v>
      </c>
      <c r="H295" s="23" t="s">
        <v>43</v>
      </c>
      <c r="I295" s="24"/>
      <c r="J295" s="22"/>
      <c r="K295" s="23" t="s">
        <v>43</v>
      </c>
      <c r="L295" s="22"/>
      <c r="M295" s="9" t="s">
        <v>43</v>
      </c>
      <c r="N295" s="9" t="s">
        <v>43</v>
      </c>
      <c r="O295" s="9" t="s">
        <v>43</v>
      </c>
      <c r="P295" s="9" t="s">
        <v>120</v>
      </c>
      <c r="Q295" s="23" t="s">
        <v>43</v>
      </c>
      <c r="R295" s="22"/>
      <c r="S295" s="8" t="s">
        <v>33</v>
      </c>
      <c r="U295" t="s">
        <v>51</v>
      </c>
      <c r="V295">
        <v>700</v>
      </c>
      <c r="W295" s="14" t="str">
        <f t="shared" si="24"/>
        <v xml:space="preserve"> - - + - - </v>
      </c>
      <c r="X295" s="14" t="str">
        <f t="shared" si="25"/>
        <v xml:space="preserve"> - - + - - </v>
      </c>
      <c r="Y295" s="14" t="str">
        <f t="shared" si="26"/>
        <v xml:space="preserve"> - - + - - </v>
      </c>
      <c r="Z295" s="14" t="str">
        <f t="shared" si="27"/>
        <v xml:space="preserve"> - - + - - </v>
      </c>
      <c r="AA295" s="14" t="str">
        <f t="shared" si="28"/>
        <v xml:space="preserve"> - - + - - </v>
      </c>
      <c r="AB295" s="14" t="str">
        <f t="shared" si="29"/>
        <v xml:space="preserve"> - - + - - </v>
      </c>
      <c r="AC295" s="14" t="str">
        <f t="shared" si="30"/>
        <v xml:space="preserve"> - - +49.00</v>
      </c>
      <c r="AD295" s="14" t="str">
        <f t="shared" si="31"/>
        <v/>
      </c>
    </row>
    <row r="296" spans="5:30">
      <c r="E296" s="27"/>
      <c r="F296" s="8" t="s">
        <v>44</v>
      </c>
      <c r="G296" s="9" t="s">
        <v>33</v>
      </c>
      <c r="H296" s="23" t="s">
        <v>33</v>
      </c>
      <c r="I296" s="24"/>
      <c r="J296" s="22"/>
      <c r="K296" s="23" t="s">
        <v>33</v>
      </c>
      <c r="L296" s="22"/>
      <c r="M296" s="9" t="s">
        <v>33</v>
      </c>
      <c r="N296" s="9" t="s">
        <v>33</v>
      </c>
      <c r="O296" s="9" t="s">
        <v>33</v>
      </c>
      <c r="P296" s="9" t="s">
        <v>33</v>
      </c>
      <c r="Q296" s="23" t="s">
        <v>33</v>
      </c>
      <c r="R296" s="22"/>
      <c r="S296" s="8">
        <v>0</v>
      </c>
      <c r="U296" t="s">
        <v>159</v>
      </c>
      <c r="V296" t="s">
        <v>33</v>
      </c>
      <c r="W296" s="14" t="str">
        <f t="shared" si="24"/>
        <v/>
      </c>
      <c r="X296" s="14" t="str">
        <f t="shared" si="25"/>
        <v/>
      </c>
      <c r="Y296" s="14" t="str">
        <f t="shared" si="26"/>
        <v/>
      </c>
      <c r="Z296" s="14" t="str">
        <f t="shared" si="27"/>
        <v/>
      </c>
      <c r="AA296" s="14" t="str">
        <f t="shared" si="28"/>
        <v/>
      </c>
      <c r="AB296" s="14" t="str">
        <f t="shared" si="29"/>
        <v/>
      </c>
      <c r="AC296" s="14" t="str">
        <f t="shared" si="30"/>
        <v/>
      </c>
      <c r="AD296" s="14">
        <f t="shared" si="31"/>
        <v>2</v>
      </c>
    </row>
    <row r="297" spans="5:30">
      <c r="E297" s="29"/>
      <c r="F297" s="8" t="s">
        <v>45</v>
      </c>
      <c r="G297" s="9">
        <v>4</v>
      </c>
      <c r="H297" s="23">
        <v>4</v>
      </c>
      <c r="I297" s="24"/>
      <c r="J297" s="22"/>
      <c r="K297" s="23">
        <v>4</v>
      </c>
      <c r="L297" s="22"/>
      <c r="M297" s="9">
        <v>3</v>
      </c>
      <c r="N297" s="9">
        <v>3</v>
      </c>
      <c r="O297" s="9">
        <v>3</v>
      </c>
      <c r="P297" s="9">
        <v>2</v>
      </c>
      <c r="Q297" s="23">
        <v>2</v>
      </c>
      <c r="R297" s="22"/>
      <c r="S297" s="8">
        <v>25</v>
      </c>
      <c r="U297" t="s">
        <v>56</v>
      </c>
      <c r="V297" t="s">
        <v>33</v>
      </c>
      <c r="W297" s="14">
        <f t="shared" si="24"/>
        <v>4</v>
      </c>
      <c r="X297" s="14">
        <f t="shared" si="25"/>
        <v>4</v>
      </c>
      <c r="Y297" s="14">
        <f t="shared" si="26"/>
        <v>4</v>
      </c>
      <c r="Z297" s="14">
        <f t="shared" si="27"/>
        <v>3</v>
      </c>
      <c r="AA297" s="14">
        <f t="shared" si="28"/>
        <v>3</v>
      </c>
      <c r="AB297" s="14">
        <f t="shared" si="29"/>
        <v>3</v>
      </c>
      <c r="AC297" s="14">
        <f t="shared" si="30"/>
        <v>2</v>
      </c>
      <c r="AD297" s="14">
        <f t="shared" si="31"/>
        <v>7.5</v>
      </c>
    </row>
    <row r="298" spans="5:30">
      <c r="E298" s="6">
        <v>8.14</v>
      </c>
      <c r="F298" s="8" t="s">
        <v>47</v>
      </c>
      <c r="G298" s="9">
        <v>7.5</v>
      </c>
      <c r="H298" s="23">
        <v>8</v>
      </c>
      <c r="I298" s="24"/>
      <c r="J298" s="22"/>
      <c r="K298" s="23">
        <v>9</v>
      </c>
      <c r="L298" s="22"/>
      <c r="M298" s="9">
        <v>8</v>
      </c>
      <c r="N298" s="9">
        <v>9.5</v>
      </c>
      <c r="O298" s="9">
        <v>6</v>
      </c>
      <c r="P298" s="9">
        <v>10</v>
      </c>
      <c r="Q298" s="23">
        <v>7.5</v>
      </c>
      <c r="R298" s="22"/>
      <c r="S298" s="8" t="s">
        <v>33</v>
      </c>
      <c r="U298" t="s">
        <v>33</v>
      </c>
      <c r="V298" t="s">
        <v>33</v>
      </c>
      <c r="W298" s="14">
        <f t="shared" si="24"/>
        <v>7.5</v>
      </c>
      <c r="X298" s="14">
        <f t="shared" si="25"/>
        <v>8</v>
      </c>
      <c r="Y298" s="14">
        <f t="shared" si="26"/>
        <v>9</v>
      </c>
      <c r="Z298" s="14">
        <f t="shared" si="27"/>
        <v>8</v>
      </c>
      <c r="AA298" s="14">
        <f t="shared" si="28"/>
        <v>9.5</v>
      </c>
      <c r="AB298" s="14">
        <f t="shared" si="29"/>
        <v>6</v>
      </c>
      <c r="AC298" s="14">
        <f t="shared" si="30"/>
        <v>10</v>
      </c>
      <c r="AD298" s="14">
        <f t="shared" si="31"/>
        <v>15</v>
      </c>
    </row>
    <row r="299" spans="5:30">
      <c r="E299" s="10">
        <v>8.25</v>
      </c>
      <c r="F299" s="8" t="s">
        <v>49</v>
      </c>
      <c r="G299" s="9">
        <v>30</v>
      </c>
      <c r="H299" s="23">
        <v>32</v>
      </c>
      <c r="I299" s="24"/>
      <c r="J299" s="22"/>
      <c r="K299" s="23">
        <v>36</v>
      </c>
      <c r="L299" s="22"/>
      <c r="M299" s="9">
        <v>24</v>
      </c>
      <c r="N299" s="9">
        <v>28.5</v>
      </c>
      <c r="O299" s="9">
        <v>18</v>
      </c>
      <c r="P299" s="9">
        <v>20</v>
      </c>
      <c r="Q299" s="23">
        <v>15</v>
      </c>
      <c r="R299" s="22"/>
      <c r="S299" s="8">
        <v>203.5</v>
      </c>
      <c r="U299">
        <v>0</v>
      </c>
      <c r="V299">
        <v>0</v>
      </c>
      <c r="W299" s="14">
        <f t="shared" si="24"/>
        <v>30</v>
      </c>
      <c r="X299" s="14">
        <f t="shared" si="25"/>
        <v>32</v>
      </c>
      <c r="Y299" s="14">
        <f t="shared" si="26"/>
        <v>36</v>
      </c>
      <c r="Z299" s="14">
        <f t="shared" si="27"/>
        <v>24</v>
      </c>
      <c r="AA299" s="14">
        <f t="shared" si="28"/>
        <v>28.5</v>
      </c>
      <c r="AB299" s="14">
        <f t="shared" si="29"/>
        <v>18</v>
      </c>
      <c r="AC299" s="14">
        <f t="shared" si="30"/>
        <v>20</v>
      </c>
      <c r="AD299" s="14">
        <f t="shared" si="31"/>
        <v>37</v>
      </c>
    </row>
    <row r="300" spans="5:30">
      <c r="E300" s="4"/>
      <c r="F300" s="8" t="s">
        <v>36</v>
      </c>
      <c r="G300" s="9">
        <v>70</v>
      </c>
      <c r="H300" s="23">
        <v>76</v>
      </c>
      <c r="I300" s="24"/>
      <c r="J300" s="22"/>
      <c r="K300" s="23">
        <v>88</v>
      </c>
      <c r="L300" s="22"/>
      <c r="M300" s="9">
        <v>75</v>
      </c>
      <c r="N300" s="9">
        <v>94</v>
      </c>
      <c r="O300" s="9">
        <v>55</v>
      </c>
      <c r="P300" s="9">
        <v>49</v>
      </c>
      <c r="Q300" s="23">
        <v>37</v>
      </c>
      <c r="R300" s="22"/>
      <c r="S300" s="8">
        <v>544</v>
      </c>
      <c r="U300">
        <v>0</v>
      </c>
      <c r="V300">
        <v>0</v>
      </c>
      <c r="W300" s="14">
        <f t="shared" si="24"/>
        <v>70</v>
      </c>
      <c r="X300" s="14">
        <f t="shared" si="25"/>
        <v>76</v>
      </c>
      <c r="Y300" s="14">
        <f t="shared" si="26"/>
        <v>88</v>
      </c>
      <c r="Z300" s="14">
        <f t="shared" si="27"/>
        <v>75</v>
      </c>
      <c r="AA300" s="14">
        <f t="shared" si="28"/>
        <v>94</v>
      </c>
      <c r="AB300" s="14">
        <f t="shared" si="29"/>
        <v>55</v>
      </c>
      <c r="AC300" s="14">
        <f t="shared" si="30"/>
        <v>49</v>
      </c>
      <c r="AD300" s="14">
        <f t="shared" si="31"/>
        <v>50</v>
      </c>
    </row>
    <row r="301" spans="5:30">
      <c r="E301" s="6"/>
      <c r="F301" s="8" t="s">
        <v>52</v>
      </c>
      <c r="G301" s="9">
        <v>100</v>
      </c>
      <c r="H301" s="23">
        <v>100</v>
      </c>
      <c r="I301" s="24"/>
      <c r="J301" s="22"/>
      <c r="K301" s="23">
        <v>100</v>
      </c>
      <c r="L301" s="22"/>
      <c r="M301" s="9">
        <v>100</v>
      </c>
      <c r="N301" s="9">
        <v>100</v>
      </c>
      <c r="O301" s="9">
        <v>100</v>
      </c>
      <c r="P301" s="9">
        <v>50</v>
      </c>
      <c r="Q301" s="23">
        <v>50</v>
      </c>
      <c r="R301" s="22"/>
      <c r="S301" s="8">
        <v>700</v>
      </c>
      <c r="U301" t="s">
        <v>31</v>
      </c>
      <c r="V301" t="s">
        <v>33</v>
      </c>
      <c r="W301" s="14">
        <f t="shared" si="24"/>
        <v>100</v>
      </c>
      <c r="X301" s="14">
        <f t="shared" si="25"/>
        <v>100</v>
      </c>
      <c r="Y301" s="14">
        <f t="shared" si="26"/>
        <v>100</v>
      </c>
      <c r="Z301" s="14">
        <f t="shared" si="27"/>
        <v>100</v>
      </c>
      <c r="AA301" s="14">
        <f t="shared" si="28"/>
        <v>100</v>
      </c>
      <c r="AB301" s="14">
        <f t="shared" si="29"/>
        <v>100</v>
      </c>
      <c r="AC301" s="14">
        <f t="shared" si="30"/>
        <v>50</v>
      </c>
      <c r="AD301" s="14" t="str">
        <f t="shared" si="31"/>
        <v>AA</v>
      </c>
    </row>
    <row r="302" spans="5:30">
      <c r="E302" s="4"/>
      <c r="F302" s="8" t="s">
        <v>54</v>
      </c>
      <c r="G302" s="9" t="s">
        <v>108</v>
      </c>
      <c r="H302" s="23" t="s">
        <v>135</v>
      </c>
      <c r="I302" s="24"/>
      <c r="J302" s="22"/>
      <c r="K302" s="23" t="s">
        <v>122</v>
      </c>
      <c r="L302" s="22"/>
      <c r="M302" s="9" t="s">
        <v>135</v>
      </c>
      <c r="N302" s="9" t="s">
        <v>94</v>
      </c>
      <c r="O302" s="9" t="s">
        <v>147</v>
      </c>
      <c r="P302" s="9" t="s">
        <v>93</v>
      </c>
      <c r="Q302" s="23" t="s">
        <v>108</v>
      </c>
      <c r="R302" s="22"/>
      <c r="S302" s="8" t="s">
        <v>33</v>
      </c>
      <c r="U302" t="s">
        <v>259</v>
      </c>
      <c r="V302" t="s">
        <v>36</v>
      </c>
      <c r="W302" s="14" t="str">
        <f t="shared" si="24"/>
        <v>AA</v>
      </c>
      <c r="X302" s="14" t="str">
        <f t="shared" si="25"/>
        <v>AA+</v>
      </c>
      <c r="Y302" s="14" t="str">
        <f t="shared" si="26"/>
        <v>OA+</v>
      </c>
      <c r="Z302" s="14" t="str">
        <f t="shared" si="27"/>
        <v>AA+</v>
      </c>
      <c r="AA302" s="14" t="str">
        <f t="shared" si="28"/>
        <v>OO</v>
      </c>
      <c r="AB302" s="14" t="str">
        <f t="shared" si="29"/>
        <v>BB+</v>
      </c>
      <c r="AC302" s="14" t="str">
        <f t="shared" si="30"/>
        <v>OO+</v>
      </c>
      <c r="AD302" s="14" t="str">
        <f t="shared" si="31"/>
        <v>Pass</v>
      </c>
    </row>
    <row r="303" spans="5:30">
      <c r="E303" s="11" t="s">
        <v>258</v>
      </c>
      <c r="F303" s="8" t="s">
        <v>58</v>
      </c>
      <c r="G303" s="9" t="s">
        <v>59</v>
      </c>
      <c r="H303" s="23" t="s">
        <v>59</v>
      </c>
      <c r="I303" s="24"/>
      <c r="J303" s="22"/>
      <c r="K303" s="23" t="s">
        <v>59</v>
      </c>
      <c r="L303" s="22"/>
      <c r="M303" s="9" t="s">
        <v>59</v>
      </c>
      <c r="N303" s="9" t="s">
        <v>59</v>
      </c>
      <c r="O303" s="9" t="s">
        <v>59</v>
      </c>
      <c r="P303" s="9" t="s">
        <v>59</v>
      </c>
      <c r="Q303" s="23" t="s">
        <v>59</v>
      </c>
      <c r="R303" s="22"/>
      <c r="S303" s="8" t="s">
        <v>33</v>
      </c>
      <c r="U303" t="s">
        <v>37</v>
      </c>
      <c r="V303" t="s">
        <v>33</v>
      </c>
      <c r="W303" s="14" t="str">
        <f t="shared" si="24"/>
        <v>Pass</v>
      </c>
      <c r="X303" s="14" t="str">
        <f t="shared" si="25"/>
        <v>Pass</v>
      </c>
      <c r="Y303" s="14" t="str">
        <f t="shared" si="26"/>
        <v>Pass</v>
      </c>
      <c r="Z303" s="14" t="str">
        <f t="shared" si="27"/>
        <v>Pass</v>
      </c>
      <c r="AA303" s="14" t="str">
        <f t="shared" si="28"/>
        <v>Pass</v>
      </c>
      <c r="AB303" s="14" t="str">
        <f t="shared" si="29"/>
        <v>Pass</v>
      </c>
      <c r="AC303" s="14" t="str">
        <f t="shared" si="30"/>
        <v>Pass</v>
      </c>
      <c r="AD303" s="14" t="str">
        <f t="shared" si="31"/>
        <v/>
      </c>
    </row>
    <row r="304" spans="5:30">
      <c r="E304" s="12" t="s">
        <v>33</v>
      </c>
      <c r="F304" s="12" t="s">
        <v>33</v>
      </c>
      <c r="G304" s="13" t="s">
        <v>33</v>
      </c>
      <c r="H304" s="20" t="s">
        <v>33</v>
      </c>
      <c r="I304" s="18"/>
      <c r="J304" s="18"/>
      <c r="K304" s="20" t="s">
        <v>33</v>
      </c>
      <c r="L304" s="18"/>
      <c r="M304" s="13" t="s">
        <v>33</v>
      </c>
      <c r="N304" s="13" t="s">
        <v>33</v>
      </c>
      <c r="O304" s="13" t="s">
        <v>33</v>
      </c>
      <c r="P304" s="13" t="s">
        <v>33</v>
      </c>
      <c r="Q304" s="20" t="s">
        <v>33</v>
      </c>
      <c r="R304" s="18"/>
      <c r="S304" s="13" t="s">
        <v>33</v>
      </c>
      <c r="U304" t="s">
        <v>268</v>
      </c>
      <c r="V304" t="s">
        <v>33</v>
      </c>
      <c r="W304" s="14" t="str">
        <f t="shared" si="24"/>
        <v/>
      </c>
      <c r="X304" s="14" t="str">
        <f t="shared" si="25"/>
        <v/>
      </c>
      <c r="Y304" s="14" t="str">
        <f t="shared" si="26"/>
        <v/>
      </c>
      <c r="Z304" s="14" t="str">
        <f t="shared" si="27"/>
        <v/>
      </c>
      <c r="AA304" s="14" t="str">
        <f t="shared" si="28"/>
        <v/>
      </c>
      <c r="AB304" s="14" t="str">
        <f t="shared" si="29"/>
        <v/>
      </c>
      <c r="AC304" s="14" t="str">
        <f t="shared" si="30"/>
        <v/>
      </c>
      <c r="AD304" s="14">
        <f t="shared" si="31"/>
        <v>0</v>
      </c>
    </row>
    <row r="305" spans="5:30" ht="0" hidden="1" customHeight="1">
      <c r="U305">
        <v>0</v>
      </c>
      <c r="V305">
        <v>0</v>
      </c>
      <c r="W305" s="14">
        <f t="shared" si="24"/>
        <v>0</v>
      </c>
      <c r="X305" s="14">
        <f t="shared" si="25"/>
        <v>0</v>
      </c>
      <c r="Y305" s="14">
        <f t="shared" si="26"/>
        <v>0</v>
      </c>
      <c r="Z305" s="14">
        <f t="shared" si="27"/>
        <v>0</v>
      </c>
      <c r="AA305" s="14">
        <f t="shared" si="28"/>
        <v>0</v>
      </c>
      <c r="AB305" s="14">
        <f t="shared" si="29"/>
        <v>0</v>
      </c>
      <c r="AC305" s="14">
        <f t="shared" si="30"/>
        <v>0</v>
      </c>
      <c r="AD305" s="14">
        <f t="shared" si="31"/>
        <v>0</v>
      </c>
    </row>
    <row r="306" spans="5:30" ht="0.6" customHeight="1">
      <c r="U306">
        <v>0</v>
      </c>
      <c r="V306">
        <v>18</v>
      </c>
      <c r="W306" s="14">
        <f t="shared" si="24"/>
        <v>0</v>
      </c>
      <c r="X306" s="14">
        <f t="shared" si="25"/>
        <v>0</v>
      </c>
      <c r="Y306" s="14">
        <f t="shared" si="26"/>
        <v>0</v>
      </c>
      <c r="Z306" s="14">
        <f t="shared" si="27"/>
        <v>0</v>
      </c>
      <c r="AA306" s="14">
        <f t="shared" si="28"/>
        <v>0</v>
      </c>
      <c r="AB306" s="14">
        <f t="shared" si="29"/>
        <v>0</v>
      </c>
      <c r="AC306" s="14">
        <f t="shared" si="30"/>
        <v>0</v>
      </c>
      <c r="AD306" s="14" t="str">
        <f t="shared" si="31"/>
        <v/>
      </c>
    </row>
    <row r="307" spans="5:30">
      <c r="E307" s="4"/>
      <c r="F307" s="3" t="s">
        <v>32</v>
      </c>
      <c r="G307" s="5" t="s">
        <v>33</v>
      </c>
      <c r="H307" s="32" t="s">
        <v>33</v>
      </c>
      <c r="I307" s="18"/>
      <c r="J307" s="18"/>
      <c r="K307" s="32" t="s">
        <v>33</v>
      </c>
      <c r="L307" s="18"/>
      <c r="M307" s="5" t="s">
        <v>33</v>
      </c>
      <c r="N307" s="5" t="s">
        <v>33</v>
      </c>
      <c r="O307" s="5" t="s">
        <v>33</v>
      </c>
      <c r="P307" s="5" t="s">
        <v>33</v>
      </c>
      <c r="Q307" s="32" t="s">
        <v>33</v>
      </c>
      <c r="R307" s="18"/>
      <c r="S307" s="5" t="s">
        <v>33</v>
      </c>
      <c r="U307" t="s">
        <v>46</v>
      </c>
      <c r="V307" t="s">
        <v>33</v>
      </c>
      <c r="W307" s="14" t="str">
        <f t="shared" si="24"/>
        <v/>
      </c>
      <c r="X307" s="14" t="str">
        <f t="shared" si="25"/>
        <v/>
      </c>
      <c r="Y307" s="14" t="str">
        <f t="shared" si="26"/>
        <v/>
      </c>
      <c r="Z307" s="14" t="str">
        <f t="shared" si="27"/>
        <v/>
      </c>
      <c r="AA307" s="14" t="str">
        <f t="shared" si="28"/>
        <v/>
      </c>
      <c r="AB307" s="14" t="str">
        <f t="shared" si="29"/>
        <v/>
      </c>
      <c r="AC307" s="14" t="str">
        <f t="shared" si="30"/>
        <v/>
      </c>
      <c r="AD307" s="14" t="str">
        <f t="shared" si="31"/>
        <v>COMRRSN302</v>
      </c>
    </row>
    <row r="308" spans="5:30" ht="21">
      <c r="E308" s="4"/>
      <c r="F308" s="7" t="s">
        <v>35</v>
      </c>
      <c r="G308" s="7" t="s">
        <v>5</v>
      </c>
      <c r="H308" s="30" t="s">
        <v>7</v>
      </c>
      <c r="I308" s="24"/>
      <c r="J308" s="22"/>
      <c r="K308" s="30" t="s">
        <v>9</v>
      </c>
      <c r="L308" s="22"/>
      <c r="M308" s="7" t="s">
        <v>11</v>
      </c>
      <c r="N308" s="7" t="s">
        <v>15</v>
      </c>
      <c r="O308" s="7" t="s">
        <v>17</v>
      </c>
      <c r="P308" s="7" t="s">
        <v>21</v>
      </c>
      <c r="Q308" s="30" t="s">
        <v>27</v>
      </c>
      <c r="R308" s="22"/>
      <c r="S308" s="7" t="s">
        <v>36</v>
      </c>
      <c r="U308" t="s">
        <v>48</v>
      </c>
      <c r="V308">
        <v>112</v>
      </c>
      <c r="W308" s="14" t="str">
        <f t="shared" si="24"/>
        <v>BBABMCN301</v>
      </c>
      <c r="X308" s="14" t="str">
        <f t="shared" si="25"/>
        <v>BBABMCN302</v>
      </c>
      <c r="Y308" s="14" t="str">
        <f t="shared" si="26"/>
        <v>BBABMCN303</v>
      </c>
      <c r="Z308" s="14" t="str">
        <f t="shared" si="27"/>
        <v>BBAENLN301</v>
      </c>
      <c r="AA308" s="14" t="str">
        <f t="shared" si="28"/>
        <v>BBAKALN302</v>
      </c>
      <c r="AB308" s="14" t="str">
        <f t="shared" si="29"/>
        <v>BCACAEN302</v>
      </c>
      <c r="AC308" s="14" t="str">
        <f t="shared" si="30"/>
        <v>COMFISN301</v>
      </c>
      <c r="AD308" s="14" t="str">
        <f t="shared" si="31"/>
        <v xml:space="preserve"> - - + - - </v>
      </c>
    </row>
    <row r="309" spans="5:30" ht="22.5">
      <c r="E309" s="6" t="s">
        <v>260</v>
      </c>
      <c r="F309" s="8" t="s">
        <v>39</v>
      </c>
      <c r="G309" s="9" t="s">
        <v>261</v>
      </c>
      <c r="H309" s="23" t="s">
        <v>262</v>
      </c>
      <c r="I309" s="24"/>
      <c r="J309" s="22"/>
      <c r="K309" s="23" t="s">
        <v>263</v>
      </c>
      <c r="L309" s="22"/>
      <c r="M309" s="9" t="s">
        <v>264</v>
      </c>
      <c r="N309" s="9" t="s">
        <v>265</v>
      </c>
      <c r="O309" s="9" t="s">
        <v>266</v>
      </c>
      <c r="P309" s="9" t="s">
        <v>267</v>
      </c>
      <c r="Q309" s="23" t="s">
        <v>43</v>
      </c>
      <c r="R309" s="22"/>
      <c r="S309" s="8" t="s">
        <v>33</v>
      </c>
      <c r="U309" t="s">
        <v>65</v>
      </c>
      <c r="V309">
        <v>345</v>
      </c>
      <c r="W309" s="14" t="str">
        <f t="shared" si="24"/>
        <v>17.00 + 17.00</v>
      </c>
      <c r="X309" s="14" t="str">
        <f t="shared" si="25"/>
        <v>26.00 + 18.00</v>
      </c>
      <c r="Y309" s="14" t="str">
        <f t="shared" si="26"/>
        <v>40.00 + 33.00</v>
      </c>
      <c r="Z309" s="14" t="str">
        <f t="shared" si="27"/>
        <v>37.00 + 18.00</v>
      </c>
      <c r="AA309" s="14" t="str">
        <f t="shared" si="28"/>
        <v>24.00 + 21.00</v>
      </c>
      <c r="AB309" s="14" t="str">
        <f t="shared" si="29"/>
        <v>1.00 + 19.00</v>
      </c>
      <c r="AC309" s="14" t="str">
        <f t="shared" si="30"/>
        <v>20.00 + 14.00</v>
      </c>
      <c r="AD309" s="14" t="str">
        <f t="shared" si="31"/>
        <v xml:space="preserve"> - - +40.00</v>
      </c>
    </row>
    <row r="310" spans="5:30">
      <c r="E310" s="25"/>
      <c r="F310" s="8" t="s">
        <v>42</v>
      </c>
      <c r="G310" s="9" t="s">
        <v>43</v>
      </c>
      <c r="H310" s="23" t="s">
        <v>43</v>
      </c>
      <c r="I310" s="24"/>
      <c r="J310" s="22"/>
      <c r="K310" s="23" t="s">
        <v>43</v>
      </c>
      <c r="L310" s="22"/>
      <c r="M310" s="9" t="s">
        <v>43</v>
      </c>
      <c r="N310" s="9" t="s">
        <v>43</v>
      </c>
      <c r="O310" s="9" t="s">
        <v>43</v>
      </c>
      <c r="P310" s="9" t="s">
        <v>43</v>
      </c>
      <c r="Q310" s="23" t="s">
        <v>269</v>
      </c>
      <c r="R310" s="22"/>
      <c r="S310" s="8" t="s">
        <v>33</v>
      </c>
      <c r="U310" t="s">
        <v>51</v>
      </c>
      <c r="V310">
        <v>700</v>
      </c>
      <c r="W310" s="14" t="str">
        <f t="shared" si="24"/>
        <v xml:space="preserve"> - - + - - </v>
      </c>
      <c r="X310" s="14" t="str">
        <f t="shared" si="25"/>
        <v xml:space="preserve"> - - + - - </v>
      </c>
      <c r="Y310" s="14" t="str">
        <f t="shared" si="26"/>
        <v xml:space="preserve"> - - + - - </v>
      </c>
      <c r="Z310" s="14" t="str">
        <f t="shared" si="27"/>
        <v xml:space="preserve"> - - + - - </v>
      </c>
      <c r="AA310" s="14" t="str">
        <f t="shared" si="28"/>
        <v xml:space="preserve"> - - + - - </v>
      </c>
      <c r="AB310" s="14" t="str">
        <f t="shared" si="29"/>
        <v xml:space="preserve"> - - + - - </v>
      </c>
      <c r="AC310" s="14" t="str">
        <f t="shared" si="30"/>
        <v xml:space="preserve"> - - + - - </v>
      </c>
      <c r="AD310" s="14" t="str">
        <f t="shared" si="31"/>
        <v/>
      </c>
    </row>
    <row r="311" spans="5:30">
      <c r="E311" s="27"/>
      <c r="F311" s="8" t="s">
        <v>44</v>
      </c>
      <c r="G311" s="9" t="s">
        <v>33</v>
      </c>
      <c r="H311" s="23" t="s">
        <v>33</v>
      </c>
      <c r="I311" s="24"/>
      <c r="J311" s="22"/>
      <c r="K311" s="23" t="s">
        <v>33</v>
      </c>
      <c r="L311" s="22"/>
      <c r="M311" s="9" t="s">
        <v>33</v>
      </c>
      <c r="N311" s="9" t="s">
        <v>33</v>
      </c>
      <c r="O311" s="9" t="s">
        <v>33</v>
      </c>
      <c r="P311" s="9" t="s">
        <v>33</v>
      </c>
      <c r="Q311" s="23" t="s">
        <v>33</v>
      </c>
      <c r="R311" s="22"/>
      <c r="S311" s="8">
        <v>0</v>
      </c>
      <c r="U311" t="s">
        <v>66</v>
      </c>
      <c r="V311" t="s">
        <v>33</v>
      </c>
      <c r="W311" s="14" t="str">
        <f t="shared" si="24"/>
        <v/>
      </c>
      <c r="X311" s="14" t="str">
        <f t="shared" si="25"/>
        <v/>
      </c>
      <c r="Y311" s="14" t="str">
        <f t="shared" si="26"/>
        <v/>
      </c>
      <c r="Z311" s="14" t="str">
        <f t="shared" si="27"/>
        <v/>
      </c>
      <c r="AA311" s="14" t="str">
        <f t="shared" si="28"/>
        <v/>
      </c>
      <c r="AB311" s="14" t="str">
        <f t="shared" si="29"/>
        <v/>
      </c>
      <c r="AC311" s="14" t="str">
        <f t="shared" si="30"/>
        <v/>
      </c>
      <c r="AD311" s="14">
        <f t="shared" si="31"/>
        <v>2</v>
      </c>
    </row>
    <row r="312" spans="5:30">
      <c r="E312" s="29"/>
      <c r="F312" s="8" t="s">
        <v>45</v>
      </c>
      <c r="G312" s="9">
        <v>4</v>
      </c>
      <c r="H312" s="23">
        <v>4</v>
      </c>
      <c r="I312" s="24"/>
      <c r="J312" s="22"/>
      <c r="K312" s="23">
        <v>4</v>
      </c>
      <c r="L312" s="22"/>
      <c r="M312" s="9">
        <v>3</v>
      </c>
      <c r="N312" s="9">
        <v>3</v>
      </c>
      <c r="O312" s="9">
        <v>3</v>
      </c>
      <c r="P312" s="9">
        <v>2</v>
      </c>
      <c r="Q312" s="23">
        <v>2</v>
      </c>
      <c r="R312" s="22"/>
      <c r="S312" s="8">
        <v>18</v>
      </c>
      <c r="U312" t="s">
        <v>56</v>
      </c>
      <c r="V312" t="s">
        <v>33</v>
      </c>
      <c r="W312" s="14">
        <f t="shared" si="24"/>
        <v>4</v>
      </c>
      <c r="X312" s="14">
        <f t="shared" si="25"/>
        <v>4</v>
      </c>
      <c r="Y312" s="14">
        <f t="shared" si="26"/>
        <v>4</v>
      </c>
      <c r="Z312" s="14">
        <f t="shared" si="27"/>
        <v>3</v>
      </c>
      <c r="AA312" s="14">
        <f t="shared" si="28"/>
        <v>3</v>
      </c>
      <c r="AB312" s="14">
        <f t="shared" si="29"/>
        <v>3</v>
      </c>
      <c r="AC312" s="14">
        <f t="shared" si="30"/>
        <v>2</v>
      </c>
      <c r="AD312" s="14">
        <f t="shared" si="31"/>
        <v>8.5</v>
      </c>
    </row>
    <row r="313" spans="5:30">
      <c r="E313" s="6"/>
      <c r="F313" s="8" t="s">
        <v>47</v>
      </c>
      <c r="G313" s="9"/>
      <c r="H313" s="23">
        <v>4.5</v>
      </c>
      <c r="I313" s="24"/>
      <c r="J313" s="22"/>
      <c r="K313" s="23">
        <v>7.5</v>
      </c>
      <c r="L313" s="22"/>
      <c r="M313" s="9">
        <v>6</v>
      </c>
      <c r="N313" s="9">
        <v>5</v>
      </c>
      <c r="O313" s="9"/>
      <c r="P313" s="9">
        <v>7</v>
      </c>
      <c r="Q313" s="23">
        <v>8.5</v>
      </c>
      <c r="R313" s="22"/>
      <c r="S313" s="8" t="s">
        <v>33</v>
      </c>
      <c r="U313" t="s">
        <v>33</v>
      </c>
      <c r="V313" t="s">
        <v>33</v>
      </c>
      <c r="W313" s="14">
        <f t="shared" si="24"/>
        <v>0</v>
      </c>
      <c r="X313" s="14">
        <f t="shared" si="25"/>
        <v>4.5</v>
      </c>
      <c r="Y313" s="14">
        <f t="shared" si="26"/>
        <v>7.5</v>
      </c>
      <c r="Z313" s="14">
        <f t="shared" si="27"/>
        <v>6</v>
      </c>
      <c r="AA313" s="14">
        <f t="shared" si="28"/>
        <v>5</v>
      </c>
      <c r="AB313" s="14">
        <f t="shared" si="29"/>
        <v>0</v>
      </c>
      <c r="AC313" s="14">
        <f t="shared" si="30"/>
        <v>7</v>
      </c>
      <c r="AD313" s="14">
        <f t="shared" si="31"/>
        <v>17</v>
      </c>
    </row>
    <row r="314" spans="5:30">
      <c r="E314" s="6"/>
      <c r="F314" s="8" t="s">
        <v>49</v>
      </c>
      <c r="G314" s="9"/>
      <c r="H314" s="23">
        <v>18</v>
      </c>
      <c r="I314" s="24"/>
      <c r="J314" s="22"/>
      <c r="K314" s="23">
        <v>30</v>
      </c>
      <c r="L314" s="22"/>
      <c r="M314" s="9">
        <v>18</v>
      </c>
      <c r="N314" s="9">
        <v>15</v>
      </c>
      <c r="O314" s="9"/>
      <c r="P314" s="9">
        <v>14</v>
      </c>
      <c r="Q314" s="23">
        <v>17</v>
      </c>
      <c r="R314" s="22"/>
      <c r="S314" s="8">
        <v>112</v>
      </c>
      <c r="U314">
        <v>0</v>
      </c>
      <c r="V314">
        <v>0</v>
      </c>
      <c r="W314" s="14">
        <f t="shared" si="24"/>
        <v>0</v>
      </c>
      <c r="X314" s="14">
        <f t="shared" si="25"/>
        <v>18</v>
      </c>
      <c r="Y314" s="14">
        <f t="shared" si="26"/>
        <v>30</v>
      </c>
      <c r="Z314" s="14">
        <f t="shared" si="27"/>
        <v>18</v>
      </c>
      <c r="AA314" s="14">
        <f t="shared" si="28"/>
        <v>15</v>
      </c>
      <c r="AB314" s="14">
        <f t="shared" si="29"/>
        <v>0</v>
      </c>
      <c r="AC314" s="14">
        <f t="shared" si="30"/>
        <v>14</v>
      </c>
      <c r="AD314" s="14">
        <f t="shared" si="31"/>
        <v>40</v>
      </c>
    </row>
    <row r="315" spans="5:30">
      <c r="E315" s="4"/>
      <c r="F315" s="8" t="s">
        <v>36</v>
      </c>
      <c r="G315" s="9">
        <v>34</v>
      </c>
      <c r="H315" s="23">
        <v>44</v>
      </c>
      <c r="I315" s="24"/>
      <c r="J315" s="22"/>
      <c r="K315" s="23">
        <v>73</v>
      </c>
      <c r="L315" s="22"/>
      <c r="M315" s="9">
        <v>55</v>
      </c>
      <c r="N315" s="9">
        <v>45</v>
      </c>
      <c r="O315" s="9">
        <v>20</v>
      </c>
      <c r="P315" s="9">
        <v>34</v>
      </c>
      <c r="Q315" s="23">
        <v>40</v>
      </c>
      <c r="R315" s="22"/>
      <c r="S315" s="8">
        <v>345</v>
      </c>
      <c r="U315">
        <v>0</v>
      </c>
      <c r="V315">
        <v>0</v>
      </c>
      <c r="W315" s="14">
        <f t="shared" si="24"/>
        <v>34</v>
      </c>
      <c r="X315" s="14">
        <f t="shared" si="25"/>
        <v>44</v>
      </c>
      <c r="Y315" s="14">
        <f t="shared" si="26"/>
        <v>73</v>
      </c>
      <c r="Z315" s="14">
        <f t="shared" si="27"/>
        <v>55</v>
      </c>
      <c r="AA315" s="14">
        <f t="shared" si="28"/>
        <v>45</v>
      </c>
      <c r="AB315" s="14">
        <f t="shared" si="29"/>
        <v>20</v>
      </c>
      <c r="AC315" s="14">
        <f t="shared" si="30"/>
        <v>34</v>
      </c>
      <c r="AD315" s="14">
        <f t="shared" si="31"/>
        <v>50</v>
      </c>
    </row>
    <row r="316" spans="5:30">
      <c r="E316" s="6"/>
      <c r="F316" s="8" t="s">
        <v>52</v>
      </c>
      <c r="G316" s="9">
        <v>100</v>
      </c>
      <c r="H316" s="23">
        <v>100</v>
      </c>
      <c r="I316" s="24"/>
      <c r="J316" s="22"/>
      <c r="K316" s="23">
        <v>100</v>
      </c>
      <c r="L316" s="22"/>
      <c r="M316" s="9">
        <v>100</v>
      </c>
      <c r="N316" s="9">
        <v>100</v>
      </c>
      <c r="O316" s="9">
        <v>100</v>
      </c>
      <c r="P316" s="9">
        <v>50</v>
      </c>
      <c r="Q316" s="23">
        <v>50</v>
      </c>
      <c r="R316" s="22"/>
      <c r="S316" s="8">
        <v>700</v>
      </c>
      <c r="U316" t="s">
        <v>31</v>
      </c>
      <c r="V316" t="s">
        <v>33</v>
      </c>
      <c r="W316" s="14">
        <f t="shared" si="24"/>
        <v>100</v>
      </c>
      <c r="X316" s="14">
        <f t="shared" si="25"/>
        <v>100</v>
      </c>
      <c r="Y316" s="14">
        <f t="shared" si="26"/>
        <v>100</v>
      </c>
      <c r="Z316" s="14">
        <f t="shared" si="27"/>
        <v>100</v>
      </c>
      <c r="AA316" s="14">
        <f t="shared" si="28"/>
        <v>100</v>
      </c>
      <c r="AB316" s="14">
        <f t="shared" si="29"/>
        <v>100</v>
      </c>
      <c r="AC316" s="14">
        <f t="shared" si="30"/>
        <v>50</v>
      </c>
      <c r="AD316" s="14" t="str">
        <f t="shared" si="31"/>
        <v>OA</v>
      </c>
    </row>
    <row r="317" spans="5:30">
      <c r="E317" s="4"/>
      <c r="F317" s="8" t="s">
        <v>54</v>
      </c>
      <c r="G317" s="9"/>
      <c r="H317" s="23" t="s">
        <v>75</v>
      </c>
      <c r="I317" s="24"/>
      <c r="J317" s="22"/>
      <c r="K317" s="23" t="s">
        <v>108</v>
      </c>
      <c r="L317" s="22"/>
      <c r="M317" s="9" t="s">
        <v>147</v>
      </c>
      <c r="N317" s="9" t="s">
        <v>55</v>
      </c>
      <c r="O317" s="9"/>
      <c r="P317" s="9" t="s">
        <v>109</v>
      </c>
      <c r="Q317" s="23" t="s">
        <v>95</v>
      </c>
      <c r="R317" s="22"/>
      <c r="S317" s="8" t="s">
        <v>33</v>
      </c>
      <c r="U317" t="s">
        <v>271</v>
      </c>
      <c r="V317" t="s">
        <v>36</v>
      </c>
      <c r="W317" s="14">
        <f t="shared" si="24"/>
        <v>0</v>
      </c>
      <c r="X317" s="14" t="str">
        <f t="shared" si="25"/>
        <v>PP</v>
      </c>
      <c r="Y317" s="14" t="str">
        <f t="shared" si="26"/>
        <v>AA</v>
      </c>
      <c r="Z317" s="14" t="str">
        <f t="shared" si="27"/>
        <v>BB+</v>
      </c>
      <c r="AA317" s="14" t="str">
        <f t="shared" si="28"/>
        <v>BC</v>
      </c>
      <c r="AB317" s="14">
        <f t="shared" si="29"/>
        <v>0</v>
      </c>
      <c r="AC317" s="14" t="str">
        <f t="shared" si="30"/>
        <v>AB+</v>
      </c>
      <c r="AD317" s="14" t="str">
        <f t="shared" si="31"/>
        <v>Pass</v>
      </c>
    </row>
    <row r="318" spans="5:30">
      <c r="E318" s="11" t="s">
        <v>270</v>
      </c>
      <c r="F318" s="8" t="s">
        <v>58</v>
      </c>
      <c r="G318" s="9" t="s">
        <v>68</v>
      </c>
      <c r="H318" s="23" t="s">
        <v>59</v>
      </c>
      <c r="I318" s="24"/>
      <c r="J318" s="22"/>
      <c r="K318" s="23" t="s">
        <v>59</v>
      </c>
      <c r="L318" s="22"/>
      <c r="M318" s="9" t="s">
        <v>59</v>
      </c>
      <c r="N318" s="9" t="s">
        <v>59</v>
      </c>
      <c r="O318" s="9" t="s">
        <v>68</v>
      </c>
      <c r="P318" s="9" t="s">
        <v>59</v>
      </c>
      <c r="Q318" s="23" t="s">
        <v>59</v>
      </c>
      <c r="R318" s="22"/>
      <c r="S318" s="8" t="s">
        <v>33</v>
      </c>
      <c r="U318" t="s">
        <v>37</v>
      </c>
      <c r="V318" t="s">
        <v>33</v>
      </c>
      <c r="W318" s="14" t="str">
        <f t="shared" si="24"/>
        <v>Fail</v>
      </c>
      <c r="X318" s="14" t="str">
        <f t="shared" si="25"/>
        <v>Pass</v>
      </c>
      <c r="Y318" s="14" t="str">
        <f t="shared" si="26"/>
        <v>Pass</v>
      </c>
      <c r="Z318" s="14" t="str">
        <f t="shared" si="27"/>
        <v>Pass</v>
      </c>
      <c r="AA318" s="14" t="str">
        <f t="shared" si="28"/>
        <v>Pass</v>
      </c>
      <c r="AB318" s="14" t="str">
        <f t="shared" si="29"/>
        <v>Fail</v>
      </c>
      <c r="AC318" s="14" t="str">
        <f t="shared" si="30"/>
        <v>Pass</v>
      </c>
      <c r="AD318" s="14" t="str">
        <f t="shared" si="31"/>
        <v/>
      </c>
    </row>
    <row r="319" spans="5:30">
      <c r="E319" s="12" t="s">
        <v>33</v>
      </c>
      <c r="F319" s="12" t="s">
        <v>33</v>
      </c>
      <c r="G319" s="13" t="s">
        <v>33</v>
      </c>
      <c r="H319" s="20" t="s">
        <v>33</v>
      </c>
      <c r="I319" s="18"/>
      <c r="J319" s="18"/>
      <c r="K319" s="20" t="s">
        <v>33</v>
      </c>
      <c r="L319" s="18"/>
      <c r="M319" s="13" t="s">
        <v>33</v>
      </c>
      <c r="N319" s="13" t="s">
        <v>33</v>
      </c>
      <c r="O319" s="13" t="s">
        <v>33</v>
      </c>
      <c r="P319" s="13" t="s">
        <v>33</v>
      </c>
      <c r="Q319" s="20" t="s">
        <v>33</v>
      </c>
      <c r="R319" s="18"/>
      <c r="S319" s="13" t="s">
        <v>33</v>
      </c>
      <c r="U319" t="s">
        <v>277</v>
      </c>
      <c r="V319" t="s">
        <v>33</v>
      </c>
      <c r="W319" s="14" t="str">
        <f t="shared" si="24"/>
        <v/>
      </c>
      <c r="X319" s="14" t="str">
        <f t="shared" si="25"/>
        <v/>
      </c>
      <c r="Y319" s="14" t="str">
        <f t="shared" si="26"/>
        <v/>
      </c>
      <c r="Z319" s="14" t="str">
        <f t="shared" si="27"/>
        <v/>
      </c>
      <c r="AA319" s="14" t="str">
        <f t="shared" si="28"/>
        <v/>
      </c>
      <c r="AB319" s="14" t="str">
        <f t="shared" si="29"/>
        <v/>
      </c>
      <c r="AC319" s="14" t="str">
        <f t="shared" si="30"/>
        <v/>
      </c>
      <c r="AD319" s="14">
        <f t="shared" si="31"/>
        <v>0</v>
      </c>
    </row>
    <row r="320" spans="5:30" ht="0" hidden="1" customHeight="1">
      <c r="U320">
        <v>0</v>
      </c>
      <c r="V320">
        <v>0</v>
      </c>
      <c r="W320" s="14">
        <f t="shared" si="24"/>
        <v>0</v>
      </c>
      <c r="X320" s="14">
        <f t="shared" si="25"/>
        <v>0</v>
      </c>
      <c r="Y320" s="14">
        <f t="shared" si="26"/>
        <v>0</v>
      </c>
      <c r="Z320" s="14">
        <f t="shared" si="27"/>
        <v>0</v>
      </c>
      <c r="AA320" s="14">
        <f t="shared" si="28"/>
        <v>0</v>
      </c>
      <c r="AB320" s="14">
        <f t="shared" si="29"/>
        <v>0</v>
      </c>
      <c r="AC320" s="14">
        <f t="shared" si="30"/>
        <v>0</v>
      </c>
      <c r="AD320" s="14">
        <f t="shared" si="31"/>
        <v>0</v>
      </c>
    </row>
    <row r="321" spans="5:30" ht="0.6" customHeight="1">
      <c r="U321">
        <v>0</v>
      </c>
      <c r="V321">
        <v>25</v>
      </c>
      <c r="W321" s="14">
        <f t="shared" si="24"/>
        <v>0</v>
      </c>
      <c r="X321" s="14">
        <f t="shared" si="25"/>
        <v>0</v>
      </c>
      <c r="Y321" s="14">
        <f t="shared" si="26"/>
        <v>0</v>
      </c>
      <c r="Z321" s="14">
        <f t="shared" si="27"/>
        <v>0</v>
      </c>
      <c r="AA321" s="14">
        <f t="shared" si="28"/>
        <v>0</v>
      </c>
      <c r="AB321" s="14">
        <f t="shared" si="29"/>
        <v>0</v>
      </c>
      <c r="AC321" s="14">
        <f t="shared" si="30"/>
        <v>0</v>
      </c>
      <c r="AD321" s="14" t="str">
        <f t="shared" si="31"/>
        <v/>
      </c>
    </row>
    <row r="322" spans="5:30">
      <c r="E322" s="4"/>
      <c r="F322" s="3" t="s">
        <v>32</v>
      </c>
      <c r="G322" s="5" t="s">
        <v>33</v>
      </c>
      <c r="H322" s="32" t="s">
        <v>33</v>
      </c>
      <c r="I322" s="18"/>
      <c r="J322" s="18"/>
      <c r="K322" s="32" t="s">
        <v>33</v>
      </c>
      <c r="L322" s="18"/>
      <c r="M322" s="5" t="s">
        <v>33</v>
      </c>
      <c r="N322" s="5" t="s">
        <v>33</v>
      </c>
      <c r="O322" s="5" t="s">
        <v>33</v>
      </c>
      <c r="P322" s="5" t="s">
        <v>33</v>
      </c>
      <c r="Q322" s="32" t="s">
        <v>33</v>
      </c>
      <c r="R322" s="18"/>
      <c r="S322" s="5" t="s">
        <v>33</v>
      </c>
      <c r="U322" t="s">
        <v>46</v>
      </c>
      <c r="V322" t="s">
        <v>33</v>
      </c>
      <c r="W322" s="14" t="str">
        <f t="shared" si="24"/>
        <v/>
      </c>
      <c r="X322" s="14" t="str">
        <f t="shared" si="25"/>
        <v/>
      </c>
      <c r="Y322" s="14" t="str">
        <f t="shared" si="26"/>
        <v/>
      </c>
      <c r="Z322" s="14" t="str">
        <f t="shared" si="27"/>
        <v/>
      </c>
      <c r="AA322" s="14" t="str">
        <f t="shared" si="28"/>
        <v/>
      </c>
      <c r="AB322" s="14" t="str">
        <f t="shared" si="29"/>
        <v/>
      </c>
      <c r="AC322" s="14" t="str">
        <f t="shared" si="30"/>
        <v/>
      </c>
      <c r="AD322" s="14" t="str">
        <f t="shared" si="31"/>
        <v>COMSRSN302</v>
      </c>
    </row>
    <row r="323" spans="5:30" ht="21">
      <c r="E323" s="4"/>
      <c r="F323" s="7" t="s">
        <v>35</v>
      </c>
      <c r="G323" s="7" t="s">
        <v>5</v>
      </c>
      <c r="H323" s="30" t="s">
        <v>7</v>
      </c>
      <c r="I323" s="24"/>
      <c r="J323" s="22"/>
      <c r="K323" s="30" t="s">
        <v>9</v>
      </c>
      <c r="L323" s="22"/>
      <c r="M323" s="7" t="s">
        <v>11</v>
      </c>
      <c r="N323" s="7" t="s">
        <v>15</v>
      </c>
      <c r="O323" s="7" t="s">
        <v>17</v>
      </c>
      <c r="P323" s="7" t="s">
        <v>21</v>
      </c>
      <c r="Q323" s="30" t="s">
        <v>29</v>
      </c>
      <c r="R323" s="22"/>
      <c r="S323" s="7" t="s">
        <v>36</v>
      </c>
      <c r="U323" t="s">
        <v>48</v>
      </c>
      <c r="V323">
        <v>241.5</v>
      </c>
      <c r="W323" s="14" t="str">
        <f t="shared" si="24"/>
        <v>BBABMCN301</v>
      </c>
      <c r="X323" s="14" t="str">
        <f t="shared" si="25"/>
        <v>BBABMCN302</v>
      </c>
      <c r="Y323" s="14" t="str">
        <f t="shared" si="26"/>
        <v>BBABMCN303</v>
      </c>
      <c r="Z323" s="14" t="str">
        <f t="shared" si="27"/>
        <v>BBAENLN301</v>
      </c>
      <c r="AA323" s="14" t="str">
        <f t="shared" si="28"/>
        <v>BBAKALN302</v>
      </c>
      <c r="AB323" s="14" t="str">
        <f t="shared" si="29"/>
        <v>BCACAEN302</v>
      </c>
      <c r="AC323" s="14" t="str">
        <f t="shared" si="30"/>
        <v>COMFISN301</v>
      </c>
      <c r="AD323" s="14" t="str">
        <f t="shared" si="31"/>
        <v xml:space="preserve"> - - + - - </v>
      </c>
    </row>
    <row r="324" spans="5:30" ht="22.5">
      <c r="E324" s="6" t="s">
        <v>272</v>
      </c>
      <c r="F324" s="8" t="s">
        <v>39</v>
      </c>
      <c r="G324" s="9" t="s">
        <v>86</v>
      </c>
      <c r="H324" s="23" t="s">
        <v>273</v>
      </c>
      <c r="I324" s="24"/>
      <c r="J324" s="22"/>
      <c r="K324" s="23" t="s">
        <v>88</v>
      </c>
      <c r="L324" s="22"/>
      <c r="M324" s="9" t="s">
        <v>274</v>
      </c>
      <c r="N324" s="9" t="s">
        <v>275</v>
      </c>
      <c r="O324" s="9" t="s">
        <v>187</v>
      </c>
      <c r="P324" s="9" t="s">
        <v>276</v>
      </c>
      <c r="Q324" s="23" t="s">
        <v>43</v>
      </c>
      <c r="R324" s="22"/>
      <c r="S324" s="8" t="s">
        <v>33</v>
      </c>
      <c r="U324" t="s">
        <v>50</v>
      </c>
      <c r="V324">
        <v>664</v>
      </c>
      <c r="W324" s="14" t="str">
        <f t="shared" si="24"/>
        <v>54.00 + 40.00</v>
      </c>
      <c r="X324" s="14" t="str">
        <f t="shared" si="25"/>
        <v>53.00 + 40.00</v>
      </c>
      <c r="Y324" s="14" t="str">
        <f t="shared" si="26"/>
        <v>60.00 + 40.00</v>
      </c>
      <c r="Z324" s="14" t="str">
        <f t="shared" si="27"/>
        <v>46.00 + 38.00</v>
      </c>
      <c r="AA324" s="14" t="str">
        <f t="shared" si="28"/>
        <v>59.00 + 38.00</v>
      </c>
      <c r="AB324" s="14" t="str">
        <f t="shared" si="29"/>
        <v>58.00 + 40.00</v>
      </c>
      <c r="AC324" s="14" t="str">
        <f t="shared" si="30"/>
        <v>28.00 + 20.00</v>
      </c>
      <c r="AD324" s="14" t="str">
        <f t="shared" si="31"/>
        <v xml:space="preserve"> - - +50.00</v>
      </c>
    </row>
    <row r="325" spans="5:30">
      <c r="E325" s="25"/>
      <c r="F325" s="8" t="s">
        <v>42</v>
      </c>
      <c r="G325" s="9" t="s">
        <v>43</v>
      </c>
      <c r="H325" s="23" t="s">
        <v>43</v>
      </c>
      <c r="I325" s="24"/>
      <c r="J325" s="22"/>
      <c r="K325" s="23" t="s">
        <v>43</v>
      </c>
      <c r="L325" s="22"/>
      <c r="M325" s="9" t="s">
        <v>43</v>
      </c>
      <c r="N325" s="9" t="s">
        <v>43</v>
      </c>
      <c r="O325" s="9" t="s">
        <v>43</v>
      </c>
      <c r="P325" s="9" t="s">
        <v>43</v>
      </c>
      <c r="Q325" s="23" t="s">
        <v>91</v>
      </c>
      <c r="R325" s="22"/>
      <c r="S325" s="8" t="s">
        <v>33</v>
      </c>
      <c r="U325" t="s">
        <v>51</v>
      </c>
      <c r="V325">
        <v>700</v>
      </c>
      <c r="W325" s="14" t="str">
        <f t="shared" si="24"/>
        <v xml:space="preserve"> - - + - - </v>
      </c>
      <c r="X325" s="14" t="str">
        <f t="shared" si="25"/>
        <v xml:space="preserve"> - - + - - </v>
      </c>
      <c r="Y325" s="14" t="str">
        <f t="shared" si="26"/>
        <v xml:space="preserve"> - - + - - </v>
      </c>
      <c r="Z325" s="14" t="str">
        <f t="shared" si="27"/>
        <v xml:space="preserve"> - - + - - </v>
      </c>
      <c r="AA325" s="14" t="str">
        <f t="shared" si="28"/>
        <v xml:space="preserve"> - - + - - </v>
      </c>
      <c r="AB325" s="14" t="str">
        <f t="shared" si="29"/>
        <v xml:space="preserve"> - - + - - </v>
      </c>
      <c r="AC325" s="14" t="str">
        <f t="shared" si="30"/>
        <v xml:space="preserve"> - - + - - </v>
      </c>
      <c r="AD325" s="14" t="str">
        <f t="shared" si="31"/>
        <v/>
      </c>
    </row>
    <row r="326" spans="5:30">
      <c r="E326" s="27"/>
      <c r="F326" s="8" t="s">
        <v>44</v>
      </c>
      <c r="G326" s="9" t="s">
        <v>33</v>
      </c>
      <c r="H326" s="23" t="s">
        <v>33</v>
      </c>
      <c r="I326" s="24"/>
      <c r="J326" s="22"/>
      <c r="K326" s="23" t="s">
        <v>33</v>
      </c>
      <c r="L326" s="22"/>
      <c r="M326" s="9" t="s">
        <v>33</v>
      </c>
      <c r="N326" s="9" t="s">
        <v>33</v>
      </c>
      <c r="O326" s="9" t="s">
        <v>33</v>
      </c>
      <c r="P326" s="9" t="s">
        <v>33</v>
      </c>
      <c r="Q326" s="23" t="s">
        <v>33</v>
      </c>
      <c r="R326" s="22"/>
      <c r="S326" s="8">
        <v>0</v>
      </c>
      <c r="U326" t="s">
        <v>92</v>
      </c>
      <c r="V326" t="s">
        <v>33</v>
      </c>
      <c r="W326" s="14" t="str">
        <f t="shared" si="24"/>
        <v/>
      </c>
      <c r="X326" s="14" t="str">
        <f t="shared" si="25"/>
        <v/>
      </c>
      <c r="Y326" s="14" t="str">
        <f t="shared" si="26"/>
        <v/>
      </c>
      <c r="Z326" s="14" t="str">
        <f t="shared" si="27"/>
        <v/>
      </c>
      <c r="AA326" s="14" t="str">
        <f t="shared" si="28"/>
        <v/>
      </c>
      <c r="AB326" s="14" t="str">
        <f t="shared" si="29"/>
        <v/>
      </c>
      <c r="AC326" s="14" t="str">
        <f t="shared" si="30"/>
        <v/>
      </c>
      <c r="AD326" s="14">
        <f t="shared" si="31"/>
        <v>2</v>
      </c>
    </row>
    <row r="327" spans="5:30">
      <c r="E327" s="29"/>
      <c r="F327" s="8" t="s">
        <v>45</v>
      </c>
      <c r="G327" s="9">
        <v>4</v>
      </c>
      <c r="H327" s="23">
        <v>4</v>
      </c>
      <c r="I327" s="24"/>
      <c r="J327" s="22"/>
      <c r="K327" s="23">
        <v>4</v>
      </c>
      <c r="L327" s="22"/>
      <c r="M327" s="9">
        <v>3</v>
      </c>
      <c r="N327" s="9">
        <v>3</v>
      </c>
      <c r="O327" s="9">
        <v>3</v>
      </c>
      <c r="P327" s="9">
        <v>2</v>
      </c>
      <c r="Q327" s="23">
        <v>2</v>
      </c>
      <c r="R327" s="22"/>
      <c r="S327" s="8">
        <v>25</v>
      </c>
      <c r="U327" t="s">
        <v>56</v>
      </c>
      <c r="V327" t="s">
        <v>33</v>
      </c>
      <c r="W327" s="14">
        <f t="shared" ref="W327:W390" si="32">$G327</f>
        <v>4</v>
      </c>
      <c r="X327" s="14">
        <f t="shared" ref="X327:X390" si="33">$H327</f>
        <v>4</v>
      </c>
      <c r="Y327" s="14">
        <f t="shared" ref="Y327:Y390" si="34">$K327</f>
        <v>4</v>
      </c>
      <c r="Z327" s="14">
        <f t="shared" ref="Z327:Z390" si="35">$M327</f>
        <v>3</v>
      </c>
      <c r="AA327" s="14">
        <f t="shared" ref="AA327:AA390" si="36">$N327</f>
        <v>3</v>
      </c>
      <c r="AB327" s="14">
        <f t="shared" ref="AB327:AB390" si="37">$O327</f>
        <v>3</v>
      </c>
      <c r="AC327" s="14">
        <f t="shared" ref="AC327:AC390" si="38">$P327</f>
        <v>2</v>
      </c>
      <c r="AD327" s="14">
        <f t="shared" ref="AD327:AD390" si="39">$Q328</f>
        <v>10</v>
      </c>
    </row>
    <row r="328" spans="5:30">
      <c r="E328" s="6">
        <v>9.66</v>
      </c>
      <c r="F328" s="8" t="s">
        <v>47</v>
      </c>
      <c r="G328" s="9">
        <v>9.5</v>
      </c>
      <c r="H328" s="23">
        <v>9.5</v>
      </c>
      <c r="I328" s="24"/>
      <c r="J328" s="22"/>
      <c r="K328" s="23">
        <v>10</v>
      </c>
      <c r="L328" s="22"/>
      <c r="M328" s="9">
        <v>8.5</v>
      </c>
      <c r="N328" s="9">
        <v>10</v>
      </c>
      <c r="O328" s="9">
        <v>10</v>
      </c>
      <c r="P328" s="9">
        <v>10</v>
      </c>
      <c r="Q328" s="23">
        <v>10</v>
      </c>
      <c r="R328" s="22"/>
      <c r="S328" s="8" t="s">
        <v>33</v>
      </c>
      <c r="U328" t="s">
        <v>33</v>
      </c>
      <c r="V328" t="s">
        <v>33</v>
      </c>
      <c r="W328" s="14">
        <f t="shared" si="32"/>
        <v>9.5</v>
      </c>
      <c r="X328" s="14">
        <f t="shared" si="33"/>
        <v>9.5</v>
      </c>
      <c r="Y328" s="14">
        <f t="shared" si="34"/>
        <v>10</v>
      </c>
      <c r="Z328" s="14">
        <f t="shared" si="35"/>
        <v>8.5</v>
      </c>
      <c r="AA328" s="14">
        <f t="shared" si="36"/>
        <v>10</v>
      </c>
      <c r="AB328" s="14">
        <f t="shared" si="37"/>
        <v>10</v>
      </c>
      <c r="AC328" s="14">
        <f t="shared" si="38"/>
        <v>10</v>
      </c>
      <c r="AD328" s="14">
        <f t="shared" si="39"/>
        <v>20</v>
      </c>
    </row>
    <row r="329" spans="5:30">
      <c r="E329" s="10">
        <v>9.2899999999999991</v>
      </c>
      <c r="F329" s="8" t="s">
        <v>49</v>
      </c>
      <c r="G329" s="9">
        <v>38</v>
      </c>
      <c r="H329" s="23">
        <v>38</v>
      </c>
      <c r="I329" s="24"/>
      <c r="J329" s="22"/>
      <c r="K329" s="23">
        <v>40</v>
      </c>
      <c r="L329" s="22"/>
      <c r="M329" s="9">
        <v>25.5</v>
      </c>
      <c r="N329" s="9">
        <v>30</v>
      </c>
      <c r="O329" s="9">
        <v>30</v>
      </c>
      <c r="P329" s="9">
        <v>20</v>
      </c>
      <c r="Q329" s="23">
        <v>20</v>
      </c>
      <c r="R329" s="22"/>
      <c r="S329" s="8">
        <v>241.5</v>
      </c>
      <c r="U329">
        <v>0</v>
      </c>
      <c r="V329">
        <v>0</v>
      </c>
      <c r="W329" s="14">
        <f t="shared" si="32"/>
        <v>38</v>
      </c>
      <c r="X329" s="14">
        <f t="shared" si="33"/>
        <v>38</v>
      </c>
      <c r="Y329" s="14">
        <f t="shared" si="34"/>
        <v>40</v>
      </c>
      <c r="Z329" s="14">
        <f t="shared" si="35"/>
        <v>25.5</v>
      </c>
      <c r="AA329" s="14">
        <f t="shared" si="36"/>
        <v>30</v>
      </c>
      <c r="AB329" s="14">
        <f t="shared" si="37"/>
        <v>30</v>
      </c>
      <c r="AC329" s="14">
        <f t="shared" si="38"/>
        <v>20</v>
      </c>
      <c r="AD329" s="14">
        <f t="shared" si="39"/>
        <v>50</v>
      </c>
    </row>
    <row r="330" spans="5:30">
      <c r="E330" s="4"/>
      <c r="F330" s="8" t="s">
        <v>36</v>
      </c>
      <c r="G330" s="9">
        <v>94</v>
      </c>
      <c r="H330" s="23">
        <v>93</v>
      </c>
      <c r="I330" s="24"/>
      <c r="J330" s="22"/>
      <c r="K330" s="23">
        <v>100</v>
      </c>
      <c r="L330" s="22"/>
      <c r="M330" s="9">
        <v>84</v>
      </c>
      <c r="N330" s="9">
        <v>97</v>
      </c>
      <c r="O330" s="9">
        <v>98</v>
      </c>
      <c r="P330" s="9">
        <v>48</v>
      </c>
      <c r="Q330" s="23">
        <v>50</v>
      </c>
      <c r="R330" s="22"/>
      <c r="S330" s="8">
        <v>664</v>
      </c>
      <c r="U330" t="s">
        <v>31</v>
      </c>
      <c r="V330" t="s">
        <v>33</v>
      </c>
      <c r="W330" s="14">
        <f t="shared" si="32"/>
        <v>94</v>
      </c>
      <c r="X330" s="14">
        <f t="shared" si="33"/>
        <v>93</v>
      </c>
      <c r="Y330" s="14">
        <f t="shared" si="34"/>
        <v>100</v>
      </c>
      <c r="Z330" s="14">
        <f t="shared" si="35"/>
        <v>84</v>
      </c>
      <c r="AA330" s="14">
        <f t="shared" si="36"/>
        <v>97</v>
      </c>
      <c r="AB330" s="14">
        <f t="shared" si="37"/>
        <v>98</v>
      </c>
      <c r="AC330" s="14">
        <f t="shared" si="38"/>
        <v>48</v>
      </c>
      <c r="AD330" s="14">
        <f t="shared" si="39"/>
        <v>50</v>
      </c>
    </row>
    <row r="331" spans="5:30">
      <c r="E331" s="6"/>
      <c r="F331" s="8" t="s">
        <v>52</v>
      </c>
      <c r="G331" s="9">
        <v>100</v>
      </c>
      <c r="H331" s="23">
        <v>100</v>
      </c>
      <c r="I331" s="24"/>
      <c r="J331" s="22"/>
      <c r="K331" s="23">
        <v>100</v>
      </c>
      <c r="L331" s="22"/>
      <c r="M331" s="9">
        <v>100</v>
      </c>
      <c r="N331" s="9">
        <v>100</v>
      </c>
      <c r="O331" s="9">
        <v>100</v>
      </c>
      <c r="P331" s="9">
        <v>50</v>
      </c>
      <c r="Q331" s="23">
        <v>50</v>
      </c>
      <c r="R331" s="22"/>
      <c r="S331" s="8">
        <v>700</v>
      </c>
      <c r="U331" t="s">
        <v>279</v>
      </c>
      <c r="V331" t="s">
        <v>36</v>
      </c>
      <c r="W331" s="14">
        <f t="shared" si="32"/>
        <v>100</v>
      </c>
      <c r="X331" s="14">
        <f t="shared" si="33"/>
        <v>100</v>
      </c>
      <c r="Y331" s="14">
        <f t="shared" si="34"/>
        <v>100</v>
      </c>
      <c r="Z331" s="14">
        <f t="shared" si="35"/>
        <v>100</v>
      </c>
      <c r="AA331" s="14">
        <f t="shared" si="36"/>
        <v>100</v>
      </c>
      <c r="AB331" s="14">
        <f t="shared" si="37"/>
        <v>100</v>
      </c>
      <c r="AC331" s="14">
        <f t="shared" si="38"/>
        <v>50</v>
      </c>
      <c r="AD331" s="14" t="str">
        <f t="shared" si="39"/>
        <v>OO+</v>
      </c>
    </row>
    <row r="332" spans="5:30">
      <c r="E332" s="4"/>
      <c r="F332" s="8" t="s">
        <v>54</v>
      </c>
      <c r="G332" s="9" t="s">
        <v>94</v>
      </c>
      <c r="H332" s="23" t="s">
        <v>94</v>
      </c>
      <c r="I332" s="24"/>
      <c r="J332" s="22"/>
      <c r="K332" s="23" t="s">
        <v>93</v>
      </c>
      <c r="L332" s="22"/>
      <c r="M332" s="9" t="s">
        <v>95</v>
      </c>
      <c r="N332" s="9" t="s">
        <v>93</v>
      </c>
      <c r="O332" s="9" t="s">
        <v>93</v>
      </c>
      <c r="P332" s="9" t="s">
        <v>93</v>
      </c>
      <c r="Q332" s="23" t="s">
        <v>93</v>
      </c>
      <c r="R332" s="22"/>
      <c r="S332" s="8" t="s">
        <v>33</v>
      </c>
      <c r="U332" t="s">
        <v>37</v>
      </c>
      <c r="V332" t="s">
        <v>33</v>
      </c>
      <c r="W332" s="14" t="str">
        <f t="shared" si="32"/>
        <v>OO</v>
      </c>
      <c r="X332" s="14" t="str">
        <f t="shared" si="33"/>
        <v>OO</v>
      </c>
      <c r="Y332" s="14" t="str">
        <f t="shared" si="34"/>
        <v>OO+</v>
      </c>
      <c r="Z332" s="14" t="str">
        <f t="shared" si="35"/>
        <v>OA</v>
      </c>
      <c r="AA332" s="14" t="str">
        <f t="shared" si="36"/>
        <v>OO+</v>
      </c>
      <c r="AB332" s="14" t="str">
        <f t="shared" si="37"/>
        <v>OO+</v>
      </c>
      <c r="AC332" s="14" t="str">
        <f t="shared" si="38"/>
        <v>OO+</v>
      </c>
      <c r="AD332" s="14" t="str">
        <f t="shared" si="39"/>
        <v>Pass</v>
      </c>
    </row>
    <row r="333" spans="5:30">
      <c r="E333" s="11" t="s">
        <v>278</v>
      </c>
      <c r="F333" s="8" t="s">
        <v>58</v>
      </c>
      <c r="G333" s="9" t="s">
        <v>59</v>
      </c>
      <c r="H333" s="23" t="s">
        <v>59</v>
      </c>
      <c r="I333" s="24"/>
      <c r="J333" s="22"/>
      <c r="K333" s="23" t="s">
        <v>59</v>
      </c>
      <c r="L333" s="22"/>
      <c r="M333" s="9" t="s">
        <v>59</v>
      </c>
      <c r="N333" s="9" t="s">
        <v>59</v>
      </c>
      <c r="O333" s="9" t="s">
        <v>59</v>
      </c>
      <c r="P333" s="9" t="s">
        <v>59</v>
      </c>
      <c r="Q333" s="23" t="s">
        <v>59</v>
      </c>
      <c r="R333" s="22"/>
      <c r="S333" s="8" t="s">
        <v>33</v>
      </c>
      <c r="U333" t="s">
        <v>286</v>
      </c>
      <c r="V333" t="s">
        <v>33</v>
      </c>
      <c r="W333" s="14" t="str">
        <f t="shared" si="32"/>
        <v>Pass</v>
      </c>
      <c r="X333" s="14" t="str">
        <f t="shared" si="33"/>
        <v>Pass</v>
      </c>
      <c r="Y333" s="14" t="str">
        <f t="shared" si="34"/>
        <v>Pass</v>
      </c>
      <c r="Z333" s="14" t="str">
        <f t="shared" si="35"/>
        <v>Pass</v>
      </c>
      <c r="AA333" s="14" t="str">
        <f t="shared" si="36"/>
        <v>Pass</v>
      </c>
      <c r="AB333" s="14" t="str">
        <f t="shared" si="37"/>
        <v>Pass</v>
      </c>
      <c r="AC333" s="14" t="str">
        <f t="shared" si="38"/>
        <v>Pass</v>
      </c>
      <c r="AD333" s="14" t="str">
        <f t="shared" si="39"/>
        <v/>
      </c>
    </row>
    <row r="334" spans="5:30">
      <c r="E334" s="12" t="s">
        <v>33</v>
      </c>
      <c r="F334" s="12" t="s">
        <v>33</v>
      </c>
      <c r="G334" s="13" t="s">
        <v>33</v>
      </c>
      <c r="H334" s="20" t="s">
        <v>33</v>
      </c>
      <c r="I334" s="18"/>
      <c r="J334" s="18"/>
      <c r="K334" s="20" t="s">
        <v>33</v>
      </c>
      <c r="L334" s="18"/>
      <c r="M334" s="13" t="s">
        <v>33</v>
      </c>
      <c r="N334" s="13" t="s">
        <v>33</v>
      </c>
      <c r="O334" s="13" t="s">
        <v>33</v>
      </c>
      <c r="P334" s="13" t="s">
        <v>33</v>
      </c>
      <c r="Q334" s="20" t="s">
        <v>33</v>
      </c>
      <c r="R334" s="18"/>
      <c r="S334" s="13" t="s">
        <v>33</v>
      </c>
      <c r="U334">
        <v>0</v>
      </c>
      <c r="V334">
        <v>0</v>
      </c>
      <c r="W334" s="14" t="str">
        <f t="shared" si="32"/>
        <v/>
      </c>
      <c r="X334" s="14" t="str">
        <f t="shared" si="33"/>
        <v/>
      </c>
      <c r="Y334" s="14" t="str">
        <f t="shared" si="34"/>
        <v/>
      </c>
      <c r="Z334" s="14" t="str">
        <f t="shared" si="35"/>
        <v/>
      </c>
      <c r="AA334" s="14" t="str">
        <f t="shared" si="36"/>
        <v/>
      </c>
      <c r="AB334" s="14" t="str">
        <f t="shared" si="37"/>
        <v/>
      </c>
      <c r="AC334" s="14" t="str">
        <f t="shared" si="38"/>
        <v/>
      </c>
      <c r="AD334" s="14">
        <f t="shared" si="39"/>
        <v>0</v>
      </c>
    </row>
    <row r="335" spans="5:30" ht="0.6" customHeight="1">
      <c r="U335">
        <v>0</v>
      </c>
      <c r="V335">
        <v>25</v>
      </c>
      <c r="W335" s="14">
        <f t="shared" si="32"/>
        <v>0</v>
      </c>
      <c r="X335" s="14">
        <f t="shared" si="33"/>
        <v>0</v>
      </c>
      <c r="Y335" s="14">
        <f t="shared" si="34"/>
        <v>0</v>
      </c>
      <c r="Z335" s="14">
        <f t="shared" si="35"/>
        <v>0</v>
      </c>
      <c r="AA335" s="14">
        <f t="shared" si="36"/>
        <v>0</v>
      </c>
      <c r="AB335" s="14">
        <f t="shared" si="37"/>
        <v>0</v>
      </c>
      <c r="AC335" s="14">
        <f t="shared" si="38"/>
        <v>0</v>
      </c>
      <c r="AD335" s="14" t="str">
        <f t="shared" si="39"/>
        <v/>
      </c>
    </row>
    <row r="336" spans="5:30">
      <c r="E336" s="4"/>
      <c r="F336" s="3" t="s">
        <v>32</v>
      </c>
      <c r="G336" s="5" t="s">
        <v>33</v>
      </c>
      <c r="H336" s="32" t="s">
        <v>33</v>
      </c>
      <c r="I336" s="18"/>
      <c r="J336" s="18"/>
      <c r="K336" s="32" t="s">
        <v>33</v>
      </c>
      <c r="L336" s="18"/>
      <c r="M336" s="5" t="s">
        <v>33</v>
      </c>
      <c r="N336" s="5" t="s">
        <v>33</v>
      </c>
      <c r="O336" s="5" t="s">
        <v>33</v>
      </c>
      <c r="P336" s="5" t="s">
        <v>33</v>
      </c>
      <c r="Q336" s="32" t="s">
        <v>33</v>
      </c>
      <c r="R336" s="18"/>
      <c r="S336" s="5" t="s">
        <v>33</v>
      </c>
      <c r="U336" t="s">
        <v>46</v>
      </c>
      <c r="V336" t="s">
        <v>33</v>
      </c>
      <c r="W336" s="14" t="str">
        <f t="shared" si="32"/>
        <v/>
      </c>
      <c r="X336" s="14" t="str">
        <f t="shared" si="33"/>
        <v/>
      </c>
      <c r="Y336" s="14" t="str">
        <f t="shared" si="34"/>
        <v/>
      </c>
      <c r="Z336" s="14" t="str">
        <f t="shared" si="35"/>
        <v/>
      </c>
      <c r="AA336" s="14" t="str">
        <f t="shared" si="36"/>
        <v/>
      </c>
      <c r="AB336" s="14" t="str">
        <f t="shared" si="37"/>
        <v/>
      </c>
      <c r="AC336" s="14" t="str">
        <f t="shared" si="38"/>
        <v/>
      </c>
      <c r="AD336" s="14" t="str">
        <f t="shared" si="39"/>
        <v>COMRRSN302</v>
      </c>
    </row>
    <row r="337" spans="5:30" ht="21">
      <c r="E337" s="4"/>
      <c r="F337" s="7" t="s">
        <v>35</v>
      </c>
      <c r="G337" s="7" t="s">
        <v>5</v>
      </c>
      <c r="H337" s="30" t="s">
        <v>7</v>
      </c>
      <c r="I337" s="24"/>
      <c r="J337" s="22"/>
      <c r="K337" s="30" t="s">
        <v>9</v>
      </c>
      <c r="L337" s="22"/>
      <c r="M337" s="7" t="s">
        <v>11</v>
      </c>
      <c r="N337" s="7" t="s">
        <v>15</v>
      </c>
      <c r="O337" s="7" t="s">
        <v>17</v>
      </c>
      <c r="P337" s="7" t="s">
        <v>21</v>
      </c>
      <c r="Q337" s="30" t="s">
        <v>27</v>
      </c>
      <c r="R337" s="22"/>
      <c r="S337" s="7" t="s">
        <v>36</v>
      </c>
      <c r="U337" t="s">
        <v>48</v>
      </c>
      <c r="V337">
        <v>236.5</v>
      </c>
      <c r="W337" s="14" t="str">
        <f t="shared" si="32"/>
        <v>BBABMCN301</v>
      </c>
      <c r="X337" s="14" t="str">
        <f t="shared" si="33"/>
        <v>BBABMCN302</v>
      </c>
      <c r="Y337" s="14" t="str">
        <f t="shared" si="34"/>
        <v>BBABMCN303</v>
      </c>
      <c r="Z337" s="14" t="str">
        <f t="shared" si="35"/>
        <v>BBAENLN301</v>
      </c>
      <c r="AA337" s="14" t="str">
        <f t="shared" si="36"/>
        <v>BBAKALN302</v>
      </c>
      <c r="AB337" s="14" t="str">
        <f t="shared" si="37"/>
        <v>BCACAEN302</v>
      </c>
      <c r="AC337" s="14" t="str">
        <f t="shared" si="38"/>
        <v>COMFISN301</v>
      </c>
      <c r="AD337" s="14" t="str">
        <f t="shared" si="39"/>
        <v xml:space="preserve"> - - + - - </v>
      </c>
    </row>
    <row r="338" spans="5:30" ht="22.5">
      <c r="E338" s="6" t="s">
        <v>280</v>
      </c>
      <c r="F338" s="8" t="s">
        <v>39</v>
      </c>
      <c r="G338" s="9" t="s">
        <v>281</v>
      </c>
      <c r="H338" s="23" t="s">
        <v>282</v>
      </c>
      <c r="I338" s="24"/>
      <c r="J338" s="22"/>
      <c r="K338" s="23" t="s">
        <v>88</v>
      </c>
      <c r="L338" s="22"/>
      <c r="M338" s="9" t="s">
        <v>283</v>
      </c>
      <c r="N338" s="9" t="s">
        <v>284</v>
      </c>
      <c r="O338" s="9" t="s">
        <v>164</v>
      </c>
      <c r="P338" s="9" t="s">
        <v>285</v>
      </c>
      <c r="Q338" s="23" t="s">
        <v>43</v>
      </c>
      <c r="R338" s="22"/>
      <c r="S338" s="8" t="s">
        <v>33</v>
      </c>
      <c r="U338" t="s">
        <v>50</v>
      </c>
      <c r="V338">
        <v>641</v>
      </c>
      <c r="W338" s="14" t="str">
        <f t="shared" si="32"/>
        <v>54.00 + 39.00</v>
      </c>
      <c r="X338" s="14" t="str">
        <f t="shared" si="33"/>
        <v>48.00 + 39.00</v>
      </c>
      <c r="Y338" s="14" t="str">
        <f t="shared" si="34"/>
        <v>60.00 + 40.00</v>
      </c>
      <c r="Z338" s="14" t="str">
        <f t="shared" si="35"/>
        <v>46.00 + 34.00</v>
      </c>
      <c r="AA338" s="14" t="str">
        <f t="shared" si="36"/>
        <v>56.00 + 40.00</v>
      </c>
      <c r="AB338" s="14" t="str">
        <f t="shared" si="37"/>
        <v>53.00 + 36.00</v>
      </c>
      <c r="AC338" s="14" t="str">
        <f t="shared" si="38"/>
        <v>30.00 + 18.00</v>
      </c>
      <c r="AD338" s="14" t="str">
        <f t="shared" si="39"/>
        <v xml:space="preserve"> - - +48.00</v>
      </c>
    </row>
    <row r="339" spans="5:30">
      <c r="E339" s="25"/>
      <c r="F339" s="8" t="s">
        <v>42</v>
      </c>
      <c r="G339" s="9" t="s">
        <v>43</v>
      </c>
      <c r="H339" s="23" t="s">
        <v>43</v>
      </c>
      <c r="I339" s="24"/>
      <c r="J339" s="22"/>
      <c r="K339" s="23" t="s">
        <v>43</v>
      </c>
      <c r="L339" s="22"/>
      <c r="M339" s="9" t="s">
        <v>43</v>
      </c>
      <c r="N339" s="9" t="s">
        <v>43</v>
      </c>
      <c r="O339" s="9" t="s">
        <v>43</v>
      </c>
      <c r="P339" s="9" t="s">
        <v>43</v>
      </c>
      <c r="Q339" s="23" t="s">
        <v>107</v>
      </c>
      <c r="R339" s="22"/>
      <c r="S339" s="8" t="s">
        <v>33</v>
      </c>
      <c r="U339" t="s">
        <v>51</v>
      </c>
      <c r="V339">
        <v>700</v>
      </c>
      <c r="W339" s="14" t="str">
        <f t="shared" si="32"/>
        <v xml:space="preserve"> - - + - - </v>
      </c>
      <c r="X339" s="14" t="str">
        <f t="shared" si="33"/>
        <v xml:space="preserve"> - - + - - </v>
      </c>
      <c r="Y339" s="14" t="str">
        <f t="shared" si="34"/>
        <v xml:space="preserve"> - - + - - </v>
      </c>
      <c r="Z339" s="14" t="str">
        <f t="shared" si="35"/>
        <v xml:space="preserve"> - - + - - </v>
      </c>
      <c r="AA339" s="14" t="str">
        <f t="shared" si="36"/>
        <v xml:space="preserve"> - - + - - </v>
      </c>
      <c r="AB339" s="14" t="str">
        <f t="shared" si="37"/>
        <v xml:space="preserve"> - - + - - </v>
      </c>
      <c r="AC339" s="14" t="str">
        <f t="shared" si="38"/>
        <v xml:space="preserve"> - - + - - </v>
      </c>
      <c r="AD339" s="14" t="str">
        <f t="shared" si="39"/>
        <v/>
      </c>
    </row>
    <row r="340" spans="5:30">
      <c r="E340" s="27"/>
      <c r="F340" s="8" t="s">
        <v>44</v>
      </c>
      <c r="G340" s="9" t="s">
        <v>33</v>
      </c>
      <c r="H340" s="23" t="s">
        <v>33</v>
      </c>
      <c r="I340" s="24"/>
      <c r="J340" s="22"/>
      <c r="K340" s="23" t="s">
        <v>33</v>
      </c>
      <c r="L340" s="22"/>
      <c r="M340" s="9" t="s">
        <v>33</v>
      </c>
      <c r="N340" s="9" t="s">
        <v>33</v>
      </c>
      <c r="O340" s="9" t="s">
        <v>33</v>
      </c>
      <c r="P340" s="9" t="s">
        <v>33</v>
      </c>
      <c r="Q340" s="23" t="s">
        <v>33</v>
      </c>
      <c r="R340" s="22"/>
      <c r="S340" s="8">
        <v>0</v>
      </c>
      <c r="U340" t="s">
        <v>287</v>
      </c>
      <c r="V340" t="s">
        <v>33</v>
      </c>
      <c r="W340" s="14" t="str">
        <f t="shared" si="32"/>
        <v/>
      </c>
      <c r="X340" s="14" t="str">
        <f t="shared" si="33"/>
        <v/>
      </c>
      <c r="Y340" s="14" t="str">
        <f t="shared" si="34"/>
        <v/>
      </c>
      <c r="Z340" s="14" t="str">
        <f t="shared" si="35"/>
        <v/>
      </c>
      <c r="AA340" s="14" t="str">
        <f t="shared" si="36"/>
        <v/>
      </c>
      <c r="AB340" s="14" t="str">
        <f t="shared" si="37"/>
        <v/>
      </c>
      <c r="AC340" s="14" t="str">
        <f t="shared" si="38"/>
        <v/>
      </c>
      <c r="AD340" s="14">
        <f t="shared" si="39"/>
        <v>2</v>
      </c>
    </row>
    <row r="341" spans="5:30">
      <c r="E341" s="29"/>
      <c r="F341" s="8" t="s">
        <v>45</v>
      </c>
      <c r="G341" s="9">
        <v>4</v>
      </c>
      <c r="H341" s="23">
        <v>4</v>
      </c>
      <c r="I341" s="24"/>
      <c r="J341" s="22"/>
      <c r="K341" s="23">
        <v>4</v>
      </c>
      <c r="L341" s="22"/>
      <c r="M341" s="9">
        <v>3</v>
      </c>
      <c r="N341" s="9">
        <v>3</v>
      </c>
      <c r="O341" s="9">
        <v>3</v>
      </c>
      <c r="P341" s="9">
        <v>2</v>
      </c>
      <c r="Q341" s="23">
        <v>2</v>
      </c>
      <c r="R341" s="22"/>
      <c r="S341" s="8">
        <v>25</v>
      </c>
      <c r="U341" t="s">
        <v>56</v>
      </c>
      <c r="V341" t="s">
        <v>33</v>
      </c>
      <c r="W341" s="14">
        <f t="shared" si="32"/>
        <v>4</v>
      </c>
      <c r="X341" s="14">
        <f t="shared" si="33"/>
        <v>4</v>
      </c>
      <c r="Y341" s="14">
        <f t="shared" si="34"/>
        <v>4</v>
      </c>
      <c r="Z341" s="14">
        <f t="shared" si="35"/>
        <v>3</v>
      </c>
      <c r="AA341" s="14">
        <f t="shared" si="36"/>
        <v>3</v>
      </c>
      <c r="AB341" s="14">
        <f t="shared" si="37"/>
        <v>3</v>
      </c>
      <c r="AC341" s="14">
        <f t="shared" si="38"/>
        <v>2</v>
      </c>
      <c r="AD341" s="14">
        <f t="shared" si="39"/>
        <v>10</v>
      </c>
    </row>
    <row r="342" spans="5:30">
      <c r="E342" s="6">
        <v>9.4600000000000009</v>
      </c>
      <c r="F342" s="8" t="s">
        <v>47</v>
      </c>
      <c r="G342" s="9">
        <v>9.5</v>
      </c>
      <c r="H342" s="23">
        <v>9</v>
      </c>
      <c r="I342" s="24"/>
      <c r="J342" s="22"/>
      <c r="K342" s="23">
        <v>10</v>
      </c>
      <c r="L342" s="22"/>
      <c r="M342" s="9">
        <v>8.5</v>
      </c>
      <c r="N342" s="9">
        <v>10</v>
      </c>
      <c r="O342" s="9">
        <v>9</v>
      </c>
      <c r="P342" s="9">
        <v>10</v>
      </c>
      <c r="Q342" s="23">
        <v>10</v>
      </c>
      <c r="R342" s="22"/>
      <c r="S342" s="8" t="s">
        <v>33</v>
      </c>
      <c r="U342" t="s">
        <v>33</v>
      </c>
      <c r="V342" t="s">
        <v>33</v>
      </c>
      <c r="W342" s="14">
        <f t="shared" si="32"/>
        <v>9.5</v>
      </c>
      <c r="X342" s="14">
        <f t="shared" si="33"/>
        <v>9</v>
      </c>
      <c r="Y342" s="14">
        <f t="shared" si="34"/>
        <v>10</v>
      </c>
      <c r="Z342" s="14">
        <f t="shared" si="35"/>
        <v>8.5</v>
      </c>
      <c r="AA342" s="14">
        <f t="shared" si="36"/>
        <v>10</v>
      </c>
      <c r="AB342" s="14">
        <f t="shared" si="37"/>
        <v>9</v>
      </c>
      <c r="AC342" s="14">
        <f t="shared" si="38"/>
        <v>10</v>
      </c>
      <c r="AD342" s="14">
        <f t="shared" si="39"/>
        <v>20</v>
      </c>
    </row>
    <row r="343" spans="5:30">
      <c r="E343" s="10">
        <v>9.19</v>
      </c>
      <c r="F343" s="8" t="s">
        <v>49</v>
      </c>
      <c r="G343" s="9">
        <v>38</v>
      </c>
      <c r="H343" s="23">
        <v>36</v>
      </c>
      <c r="I343" s="24"/>
      <c r="J343" s="22"/>
      <c r="K343" s="23">
        <v>40</v>
      </c>
      <c r="L343" s="22"/>
      <c r="M343" s="9">
        <v>25.5</v>
      </c>
      <c r="N343" s="9">
        <v>30</v>
      </c>
      <c r="O343" s="9">
        <v>27</v>
      </c>
      <c r="P343" s="9">
        <v>20</v>
      </c>
      <c r="Q343" s="23">
        <v>20</v>
      </c>
      <c r="R343" s="22"/>
      <c r="S343" s="8">
        <v>236.5</v>
      </c>
      <c r="U343">
        <v>0</v>
      </c>
      <c r="V343">
        <v>0</v>
      </c>
      <c r="W343" s="14">
        <f t="shared" si="32"/>
        <v>38</v>
      </c>
      <c r="X343" s="14">
        <f t="shared" si="33"/>
        <v>36</v>
      </c>
      <c r="Y343" s="14">
        <f t="shared" si="34"/>
        <v>40</v>
      </c>
      <c r="Z343" s="14">
        <f t="shared" si="35"/>
        <v>25.5</v>
      </c>
      <c r="AA343" s="14">
        <f t="shared" si="36"/>
        <v>30</v>
      </c>
      <c r="AB343" s="14">
        <f t="shared" si="37"/>
        <v>27</v>
      </c>
      <c r="AC343" s="14">
        <f t="shared" si="38"/>
        <v>20</v>
      </c>
      <c r="AD343" s="14">
        <f t="shared" si="39"/>
        <v>48</v>
      </c>
    </row>
    <row r="344" spans="5:30">
      <c r="E344" s="4"/>
      <c r="F344" s="8" t="s">
        <v>36</v>
      </c>
      <c r="G344" s="9">
        <v>93</v>
      </c>
      <c r="H344" s="23">
        <v>87</v>
      </c>
      <c r="I344" s="24"/>
      <c r="J344" s="22"/>
      <c r="K344" s="23">
        <v>100</v>
      </c>
      <c r="L344" s="22"/>
      <c r="M344" s="9">
        <v>80</v>
      </c>
      <c r="N344" s="9">
        <v>96</v>
      </c>
      <c r="O344" s="9">
        <v>89</v>
      </c>
      <c r="P344" s="9">
        <v>48</v>
      </c>
      <c r="Q344" s="23">
        <v>48</v>
      </c>
      <c r="R344" s="22"/>
      <c r="S344" s="8">
        <v>641</v>
      </c>
      <c r="U344">
        <v>0</v>
      </c>
      <c r="V344">
        <v>0</v>
      </c>
      <c r="W344" s="14">
        <f t="shared" si="32"/>
        <v>93</v>
      </c>
      <c r="X344" s="14">
        <f t="shared" si="33"/>
        <v>87</v>
      </c>
      <c r="Y344" s="14">
        <f t="shared" si="34"/>
        <v>100</v>
      </c>
      <c r="Z344" s="14">
        <f t="shared" si="35"/>
        <v>80</v>
      </c>
      <c r="AA344" s="14">
        <f t="shared" si="36"/>
        <v>96</v>
      </c>
      <c r="AB344" s="14">
        <f t="shared" si="37"/>
        <v>89</v>
      </c>
      <c r="AC344" s="14">
        <f t="shared" si="38"/>
        <v>48</v>
      </c>
      <c r="AD344" s="14">
        <f t="shared" si="39"/>
        <v>50</v>
      </c>
    </row>
    <row r="345" spans="5:30">
      <c r="E345" s="6"/>
      <c r="F345" s="8" t="s">
        <v>52</v>
      </c>
      <c r="G345" s="9">
        <v>100</v>
      </c>
      <c r="H345" s="23">
        <v>100</v>
      </c>
      <c r="I345" s="24"/>
      <c r="J345" s="22"/>
      <c r="K345" s="23">
        <v>100</v>
      </c>
      <c r="L345" s="22"/>
      <c r="M345" s="9">
        <v>100</v>
      </c>
      <c r="N345" s="9">
        <v>100</v>
      </c>
      <c r="O345" s="9">
        <v>100</v>
      </c>
      <c r="P345" s="9">
        <v>50</v>
      </c>
      <c r="Q345" s="23">
        <v>50</v>
      </c>
      <c r="R345" s="22"/>
      <c r="S345" s="8">
        <v>700</v>
      </c>
      <c r="U345" t="s">
        <v>31</v>
      </c>
      <c r="V345" t="s">
        <v>33</v>
      </c>
      <c r="W345" s="14">
        <f t="shared" si="32"/>
        <v>100</v>
      </c>
      <c r="X345" s="14">
        <f t="shared" si="33"/>
        <v>100</v>
      </c>
      <c r="Y345" s="14">
        <f t="shared" si="34"/>
        <v>100</v>
      </c>
      <c r="Z345" s="14">
        <f t="shared" si="35"/>
        <v>100</v>
      </c>
      <c r="AA345" s="14">
        <f t="shared" si="36"/>
        <v>100</v>
      </c>
      <c r="AB345" s="14">
        <f t="shared" si="37"/>
        <v>100</v>
      </c>
      <c r="AC345" s="14">
        <f t="shared" si="38"/>
        <v>50</v>
      </c>
      <c r="AD345" s="14" t="str">
        <f t="shared" si="39"/>
        <v>OO+</v>
      </c>
    </row>
    <row r="346" spans="5:30">
      <c r="E346" s="4"/>
      <c r="F346" s="8" t="s">
        <v>54</v>
      </c>
      <c r="G346" s="9" t="s">
        <v>94</v>
      </c>
      <c r="H346" s="23" t="s">
        <v>122</v>
      </c>
      <c r="I346" s="24"/>
      <c r="J346" s="22"/>
      <c r="K346" s="23" t="s">
        <v>93</v>
      </c>
      <c r="L346" s="22"/>
      <c r="M346" s="9" t="s">
        <v>95</v>
      </c>
      <c r="N346" s="9" t="s">
        <v>93</v>
      </c>
      <c r="O346" s="9" t="s">
        <v>122</v>
      </c>
      <c r="P346" s="9" t="s">
        <v>93</v>
      </c>
      <c r="Q346" s="23" t="s">
        <v>93</v>
      </c>
      <c r="R346" s="22"/>
      <c r="S346" s="8" t="s">
        <v>33</v>
      </c>
      <c r="U346" t="s">
        <v>289</v>
      </c>
      <c r="V346" t="s">
        <v>36</v>
      </c>
      <c r="W346" s="14" t="str">
        <f t="shared" si="32"/>
        <v>OO</v>
      </c>
      <c r="X346" s="14" t="str">
        <f t="shared" si="33"/>
        <v>OA+</v>
      </c>
      <c r="Y346" s="14" t="str">
        <f t="shared" si="34"/>
        <v>OO+</v>
      </c>
      <c r="Z346" s="14" t="str">
        <f t="shared" si="35"/>
        <v>OA</v>
      </c>
      <c r="AA346" s="14" t="str">
        <f t="shared" si="36"/>
        <v>OO+</v>
      </c>
      <c r="AB346" s="14" t="str">
        <f t="shared" si="37"/>
        <v>OA+</v>
      </c>
      <c r="AC346" s="14" t="str">
        <f t="shared" si="38"/>
        <v>OO+</v>
      </c>
      <c r="AD346" s="14" t="str">
        <f t="shared" si="39"/>
        <v>Pass</v>
      </c>
    </row>
    <row r="347" spans="5:30">
      <c r="E347" s="11" t="s">
        <v>288</v>
      </c>
      <c r="F347" s="8" t="s">
        <v>58</v>
      </c>
      <c r="G347" s="9" t="s">
        <v>59</v>
      </c>
      <c r="H347" s="23" t="s">
        <v>59</v>
      </c>
      <c r="I347" s="24"/>
      <c r="J347" s="22"/>
      <c r="K347" s="23" t="s">
        <v>59</v>
      </c>
      <c r="L347" s="22"/>
      <c r="M347" s="9" t="s">
        <v>59</v>
      </c>
      <c r="N347" s="9" t="s">
        <v>59</v>
      </c>
      <c r="O347" s="9" t="s">
        <v>59</v>
      </c>
      <c r="P347" s="9" t="s">
        <v>59</v>
      </c>
      <c r="Q347" s="23" t="s">
        <v>59</v>
      </c>
      <c r="R347" s="22"/>
      <c r="S347" s="8" t="s">
        <v>33</v>
      </c>
      <c r="U347" t="s">
        <v>37</v>
      </c>
      <c r="V347" t="s">
        <v>33</v>
      </c>
      <c r="W347" s="14" t="str">
        <f t="shared" si="32"/>
        <v>Pass</v>
      </c>
      <c r="X347" s="14" t="str">
        <f t="shared" si="33"/>
        <v>Pass</v>
      </c>
      <c r="Y347" s="14" t="str">
        <f t="shared" si="34"/>
        <v>Pass</v>
      </c>
      <c r="Z347" s="14" t="str">
        <f t="shared" si="35"/>
        <v>Pass</v>
      </c>
      <c r="AA347" s="14" t="str">
        <f t="shared" si="36"/>
        <v>Pass</v>
      </c>
      <c r="AB347" s="14" t="str">
        <f t="shared" si="37"/>
        <v>Pass</v>
      </c>
      <c r="AC347" s="14" t="str">
        <f t="shared" si="38"/>
        <v>Pass</v>
      </c>
      <c r="AD347" s="14" t="str">
        <f t="shared" si="39"/>
        <v/>
      </c>
    </row>
    <row r="348" spans="5:30">
      <c r="E348" s="12" t="s">
        <v>33</v>
      </c>
      <c r="F348" s="12" t="s">
        <v>33</v>
      </c>
      <c r="G348" s="13" t="s">
        <v>33</v>
      </c>
      <c r="H348" s="20" t="s">
        <v>33</v>
      </c>
      <c r="I348" s="18"/>
      <c r="J348" s="18"/>
      <c r="K348" s="20" t="s">
        <v>33</v>
      </c>
      <c r="L348" s="18"/>
      <c r="M348" s="13" t="s">
        <v>33</v>
      </c>
      <c r="N348" s="13" t="s">
        <v>33</v>
      </c>
      <c r="O348" s="13" t="s">
        <v>33</v>
      </c>
      <c r="P348" s="13" t="s">
        <v>33</v>
      </c>
      <c r="Q348" s="20" t="s">
        <v>33</v>
      </c>
      <c r="R348" s="18"/>
      <c r="S348" s="13" t="s">
        <v>33</v>
      </c>
      <c r="U348" t="s">
        <v>296</v>
      </c>
      <c r="V348" t="s">
        <v>33</v>
      </c>
      <c r="W348" s="14" t="str">
        <f t="shared" si="32"/>
        <v/>
      </c>
      <c r="X348" s="14" t="str">
        <f t="shared" si="33"/>
        <v/>
      </c>
      <c r="Y348" s="14" t="str">
        <f t="shared" si="34"/>
        <v/>
      </c>
      <c r="Z348" s="14" t="str">
        <f t="shared" si="35"/>
        <v/>
      </c>
      <c r="AA348" s="14" t="str">
        <f t="shared" si="36"/>
        <v/>
      </c>
      <c r="AB348" s="14" t="str">
        <f t="shared" si="37"/>
        <v/>
      </c>
      <c r="AC348" s="14" t="str">
        <f t="shared" si="38"/>
        <v/>
      </c>
      <c r="AD348" s="14">
        <f t="shared" si="39"/>
        <v>0</v>
      </c>
    </row>
    <row r="349" spans="5:30" ht="0" hidden="1" customHeight="1">
      <c r="U349">
        <v>0</v>
      </c>
      <c r="V349">
        <v>0</v>
      </c>
      <c r="W349" s="14">
        <f t="shared" si="32"/>
        <v>0</v>
      </c>
      <c r="X349" s="14">
        <f t="shared" si="33"/>
        <v>0</v>
      </c>
      <c r="Y349" s="14">
        <f t="shared" si="34"/>
        <v>0</v>
      </c>
      <c r="Z349" s="14">
        <f t="shared" si="35"/>
        <v>0</v>
      </c>
      <c r="AA349" s="14">
        <f t="shared" si="36"/>
        <v>0</v>
      </c>
      <c r="AB349" s="14">
        <f t="shared" si="37"/>
        <v>0</v>
      </c>
      <c r="AC349" s="14">
        <f t="shared" si="38"/>
        <v>0</v>
      </c>
      <c r="AD349" s="14">
        <f t="shared" si="39"/>
        <v>0</v>
      </c>
    </row>
    <row r="350" spans="5:30" ht="0.6" customHeight="1">
      <c r="U350">
        <v>0</v>
      </c>
      <c r="V350">
        <v>22</v>
      </c>
      <c r="W350" s="14">
        <f t="shared" si="32"/>
        <v>0</v>
      </c>
      <c r="X350" s="14">
        <f t="shared" si="33"/>
        <v>0</v>
      </c>
      <c r="Y350" s="14">
        <f t="shared" si="34"/>
        <v>0</v>
      </c>
      <c r="Z350" s="14">
        <f t="shared" si="35"/>
        <v>0</v>
      </c>
      <c r="AA350" s="14">
        <f t="shared" si="36"/>
        <v>0</v>
      </c>
      <c r="AB350" s="14">
        <f t="shared" si="37"/>
        <v>0</v>
      </c>
      <c r="AC350" s="14">
        <f t="shared" si="38"/>
        <v>0</v>
      </c>
      <c r="AD350" s="14" t="str">
        <f t="shared" si="39"/>
        <v/>
      </c>
    </row>
    <row r="351" spans="5:30">
      <c r="E351" s="4"/>
      <c r="F351" s="3" t="s">
        <v>32</v>
      </c>
      <c r="G351" s="5" t="s">
        <v>33</v>
      </c>
      <c r="H351" s="32" t="s">
        <v>33</v>
      </c>
      <c r="I351" s="18"/>
      <c r="J351" s="18"/>
      <c r="K351" s="32" t="s">
        <v>33</v>
      </c>
      <c r="L351" s="18"/>
      <c r="M351" s="5" t="s">
        <v>33</v>
      </c>
      <c r="N351" s="5" t="s">
        <v>33</v>
      </c>
      <c r="O351" s="5" t="s">
        <v>33</v>
      </c>
      <c r="P351" s="5" t="s">
        <v>33</v>
      </c>
      <c r="Q351" s="32" t="s">
        <v>33</v>
      </c>
      <c r="R351" s="18"/>
      <c r="S351" s="5" t="s">
        <v>33</v>
      </c>
      <c r="U351" t="s">
        <v>46</v>
      </c>
      <c r="V351" t="s">
        <v>33</v>
      </c>
      <c r="W351" s="14" t="str">
        <f t="shared" si="32"/>
        <v/>
      </c>
      <c r="X351" s="14" t="str">
        <f t="shared" si="33"/>
        <v/>
      </c>
      <c r="Y351" s="14" t="str">
        <f t="shared" si="34"/>
        <v/>
      </c>
      <c r="Z351" s="14" t="str">
        <f t="shared" si="35"/>
        <v/>
      </c>
      <c r="AA351" s="14" t="str">
        <f t="shared" si="36"/>
        <v/>
      </c>
      <c r="AB351" s="14" t="str">
        <f t="shared" si="37"/>
        <v/>
      </c>
      <c r="AC351" s="14" t="str">
        <f t="shared" si="38"/>
        <v/>
      </c>
      <c r="AD351" s="14" t="str">
        <f t="shared" si="39"/>
        <v>COMRRSN302</v>
      </c>
    </row>
    <row r="352" spans="5:30" ht="21">
      <c r="E352" s="4"/>
      <c r="F352" s="7" t="s">
        <v>35</v>
      </c>
      <c r="G352" s="7" t="s">
        <v>5</v>
      </c>
      <c r="H352" s="30" t="s">
        <v>7</v>
      </c>
      <c r="I352" s="24"/>
      <c r="J352" s="22"/>
      <c r="K352" s="30" t="s">
        <v>9</v>
      </c>
      <c r="L352" s="22"/>
      <c r="M352" s="7" t="s">
        <v>11</v>
      </c>
      <c r="N352" s="7" t="s">
        <v>15</v>
      </c>
      <c r="O352" s="7" t="s">
        <v>17</v>
      </c>
      <c r="P352" s="7" t="s">
        <v>21</v>
      </c>
      <c r="Q352" s="30" t="s">
        <v>27</v>
      </c>
      <c r="R352" s="22"/>
      <c r="S352" s="7" t="s">
        <v>36</v>
      </c>
      <c r="U352" t="s">
        <v>48</v>
      </c>
      <c r="V352">
        <v>170</v>
      </c>
      <c r="W352" s="14" t="str">
        <f t="shared" si="32"/>
        <v>BBABMCN301</v>
      </c>
      <c r="X352" s="14" t="str">
        <f t="shared" si="33"/>
        <v>BBABMCN302</v>
      </c>
      <c r="Y352" s="14" t="str">
        <f t="shared" si="34"/>
        <v>BBABMCN303</v>
      </c>
      <c r="Z352" s="14" t="str">
        <f t="shared" si="35"/>
        <v>BBAENLN301</v>
      </c>
      <c r="AA352" s="14" t="str">
        <f t="shared" si="36"/>
        <v>BBAKALN302</v>
      </c>
      <c r="AB352" s="14" t="str">
        <f t="shared" si="37"/>
        <v>BCACAEN302</v>
      </c>
      <c r="AC352" s="14" t="str">
        <f t="shared" si="38"/>
        <v>COMFISN301</v>
      </c>
      <c r="AD352" s="14" t="str">
        <f t="shared" si="39"/>
        <v xml:space="preserve"> - - + - - </v>
      </c>
    </row>
    <row r="353" spans="5:30" ht="22.5">
      <c r="E353" s="6" t="s">
        <v>290</v>
      </c>
      <c r="F353" s="8" t="s">
        <v>39</v>
      </c>
      <c r="G353" s="9" t="s">
        <v>179</v>
      </c>
      <c r="H353" s="23" t="s">
        <v>291</v>
      </c>
      <c r="I353" s="24"/>
      <c r="J353" s="22"/>
      <c r="K353" s="23" t="s">
        <v>292</v>
      </c>
      <c r="L353" s="22"/>
      <c r="M353" s="9" t="s">
        <v>114</v>
      </c>
      <c r="N353" s="9" t="s">
        <v>293</v>
      </c>
      <c r="O353" s="9" t="s">
        <v>294</v>
      </c>
      <c r="P353" s="9" t="s">
        <v>295</v>
      </c>
      <c r="Q353" s="23" t="s">
        <v>43</v>
      </c>
      <c r="R353" s="22"/>
      <c r="S353" s="8" t="s">
        <v>33</v>
      </c>
      <c r="U353" t="s">
        <v>65</v>
      </c>
      <c r="V353">
        <v>471</v>
      </c>
      <c r="W353" s="14" t="str">
        <f t="shared" si="32"/>
        <v>28.00 + 26.00</v>
      </c>
      <c r="X353" s="14" t="str">
        <f t="shared" si="33"/>
        <v>36.00 + 31.00</v>
      </c>
      <c r="Y353" s="14" t="str">
        <f t="shared" si="34"/>
        <v>57.00 + 38.00</v>
      </c>
      <c r="Z353" s="14" t="str">
        <f t="shared" si="35"/>
        <v>43.00 + 30.00</v>
      </c>
      <c r="AA353" s="14" t="str">
        <f t="shared" si="36"/>
        <v>36.00 + 37.00</v>
      </c>
      <c r="AB353" s="14" t="str">
        <f t="shared" si="37"/>
        <v>4.00 + 20.00</v>
      </c>
      <c r="AC353" s="14" t="str">
        <f t="shared" si="38"/>
        <v>19.00 + 17.00</v>
      </c>
      <c r="AD353" s="14" t="str">
        <f t="shared" si="39"/>
        <v xml:space="preserve"> - - +49.00</v>
      </c>
    </row>
    <row r="354" spans="5:30">
      <c r="E354" s="25"/>
      <c r="F354" s="8" t="s">
        <v>42</v>
      </c>
      <c r="G354" s="9" t="s">
        <v>43</v>
      </c>
      <c r="H354" s="23" t="s">
        <v>43</v>
      </c>
      <c r="I354" s="24"/>
      <c r="J354" s="22"/>
      <c r="K354" s="23" t="s">
        <v>43</v>
      </c>
      <c r="L354" s="22"/>
      <c r="M354" s="9" t="s">
        <v>43</v>
      </c>
      <c r="N354" s="9" t="s">
        <v>43</v>
      </c>
      <c r="O354" s="9" t="s">
        <v>43</v>
      </c>
      <c r="P354" s="9" t="s">
        <v>43</v>
      </c>
      <c r="Q354" s="23" t="s">
        <v>120</v>
      </c>
      <c r="R354" s="22"/>
      <c r="S354" s="8" t="s">
        <v>33</v>
      </c>
      <c r="U354" t="s">
        <v>51</v>
      </c>
      <c r="V354">
        <v>700</v>
      </c>
      <c r="W354" s="14" t="str">
        <f t="shared" si="32"/>
        <v xml:space="preserve"> - - + - - </v>
      </c>
      <c r="X354" s="14" t="str">
        <f t="shared" si="33"/>
        <v xml:space="preserve"> - - + - - </v>
      </c>
      <c r="Y354" s="14" t="str">
        <f t="shared" si="34"/>
        <v xml:space="preserve"> - - + - - </v>
      </c>
      <c r="Z354" s="14" t="str">
        <f t="shared" si="35"/>
        <v xml:space="preserve"> - - + - - </v>
      </c>
      <c r="AA354" s="14" t="str">
        <f t="shared" si="36"/>
        <v xml:space="preserve"> - - + - - </v>
      </c>
      <c r="AB354" s="14" t="str">
        <f t="shared" si="37"/>
        <v xml:space="preserve"> - - + - - </v>
      </c>
      <c r="AC354" s="14" t="str">
        <f t="shared" si="38"/>
        <v xml:space="preserve"> - - + - - </v>
      </c>
      <c r="AD354" s="14" t="str">
        <f t="shared" si="39"/>
        <v/>
      </c>
    </row>
    <row r="355" spans="5:30">
      <c r="E355" s="27"/>
      <c r="F355" s="8" t="s">
        <v>44</v>
      </c>
      <c r="G355" s="9" t="s">
        <v>33</v>
      </c>
      <c r="H355" s="23" t="s">
        <v>33</v>
      </c>
      <c r="I355" s="24"/>
      <c r="J355" s="22"/>
      <c r="K355" s="23" t="s">
        <v>33</v>
      </c>
      <c r="L355" s="22"/>
      <c r="M355" s="9" t="s">
        <v>33</v>
      </c>
      <c r="N355" s="9" t="s">
        <v>33</v>
      </c>
      <c r="O355" s="9" t="s">
        <v>33</v>
      </c>
      <c r="P355" s="9" t="s">
        <v>33</v>
      </c>
      <c r="Q355" s="23" t="s">
        <v>33</v>
      </c>
      <c r="R355" s="22"/>
      <c r="S355" s="8">
        <v>0</v>
      </c>
      <c r="U355" t="s">
        <v>66</v>
      </c>
      <c r="V355" t="s">
        <v>33</v>
      </c>
      <c r="W355" s="14" t="str">
        <f t="shared" si="32"/>
        <v/>
      </c>
      <c r="X355" s="14" t="str">
        <f t="shared" si="33"/>
        <v/>
      </c>
      <c r="Y355" s="14" t="str">
        <f t="shared" si="34"/>
        <v/>
      </c>
      <c r="Z355" s="14" t="str">
        <f t="shared" si="35"/>
        <v/>
      </c>
      <c r="AA355" s="14" t="str">
        <f t="shared" si="36"/>
        <v/>
      </c>
      <c r="AB355" s="14" t="str">
        <f t="shared" si="37"/>
        <v/>
      </c>
      <c r="AC355" s="14" t="str">
        <f t="shared" si="38"/>
        <v/>
      </c>
      <c r="AD355" s="14">
        <f t="shared" si="39"/>
        <v>2</v>
      </c>
    </row>
    <row r="356" spans="5:30">
      <c r="E356" s="29"/>
      <c r="F356" s="8" t="s">
        <v>45</v>
      </c>
      <c r="G356" s="9">
        <v>4</v>
      </c>
      <c r="H356" s="23">
        <v>4</v>
      </c>
      <c r="I356" s="24"/>
      <c r="J356" s="22"/>
      <c r="K356" s="23">
        <v>4</v>
      </c>
      <c r="L356" s="22"/>
      <c r="M356" s="9">
        <v>3</v>
      </c>
      <c r="N356" s="9">
        <v>3</v>
      </c>
      <c r="O356" s="9">
        <v>3</v>
      </c>
      <c r="P356" s="9">
        <v>2</v>
      </c>
      <c r="Q356" s="23">
        <v>2</v>
      </c>
      <c r="R356" s="22"/>
      <c r="S356" s="8">
        <v>22</v>
      </c>
      <c r="U356" t="s">
        <v>56</v>
      </c>
      <c r="V356" t="s">
        <v>33</v>
      </c>
      <c r="W356" s="14">
        <f t="shared" si="32"/>
        <v>4</v>
      </c>
      <c r="X356" s="14">
        <f t="shared" si="33"/>
        <v>4</v>
      </c>
      <c r="Y356" s="14">
        <f t="shared" si="34"/>
        <v>4</v>
      </c>
      <c r="Z356" s="14">
        <f t="shared" si="35"/>
        <v>3</v>
      </c>
      <c r="AA356" s="14">
        <f t="shared" si="36"/>
        <v>3</v>
      </c>
      <c r="AB356" s="14">
        <f t="shared" si="37"/>
        <v>3</v>
      </c>
      <c r="AC356" s="14">
        <f t="shared" si="38"/>
        <v>2</v>
      </c>
      <c r="AD356" s="14">
        <f t="shared" si="39"/>
        <v>10</v>
      </c>
    </row>
    <row r="357" spans="5:30">
      <c r="E357" s="6"/>
      <c r="F357" s="8" t="s">
        <v>47</v>
      </c>
      <c r="G357" s="9">
        <v>5.5</v>
      </c>
      <c r="H357" s="23">
        <v>7</v>
      </c>
      <c r="I357" s="24"/>
      <c r="J357" s="22"/>
      <c r="K357" s="23">
        <v>10</v>
      </c>
      <c r="L357" s="22"/>
      <c r="M357" s="9">
        <v>7.5</v>
      </c>
      <c r="N357" s="9">
        <v>7.5</v>
      </c>
      <c r="O357" s="9"/>
      <c r="P357" s="9">
        <v>7.5</v>
      </c>
      <c r="Q357" s="23">
        <v>10</v>
      </c>
      <c r="R357" s="22"/>
      <c r="S357" s="8" t="s">
        <v>33</v>
      </c>
      <c r="U357" t="s">
        <v>33</v>
      </c>
      <c r="V357" t="s">
        <v>33</v>
      </c>
      <c r="W357" s="14">
        <f t="shared" si="32"/>
        <v>5.5</v>
      </c>
      <c r="X357" s="14">
        <f t="shared" si="33"/>
        <v>7</v>
      </c>
      <c r="Y357" s="14">
        <f t="shared" si="34"/>
        <v>10</v>
      </c>
      <c r="Z357" s="14">
        <f t="shared" si="35"/>
        <v>7.5</v>
      </c>
      <c r="AA357" s="14">
        <f t="shared" si="36"/>
        <v>7.5</v>
      </c>
      <c r="AB357" s="14">
        <f t="shared" si="37"/>
        <v>0</v>
      </c>
      <c r="AC357" s="14">
        <f t="shared" si="38"/>
        <v>7.5</v>
      </c>
      <c r="AD357" s="14">
        <f t="shared" si="39"/>
        <v>20</v>
      </c>
    </row>
    <row r="358" spans="5:30">
      <c r="E358" s="6"/>
      <c r="F358" s="8" t="s">
        <v>49</v>
      </c>
      <c r="G358" s="9">
        <v>22</v>
      </c>
      <c r="H358" s="23">
        <v>28</v>
      </c>
      <c r="I358" s="24"/>
      <c r="J358" s="22"/>
      <c r="K358" s="23">
        <v>40</v>
      </c>
      <c r="L358" s="22"/>
      <c r="M358" s="9">
        <v>22.5</v>
      </c>
      <c r="N358" s="9">
        <v>22.5</v>
      </c>
      <c r="O358" s="9"/>
      <c r="P358" s="9">
        <v>15</v>
      </c>
      <c r="Q358" s="23">
        <v>20</v>
      </c>
      <c r="R358" s="22"/>
      <c r="S358" s="8">
        <v>170</v>
      </c>
      <c r="U358">
        <v>0</v>
      </c>
      <c r="V358">
        <v>0</v>
      </c>
      <c r="W358" s="14">
        <f t="shared" si="32"/>
        <v>22</v>
      </c>
      <c r="X358" s="14">
        <f t="shared" si="33"/>
        <v>28</v>
      </c>
      <c r="Y358" s="14">
        <f t="shared" si="34"/>
        <v>40</v>
      </c>
      <c r="Z358" s="14">
        <f t="shared" si="35"/>
        <v>22.5</v>
      </c>
      <c r="AA358" s="14">
        <f t="shared" si="36"/>
        <v>22.5</v>
      </c>
      <c r="AB358" s="14">
        <f t="shared" si="37"/>
        <v>0</v>
      </c>
      <c r="AC358" s="14">
        <f t="shared" si="38"/>
        <v>15</v>
      </c>
      <c r="AD358" s="14">
        <f t="shared" si="39"/>
        <v>49</v>
      </c>
    </row>
    <row r="359" spans="5:30">
      <c r="E359" s="4"/>
      <c r="F359" s="8" t="s">
        <v>36</v>
      </c>
      <c r="G359" s="9">
        <v>54</v>
      </c>
      <c r="H359" s="23">
        <v>67</v>
      </c>
      <c r="I359" s="24"/>
      <c r="J359" s="22"/>
      <c r="K359" s="23">
        <v>95</v>
      </c>
      <c r="L359" s="22"/>
      <c r="M359" s="9">
        <v>73</v>
      </c>
      <c r="N359" s="9">
        <v>73</v>
      </c>
      <c r="O359" s="9">
        <v>24</v>
      </c>
      <c r="P359" s="9">
        <v>36</v>
      </c>
      <c r="Q359" s="23">
        <v>49</v>
      </c>
      <c r="R359" s="22"/>
      <c r="S359" s="8">
        <v>471</v>
      </c>
      <c r="U359">
        <v>0</v>
      </c>
      <c r="V359">
        <v>0</v>
      </c>
      <c r="W359" s="14">
        <f t="shared" si="32"/>
        <v>54</v>
      </c>
      <c r="X359" s="14">
        <f t="shared" si="33"/>
        <v>67</v>
      </c>
      <c r="Y359" s="14">
        <f t="shared" si="34"/>
        <v>95</v>
      </c>
      <c r="Z359" s="14">
        <f t="shared" si="35"/>
        <v>73</v>
      </c>
      <c r="AA359" s="14">
        <f t="shared" si="36"/>
        <v>73</v>
      </c>
      <c r="AB359" s="14">
        <f t="shared" si="37"/>
        <v>24</v>
      </c>
      <c r="AC359" s="14">
        <f t="shared" si="38"/>
        <v>36</v>
      </c>
      <c r="AD359" s="14">
        <f t="shared" si="39"/>
        <v>50</v>
      </c>
    </row>
    <row r="360" spans="5:30">
      <c r="E360" s="6"/>
      <c r="F360" s="8" t="s">
        <v>52</v>
      </c>
      <c r="G360" s="9">
        <v>100</v>
      </c>
      <c r="H360" s="23">
        <v>100</v>
      </c>
      <c r="I360" s="24"/>
      <c r="J360" s="22"/>
      <c r="K360" s="23">
        <v>100</v>
      </c>
      <c r="L360" s="22"/>
      <c r="M360" s="9">
        <v>100</v>
      </c>
      <c r="N360" s="9">
        <v>100</v>
      </c>
      <c r="O360" s="9">
        <v>100</v>
      </c>
      <c r="P360" s="9">
        <v>50</v>
      </c>
      <c r="Q360" s="23">
        <v>50</v>
      </c>
      <c r="R360" s="22"/>
      <c r="S360" s="8">
        <v>700</v>
      </c>
      <c r="U360" t="s">
        <v>31</v>
      </c>
      <c r="V360" t="s">
        <v>33</v>
      </c>
      <c r="W360" s="14">
        <f t="shared" si="32"/>
        <v>100</v>
      </c>
      <c r="X360" s="14">
        <f t="shared" si="33"/>
        <v>100</v>
      </c>
      <c r="Y360" s="14">
        <f t="shared" si="34"/>
        <v>100</v>
      </c>
      <c r="Z360" s="14">
        <f t="shared" si="35"/>
        <v>100</v>
      </c>
      <c r="AA360" s="14">
        <f t="shared" si="36"/>
        <v>100</v>
      </c>
      <c r="AB360" s="14">
        <f t="shared" si="37"/>
        <v>100</v>
      </c>
      <c r="AC360" s="14">
        <f t="shared" si="38"/>
        <v>50</v>
      </c>
      <c r="AD360" s="14" t="str">
        <f t="shared" si="39"/>
        <v>OO+</v>
      </c>
    </row>
    <row r="361" spans="5:30">
      <c r="E361" s="4"/>
      <c r="F361" s="8" t="s">
        <v>54</v>
      </c>
      <c r="G361" s="9" t="s">
        <v>123</v>
      </c>
      <c r="H361" s="23" t="s">
        <v>109</v>
      </c>
      <c r="I361" s="24"/>
      <c r="J361" s="22"/>
      <c r="K361" s="23" t="s">
        <v>93</v>
      </c>
      <c r="L361" s="22"/>
      <c r="M361" s="9" t="s">
        <v>108</v>
      </c>
      <c r="N361" s="9" t="s">
        <v>108</v>
      </c>
      <c r="O361" s="9"/>
      <c r="P361" s="9" t="s">
        <v>108</v>
      </c>
      <c r="Q361" s="23" t="s">
        <v>93</v>
      </c>
      <c r="R361" s="22"/>
      <c r="S361" s="8" t="s">
        <v>33</v>
      </c>
      <c r="U361" t="s">
        <v>298</v>
      </c>
      <c r="V361" t="s">
        <v>36</v>
      </c>
      <c r="W361" s="14" t="str">
        <f t="shared" si="32"/>
        <v>BB</v>
      </c>
      <c r="X361" s="14" t="str">
        <f t="shared" si="33"/>
        <v>AB+</v>
      </c>
      <c r="Y361" s="14" t="str">
        <f t="shared" si="34"/>
        <v>OO+</v>
      </c>
      <c r="Z361" s="14" t="str">
        <f t="shared" si="35"/>
        <v>AA</v>
      </c>
      <c r="AA361" s="14" t="str">
        <f t="shared" si="36"/>
        <v>AA</v>
      </c>
      <c r="AB361" s="14">
        <f t="shared" si="37"/>
        <v>0</v>
      </c>
      <c r="AC361" s="14" t="str">
        <f t="shared" si="38"/>
        <v>AA</v>
      </c>
      <c r="AD361" s="14" t="str">
        <f t="shared" si="39"/>
        <v>Pass</v>
      </c>
    </row>
    <row r="362" spans="5:30">
      <c r="E362" s="11" t="s">
        <v>297</v>
      </c>
      <c r="F362" s="8" t="s">
        <v>58</v>
      </c>
      <c r="G362" s="9" t="s">
        <v>59</v>
      </c>
      <c r="H362" s="23" t="s">
        <v>59</v>
      </c>
      <c r="I362" s="24"/>
      <c r="J362" s="22"/>
      <c r="K362" s="23" t="s">
        <v>59</v>
      </c>
      <c r="L362" s="22"/>
      <c r="M362" s="9" t="s">
        <v>59</v>
      </c>
      <c r="N362" s="9" t="s">
        <v>59</v>
      </c>
      <c r="O362" s="9" t="s">
        <v>68</v>
      </c>
      <c r="P362" s="9" t="s">
        <v>59</v>
      </c>
      <c r="Q362" s="23" t="s">
        <v>59</v>
      </c>
      <c r="R362" s="22"/>
      <c r="S362" s="8" t="s">
        <v>33</v>
      </c>
      <c r="U362" t="s">
        <v>37</v>
      </c>
      <c r="V362" t="s">
        <v>33</v>
      </c>
      <c r="W362" s="14" t="str">
        <f t="shared" si="32"/>
        <v>Pass</v>
      </c>
      <c r="X362" s="14" t="str">
        <f t="shared" si="33"/>
        <v>Pass</v>
      </c>
      <c r="Y362" s="14" t="str">
        <f t="shared" si="34"/>
        <v>Pass</v>
      </c>
      <c r="Z362" s="14" t="str">
        <f t="shared" si="35"/>
        <v>Pass</v>
      </c>
      <c r="AA362" s="14" t="str">
        <f t="shared" si="36"/>
        <v>Pass</v>
      </c>
      <c r="AB362" s="14" t="str">
        <f t="shared" si="37"/>
        <v>Fail</v>
      </c>
      <c r="AC362" s="14" t="str">
        <f t="shared" si="38"/>
        <v>Pass</v>
      </c>
      <c r="AD362" s="14" t="str">
        <f t="shared" si="39"/>
        <v/>
      </c>
    </row>
    <row r="363" spans="5:30">
      <c r="E363" s="12" t="s">
        <v>33</v>
      </c>
      <c r="F363" s="12" t="s">
        <v>33</v>
      </c>
      <c r="G363" s="13" t="s">
        <v>33</v>
      </c>
      <c r="H363" s="20" t="s">
        <v>33</v>
      </c>
      <c r="I363" s="18"/>
      <c r="J363" s="18"/>
      <c r="K363" s="20" t="s">
        <v>33</v>
      </c>
      <c r="L363" s="18"/>
      <c r="M363" s="13" t="s">
        <v>33</v>
      </c>
      <c r="N363" s="13" t="s">
        <v>33</v>
      </c>
      <c r="O363" s="13" t="s">
        <v>33</v>
      </c>
      <c r="P363" s="13" t="s">
        <v>33</v>
      </c>
      <c r="Q363" s="20" t="s">
        <v>33</v>
      </c>
      <c r="R363" s="18"/>
      <c r="S363" s="13" t="s">
        <v>33</v>
      </c>
      <c r="U363" t="s">
        <v>305</v>
      </c>
      <c r="V363" t="s">
        <v>33</v>
      </c>
      <c r="W363" s="14" t="str">
        <f t="shared" si="32"/>
        <v/>
      </c>
      <c r="X363" s="14" t="str">
        <f t="shared" si="33"/>
        <v/>
      </c>
      <c r="Y363" s="14" t="str">
        <f t="shared" si="34"/>
        <v/>
      </c>
      <c r="Z363" s="14" t="str">
        <f t="shared" si="35"/>
        <v/>
      </c>
      <c r="AA363" s="14" t="str">
        <f t="shared" si="36"/>
        <v/>
      </c>
      <c r="AB363" s="14" t="str">
        <f t="shared" si="37"/>
        <v/>
      </c>
      <c r="AC363" s="14" t="str">
        <f t="shared" si="38"/>
        <v/>
      </c>
      <c r="AD363" s="14">
        <f t="shared" si="39"/>
        <v>0</v>
      </c>
    </row>
    <row r="364" spans="5:30" ht="0" hidden="1" customHeight="1">
      <c r="U364">
        <v>0</v>
      </c>
      <c r="V364">
        <v>0</v>
      </c>
      <c r="W364" s="14">
        <f t="shared" si="32"/>
        <v>0</v>
      </c>
      <c r="X364" s="14">
        <f t="shared" si="33"/>
        <v>0</v>
      </c>
      <c r="Y364" s="14">
        <f t="shared" si="34"/>
        <v>0</v>
      </c>
      <c r="Z364" s="14">
        <f t="shared" si="35"/>
        <v>0</v>
      </c>
      <c r="AA364" s="14">
        <f t="shared" si="36"/>
        <v>0</v>
      </c>
      <c r="AB364" s="14">
        <f t="shared" si="37"/>
        <v>0</v>
      </c>
      <c r="AC364" s="14">
        <f t="shared" si="38"/>
        <v>0</v>
      </c>
      <c r="AD364" s="14">
        <f t="shared" si="39"/>
        <v>0</v>
      </c>
    </row>
    <row r="365" spans="5:30" ht="0.6" customHeight="1">
      <c r="U365">
        <v>0</v>
      </c>
      <c r="V365">
        <v>25</v>
      </c>
      <c r="W365" s="14">
        <f t="shared" si="32"/>
        <v>0</v>
      </c>
      <c r="X365" s="14">
        <f t="shared" si="33"/>
        <v>0</v>
      </c>
      <c r="Y365" s="14">
        <f t="shared" si="34"/>
        <v>0</v>
      </c>
      <c r="Z365" s="14">
        <f t="shared" si="35"/>
        <v>0</v>
      </c>
      <c r="AA365" s="14">
        <f t="shared" si="36"/>
        <v>0</v>
      </c>
      <c r="AB365" s="14">
        <f t="shared" si="37"/>
        <v>0</v>
      </c>
      <c r="AC365" s="14">
        <f t="shared" si="38"/>
        <v>0</v>
      </c>
      <c r="AD365" s="14" t="str">
        <f t="shared" si="39"/>
        <v/>
      </c>
    </row>
    <row r="366" spans="5:30">
      <c r="E366" s="4"/>
      <c r="F366" s="3" t="s">
        <v>32</v>
      </c>
      <c r="G366" s="5" t="s">
        <v>33</v>
      </c>
      <c r="H366" s="32" t="s">
        <v>33</v>
      </c>
      <c r="I366" s="18"/>
      <c r="J366" s="18"/>
      <c r="K366" s="32" t="s">
        <v>33</v>
      </c>
      <c r="L366" s="18"/>
      <c r="M366" s="5" t="s">
        <v>33</v>
      </c>
      <c r="N366" s="5" t="s">
        <v>33</v>
      </c>
      <c r="O366" s="5" t="s">
        <v>33</v>
      </c>
      <c r="P366" s="5" t="s">
        <v>33</v>
      </c>
      <c r="Q366" s="32" t="s">
        <v>33</v>
      </c>
      <c r="R366" s="18"/>
      <c r="S366" s="5" t="s">
        <v>33</v>
      </c>
      <c r="U366" t="s">
        <v>46</v>
      </c>
      <c r="V366" t="s">
        <v>33</v>
      </c>
      <c r="W366" s="14" t="str">
        <f t="shared" si="32"/>
        <v/>
      </c>
      <c r="X366" s="14" t="str">
        <f t="shared" si="33"/>
        <v/>
      </c>
      <c r="Y366" s="14" t="str">
        <f t="shared" si="34"/>
        <v/>
      </c>
      <c r="Z366" s="14" t="str">
        <f t="shared" si="35"/>
        <v/>
      </c>
      <c r="AA366" s="14" t="str">
        <f t="shared" si="36"/>
        <v/>
      </c>
      <c r="AB366" s="14" t="str">
        <f t="shared" si="37"/>
        <v/>
      </c>
      <c r="AC366" s="14" t="str">
        <f t="shared" si="38"/>
        <v/>
      </c>
      <c r="AD366" s="14" t="str">
        <f t="shared" si="39"/>
        <v>COMFISN301</v>
      </c>
    </row>
    <row r="367" spans="5:30" ht="21">
      <c r="E367" s="4"/>
      <c r="F367" s="7" t="s">
        <v>35</v>
      </c>
      <c r="G367" s="7" t="s">
        <v>5</v>
      </c>
      <c r="H367" s="30" t="s">
        <v>7</v>
      </c>
      <c r="I367" s="24"/>
      <c r="J367" s="22"/>
      <c r="K367" s="30" t="s">
        <v>9</v>
      </c>
      <c r="L367" s="22"/>
      <c r="M367" s="7" t="s">
        <v>11</v>
      </c>
      <c r="N367" s="7" t="s">
        <v>15</v>
      </c>
      <c r="O367" s="7" t="s">
        <v>17</v>
      </c>
      <c r="P367" s="7" t="s">
        <v>19</v>
      </c>
      <c r="Q367" s="30" t="s">
        <v>21</v>
      </c>
      <c r="R367" s="22"/>
      <c r="S367" s="7" t="s">
        <v>36</v>
      </c>
      <c r="U367" t="s">
        <v>48</v>
      </c>
      <c r="V367">
        <v>193.5</v>
      </c>
      <c r="W367" s="14" t="str">
        <f t="shared" si="32"/>
        <v>BBABMCN301</v>
      </c>
      <c r="X367" s="14" t="str">
        <f t="shared" si="33"/>
        <v>BBABMCN302</v>
      </c>
      <c r="Y367" s="14" t="str">
        <f t="shared" si="34"/>
        <v>BBABMCN303</v>
      </c>
      <c r="Z367" s="14" t="str">
        <f t="shared" si="35"/>
        <v>BBAENLN301</v>
      </c>
      <c r="AA367" s="14" t="str">
        <f t="shared" si="36"/>
        <v>BBAKALN302</v>
      </c>
      <c r="AB367" s="14" t="str">
        <f t="shared" si="37"/>
        <v>BCACAEN302</v>
      </c>
      <c r="AC367" s="14" t="str">
        <f t="shared" si="38"/>
        <v>COMCUSN302</v>
      </c>
      <c r="AD367" s="14" t="str">
        <f t="shared" si="39"/>
        <v>25.00 + 17.00</v>
      </c>
    </row>
    <row r="368" spans="5:30" ht="22.5">
      <c r="E368" s="6" t="s">
        <v>299</v>
      </c>
      <c r="F368" s="8" t="s">
        <v>39</v>
      </c>
      <c r="G368" s="9" t="s">
        <v>300</v>
      </c>
      <c r="H368" s="23" t="s">
        <v>301</v>
      </c>
      <c r="I368" s="24"/>
      <c r="J368" s="22"/>
      <c r="K368" s="23" t="s">
        <v>185</v>
      </c>
      <c r="L368" s="22"/>
      <c r="M368" s="9" t="s">
        <v>102</v>
      </c>
      <c r="N368" s="9" t="s">
        <v>302</v>
      </c>
      <c r="O368" s="9" t="s">
        <v>303</v>
      </c>
      <c r="P368" s="9" t="s">
        <v>43</v>
      </c>
      <c r="Q368" s="23" t="s">
        <v>304</v>
      </c>
      <c r="R368" s="22"/>
      <c r="S368" s="8" t="s">
        <v>33</v>
      </c>
      <c r="U368" t="s">
        <v>50</v>
      </c>
      <c r="V368">
        <v>516</v>
      </c>
      <c r="W368" s="14" t="str">
        <f t="shared" si="32"/>
        <v>37.00 + 30.00</v>
      </c>
      <c r="X368" s="14" t="str">
        <f t="shared" si="33"/>
        <v>41.00 + 32.00</v>
      </c>
      <c r="Y368" s="14" t="str">
        <f t="shared" si="34"/>
        <v>50.00 + 33.00</v>
      </c>
      <c r="Z368" s="14" t="str">
        <f t="shared" si="35"/>
        <v>39.00 + 27.00</v>
      </c>
      <c r="AA368" s="14" t="str">
        <f t="shared" si="36"/>
        <v>51.00 + 34.00</v>
      </c>
      <c r="AB368" s="14" t="str">
        <f t="shared" si="37"/>
        <v>29.00 + 22.00</v>
      </c>
      <c r="AC368" s="14" t="str">
        <f t="shared" si="38"/>
        <v xml:space="preserve"> - - + - - </v>
      </c>
      <c r="AD368" s="14" t="str">
        <f t="shared" si="39"/>
        <v xml:space="preserve"> - - + - - </v>
      </c>
    </row>
    <row r="369" spans="5:30">
      <c r="E369" s="25"/>
      <c r="F369" s="8" t="s">
        <v>42</v>
      </c>
      <c r="G369" s="9" t="s">
        <v>43</v>
      </c>
      <c r="H369" s="23" t="s">
        <v>43</v>
      </c>
      <c r="I369" s="24"/>
      <c r="J369" s="22"/>
      <c r="K369" s="23" t="s">
        <v>43</v>
      </c>
      <c r="L369" s="22"/>
      <c r="M369" s="9" t="s">
        <v>43</v>
      </c>
      <c r="N369" s="9" t="s">
        <v>43</v>
      </c>
      <c r="O369" s="9" t="s">
        <v>43</v>
      </c>
      <c r="P369" s="9" t="s">
        <v>120</v>
      </c>
      <c r="Q369" s="23" t="s">
        <v>43</v>
      </c>
      <c r="R369" s="22"/>
      <c r="S369" s="8" t="s">
        <v>33</v>
      </c>
      <c r="U369" t="s">
        <v>51</v>
      </c>
      <c r="V369">
        <v>700</v>
      </c>
      <c r="W369" s="14" t="str">
        <f t="shared" si="32"/>
        <v xml:space="preserve"> - - + - - </v>
      </c>
      <c r="X369" s="14" t="str">
        <f t="shared" si="33"/>
        <v xml:space="preserve"> - - + - - </v>
      </c>
      <c r="Y369" s="14" t="str">
        <f t="shared" si="34"/>
        <v xml:space="preserve"> - - + - - </v>
      </c>
      <c r="Z369" s="14" t="str">
        <f t="shared" si="35"/>
        <v xml:space="preserve"> - - + - - </v>
      </c>
      <c r="AA369" s="14" t="str">
        <f t="shared" si="36"/>
        <v xml:space="preserve"> - - + - - </v>
      </c>
      <c r="AB369" s="14" t="str">
        <f t="shared" si="37"/>
        <v xml:space="preserve"> - - + - - </v>
      </c>
      <c r="AC369" s="14" t="str">
        <f t="shared" si="38"/>
        <v xml:space="preserve"> - - +49.00</v>
      </c>
      <c r="AD369" s="14" t="str">
        <f t="shared" si="39"/>
        <v/>
      </c>
    </row>
    <row r="370" spans="5:30">
      <c r="E370" s="27"/>
      <c r="F370" s="8" t="s">
        <v>44</v>
      </c>
      <c r="G370" s="9" t="s">
        <v>33</v>
      </c>
      <c r="H370" s="23" t="s">
        <v>33</v>
      </c>
      <c r="I370" s="24"/>
      <c r="J370" s="22"/>
      <c r="K370" s="23" t="s">
        <v>33</v>
      </c>
      <c r="L370" s="22"/>
      <c r="M370" s="9" t="s">
        <v>33</v>
      </c>
      <c r="N370" s="9" t="s">
        <v>33</v>
      </c>
      <c r="O370" s="9" t="s">
        <v>33</v>
      </c>
      <c r="P370" s="9" t="s">
        <v>33</v>
      </c>
      <c r="Q370" s="23" t="s">
        <v>33</v>
      </c>
      <c r="R370" s="22"/>
      <c r="S370" s="8">
        <v>0</v>
      </c>
      <c r="U370" t="s">
        <v>121</v>
      </c>
      <c r="V370" t="s">
        <v>33</v>
      </c>
      <c r="W370" s="14" t="str">
        <f t="shared" si="32"/>
        <v/>
      </c>
      <c r="X370" s="14" t="str">
        <f t="shared" si="33"/>
        <v/>
      </c>
      <c r="Y370" s="14" t="str">
        <f t="shared" si="34"/>
        <v/>
      </c>
      <c r="Z370" s="14" t="str">
        <f t="shared" si="35"/>
        <v/>
      </c>
      <c r="AA370" s="14" t="str">
        <f t="shared" si="36"/>
        <v/>
      </c>
      <c r="AB370" s="14" t="str">
        <f t="shared" si="37"/>
        <v/>
      </c>
      <c r="AC370" s="14" t="str">
        <f t="shared" si="38"/>
        <v/>
      </c>
      <c r="AD370" s="14">
        <f t="shared" si="39"/>
        <v>2</v>
      </c>
    </row>
    <row r="371" spans="5:30">
      <c r="E371" s="29"/>
      <c r="F371" s="8" t="s">
        <v>45</v>
      </c>
      <c r="G371" s="9">
        <v>4</v>
      </c>
      <c r="H371" s="23">
        <v>4</v>
      </c>
      <c r="I371" s="24"/>
      <c r="J371" s="22"/>
      <c r="K371" s="23">
        <v>4</v>
      </c>
      <c r="L371" s="22"/>
      <c r="M371" s="9">
        <v>3</v>
      </c>
      <c r="N371" s="9">
        <v>3</v>
      </c>
      <c r="O371" s="9">
        <v>3</v>
      </c>
      <c r="P371" s="9">
        <v>2</v>
      </c>
      <c r="Q371" s="23">
        <v>2</v>
      </c>
      <c r="R371" s="22"/>
      <c r="S371" s="8">
        <v>25</v>
      </c>
      <c r="U371" t="s">
        <v>56</v>
      </c>
      <c r="V371" t="s">
        <v>33</v>
      </c>
      <c r="W371" s="14">
        <f t="shared" si="32"/>
        <v>4</v>
      </c>
      <c r="X371" s="14">
        <f t="shared" si="33"/>
        <v>4</v>
      </c>
      <c r="Y371" s="14">
        <f t="shared" si="34"/>
        <v>4</v>
      </c>
      <c r="Z371" s="14">
        <f t="shared" si="35"/>
        <v>3</v>
      </c>
      <c r="AA371" s="14">
        <f t="shared" si="36"/>
        <v>3</v>
      </c>
      <c r="AB371" s="14">
        <f t="shared" si="37"/>
        <v>3</v>
      </c>
      <c r="AC371" s="14">
        <f t="shared" si="38"/>
        <v>2</v>
      </c>
      <c r="AD371" s="14">
        <f t="shared" si="39"/>
        <v>8.5</v>
      </c>
    </row>
    <row r="372" spans="5:30">
      <c r="E372" s="6">
        <v>7.74</v>
      </c>
      <c r="F372" s="8" t="s">
        <v>47</v>
      </c>
      <c r="G372" s="9">
        <v>7</v>
      </c>
      <c r="H372" s="23">
        <v>7.5</v>
      </c>
      <c r="I372" s="24"/>
      <c r="J372" s="22"/>
      <c r="K372" s="23">
        <v>8.5</v>
      </c>
      <c r="L372" s="22"/>
      <c r="M372" s="9">
        <v>7</v>
      </c>
      <c r="N372" s="9">
        <v>9</v>
      </c>
      <c r="O372" s="9">
        <v>5.5</v>
      </c>
      <c r="P372" s="9">
        <v>10</v>
      </c>
      <c r="Q372" s="23">
        <v>8.5</v>
      </c>
      <c r="R372" s="22"/>
      <c r="S372" s="8" t="s">
        <v>33</v>
      </c>
      <c r="U372" t="s">
        <v>33</v>
      </c>
      <c r="V372" t="s">
        <v>33</v>
      </c>
      <c r="W372" s="14">
        <f t="shared" si="32"/>
        <v>7</v>
      </c>
      <c r="X372" s="14">
        <f t="shared" si="33"/>
        <v>7.5</v>
      </c>
      <c r="Y372" s="14">
        <f t="shared" si="34"/>
        <v>8.5</v>
      </c>
      <c r="Z372" s="14">
        <f t="shared" si="35"/>
        <v>7</v>
      </c>
      <c r="AA372" s="14">
        <f t="shared" si="36"/>
        <v>9</v>
      </c>
      <c r="AB372" s="14">
        <f t="shared" si="37"/>
        <v>5.5</v>
      </c>
      <c r="AC372" s="14">
        <f t="shared" si="38"/>
        <v>10</v>
      </c>
      <c r="AD372" s="14">
        <f t="shared" si="39"/>
        <v>17</v>
      </c>
    </row>
    <row r="373" spans="5:30">
      <c r="E373" s="10">
        <v>7.88</v>
      </c>
      <c r="F373" s="8" t="s">
        <v>49</v>
      </c>
      <c r="G373" s="9">
        <v>28</v>
      </c>
      <c r="H373" s="23">
        <v>30</v>
      </c>
      <c r="I373" s="24"/>
      <c r="J373" s="22"/>
      <c r="K373" s="23">
        <v>34</v>
      </c>
      <c r="L373" s="22"/>
      <c r="M373" s="9">
        <v>21</v>
      </c>
      <c r="N373" s="9">
        <v>27</v>
      </c>
      <c r="O373" s="9">
        <v>16.5</v>
      </c>
      <c r="P373" s="9">
        <v>20</v>
      </c>
      <c r="Q373" s="23">
        <v>17</v>
      </c>
      <c r="R373" s="22"/>
      <c r="S373" s="8">
        <v>193.5</v>
      </c>
      <c r="U373">
        <v>0</v>
      </c>
      <c r="V373">
        <v>0</v>
      </c>
      <c r="W373" s="14">
        <f t="shared" si="32"/>
        <v>28</v>
      </c>
      <c r="X373" s="14">
        <f t="shared" si="33"/>
        <v>30</v>
      </c>
      <c r="Y373" s="14">
        <f t="shared" si="34"/>
        <v>34</v>
      </c>
      <c r="Z373" s="14">
        <f t="shared" si="35"/>
        <v>21</v>
      </c>
      <c r="AA373" s="14">
        <f t="shared" si="36"/>
        <v>27</v>
      </c>
      <c r="AB373" s="14">
        <f t="shared" si="37"/>
        <v>16.5</v>
      </c>
      <c r="AC373" s="14">
        <f t="shared" si="38"/>
        <v>20</v>
      </c>
      <c r="AD373" s="14">
        <f t="shared" si="39"/>
        <v>42</v>
      </c>
    </row>
    <row r="374" spans="5:30">
      <c r="E374" s="4"/>
      <c r="F374" s="8" t="s">
        <v>36</v>
      </c>
      <c r="G374" s="9">
        <v>67</v>
      </c>
      <c r="H374" s="23">
        <v>73</v>
      </c>
      <c r="I374" s="24"/>
      <c r="J374" s="22"/>
      <c r="K374" s="23">
        <v>83</v>
      </c>
      <c r="L374" s="22"/>
      <c r="M374" s="9">
        <v>66</v>
      </c>
      <c r="N374" s="9">
        <v>85</v>
      </c>
      <c r="O374" s="9">
        <v>51</v>
      </c>
      <c r="P374" s="9">
        <v>49</v>
      </c>
      <c r="Q374" s="23">
        <v>42</v>
      </c>
      <c r="R374" s="22"/>
      <c r="S374" s="8">
        <v>516</v>
      </c>
      <c r="U374">
        <v>0</v>
      </c>
      <c r="V374">
        <v>0</v>
      </c>
      <c r="W374" s="14">
        <f t="shared" si="32"/>
        <v>67</v>
      </c>
      <c r="X374" s="14">
        <f t="shared" si="33"/>
        <v>73</v>
      </c>
      <c r="Y374" s="14">
        <f t="shared" si="34"/>
        <v>83</v>
      </c>
      <c r="Z374" s="14">
        <f t="shared" si="35"/>
        <v>66</v>
      </c>
      <c r="AA374" s="14">
        <f t="shared" si="36"/>
        <v>85</v>
      </c>
      <c r="AB374" s="14">
        <f t="shared" si="37"/>
        <v>51</v>
      </c>
      <c r="AC374" s="14">
        <f t="shared" si="38"/>
        <v>49</v>
      </c>
      <c r="AD374" s="14">
        <f t="shared" si="39"/>
        <v>50</v>
      </c>
    </row>
    <row r="375" spans="5:30">
      <c r="E375" s="6"/>
      <c r="F375" s="8" t="s">
        <v>52</v>
      </c>
      <c r="G375" s="9">
        <v>100</v>
      </c>
      <c r="H375" s="23">
        <v>100</v>
      </c>
      <c r="I375" s="24"/>
      <c r="J375" s="22"/>
      <c r="K375" s="23">
        <v>100</v>
      </c>
      <c r="L375" s="22"/>
      <c r="M375" s="9">
        <v>100</v>
      </c>
      <c r="N375" s="9">
        <v>100</v>
      </c>
      <c r="O375" s="9">
        <v>100</v>
      </c>
      <c r="P375" s="9">
        <v>50</v>
      </c>
      <c r="Q375" s="23">
        <v>50</v>
      </c>
      <c r="R375" s="22"/>
      <c r="S375" s="8">
        <v>700</v>
      </c>
      <c r="U375" t="s">
        <v>31</v>
      </c>
      <c r="V375" t="s">
        <v>33</v>
      </c>
      <c r="W375" s="14">
        <f t="shared" si="32"/>
        <v>100</v>
      </c>
      <c r="X375" s="14">
        <f t="shared" si="33"/>
        <v>100</v>
      </c>
      <c r="Y375" s="14">
        <f t="shared" si="34"/>
        <v>100</v>
      </c>
      <c r="Z375" s="14">
        <f t="shared" si="35"/>
        <v>100</v>
      </c>
      <c r="AA375" s="14">
        <f t="shared" si="36"/>
        <v>100</v>
      </c>
      <c r="AB375" s="14">
        <f t="shared" si="37"/>
        <v>100</v>
      </c>
      <c r="AC375" s="14">
        <f t="shared" si="38"/>
        <v>50</v>
      </c>
      <c r="AD375" s="14" t="str">
        <f t="shared" si="39"/>
        <v>OA</v>
      </c>
    </row>
    <row r="376" spans="5:30">
      <c r="E376" s="4"/>
      <c r="F376" s="8" t="s">
        <v>54</v>
      </c>
      <c r="G376" s="9" t="s">
        <v>109</v>
      </c>
      <c r="H376" s="23" t="s">
        <v>108</v>
      </c>
      <c r="I376" s="24"/>
      <c r="J376" s="22"/>
      <c r="K376" s="23" t="s">
        <v>95</v>
      </c>
      <c r="L376" s="22"/>
      <c r="M376" s="9" t="s">
        <v>109</v>
      </c>
      <c r="N376" s="9" t="s">
        <v>122</v>
      </c>
      <c r="O376" s="9" t="s">
        <v>123</v>
      </c>
      <c r="P376" s="9" t="s">
        <v>93</v>
      </c>
      <c r="Q376" s="23" t="s">
        <v>95</v>
      </c>
      <c r="R376" s="22"/>
      <c r="S376" s="8" t="s">
        <v>33</v>
      </c>
      <c r="U376" t="s">
        <v>307</v>
      </c>
      <c r="V376" t="s">
        <v>36</v>
      </c>
      <c r="W376" s="14" t="str">
        <f t="shared" si="32"/>
        <v>AB+</v>
      </c>
      <c r="X376" s="14" t="str">
        <f t="shared" si="33"/>
        <v>AA</v>
      </c>
      <c r="Y376" s="14" t="str">
        <f t="shared" si="34"/>
        <v>OA</v>
      </c>
      <c r="Z376" s="14" t="str">
        <f t="shared" si="35"/>
        <v>AB+</v>
      </c>
      <c r="AA376" s="14" t="str">
        <f t="shared" si="36"/>
        <v>OA+</v>
      </c>
      <c r="AB376" s="14" t="str">
        <f t="shared" si="37"/>
        <v>BB</v>
      </c>
      <c r="AC376" s="14" t="str">
        <f t="shared" si="38"/>
        <v>OO+</v>
      </c>
      <c r="AD376" s="14" t="str">
        <f t="shared" si="39"/>
        <v>Pass</v>
      </c>
    </row>
    <row r="377" spans="5:30">
      <c r="E377" s="11" t="s">
        <v>306</v>
      </c>
      <c r="F377" s="8" t="s">
        <v>58</v>
      </c>
      <c r="G377" s="9" t="s">
        <v>59</v>
      </c>
      <c r="H377" s="23" t="s">
        <v>59</v>
      </c>
      <c r="I377" s="24"/>
      <c r="J377" s="22"/>
      <c r="K377" s="23" t="s">
        <v>59</v>
      </c>
      <c r="L377" s="22"/>
      <c r="M377" s="9" t="s">
        <v>59</v>
      </c>
      <c r="N377" s="9" t="s">
        <v>59</v>
      </c>
      <c r="O377" s="9" t="s">
        <v>59</v>
      </c>
      <c r="P377" s="9" t="s">
        <v>59</v>
      </c>
      <c r="Q377" s="23" t="s">
        <v>59</v>
      </c>
      <c r="R377" s="22"/>
      <c r="S377" s="8" t="s">
        <v>33</v>
      </c>
      <c r="U377" t="s">
        <v>37</v>
      </c>
      <c r="V377" t="s">
        <v>33</v>
      </c>
      <c r="W377" s="14" t="str">
        <f t="shared" si="32"/>
        <v>Pass</v>
      </c>
      <c r="X377" s="14" t="str">
        <f t="shared" si="33"/>
        <v>Pass</v>
      </c>
      <c r="Y377" s="14" t="str">
        <f t="shared" si="34"/>
        <v>Pass</v>
      </c>
      <c r="Z377" s="14" t="str">
        <f t="shared" si="35"/>
        <v>Pass</v>
      </c>
      <c r="AA377" s="14" t="str">
        <f t="shared" si="36"/>
        <v>Pass</v>
      </c>
      <c r="AB377" s="14" t="str">
        <f t="shared" si="37"/>
        <v>Pass</v>
      </c>
      <c r="AC377" s="14" t="str">
        <f t="shared" si="38"/>
        <v>Pass</v>
      </c>
      <c r="AD377" s="14" t="str">
        <f t="shared" si="39"/>
        <v/>
      </c>
    </row>
    <row r="378" spans="5:30">
      <c r="E378" s="12" t="s">
        <v>33</v>
      </c>
      <c r="F378" s="12" t="s">
        <v>33</v>
      </c>
      <c r="G378" s="13" t="s">
        <v>33</v>
      </c>
      <c r="H378" s="20" t="s">
        <v>33</v>
      </c>
      <c r="I378" s="18"/>
      <c r="J378" s="18"/>
      <c r="K378" s="20" t="s">
        <v>33</v>
      </c>
      <c r="L378" s="18"/>
      <c r="M378" s="13" t="s">
        <v>33</v>
      </c>
      <c r="N378" s="13" t="s">
        <v>33</v>
      </c>
      <c r="O378" s="13" t="s">
        <v>33</v>
      </c>
      <c r="P378" s="13" t="s">
        <v>33</v>
      </c>
      <c r="Q378" s="20" t="s">
        <v>33</v>
      </c>
      <c r="R378" s="18"/>
      <c r="S378" s="13" t="s">
        <v>33</v>
      </c>
      <c r="U378" t="s">
        <v>312</v>
      </c>
      <c r="V378" t="s">
        <v>33</v>
      </c>
      <c r="W378" s="14" t="str">
        <f t="shared" si="32"/>
        <v/>
      </c>
      <c r="X378" s="14" t="str">
        <f t="shared" si="33"/>
        <v/>
      </c>
      <c r="Y378" s="14" t="str">
        <f t="shared" si="34"/>
        <v/>
      </c>
      <c r="Z378" s="14" t="str">
        <f t="shared" si="35"/>
        <v/>
      </c>
      <c r="AA378" s="14" t="str">
        <f t="shared" si="36"/>
        <v/>
      </c>
      <c r="AB378" s="14" t="str">
        <f t="shared" si="37"/>
        <v/>
      </c>
      <c r="AC378" s="14" t="str">
        <f t="shared" si="38"/>
        <v/>
      </c>
      <c r="AD378" s="14">
        <f t="shared" si="39"/>
        <v>0</v>
      </c>
    </row>
    <row r="379" spans="5:30" ht="0" hidden="1" customHeight="1">
      <c r="U379">
        <v>0</v>
      </c>
      <c r="V379">
        <v>0</v>
      </c>
      <c r="W379" s="14">
        <f t="shared" si="32"/>
        <v>0</v>
      </c>
      <c r="X379" s="14">
        <f t="shared" si="33"/>
        <v>0</v>
      </c>
      <c r="Y379" s="14">
        <f t="shared" si="34"/>
        <v>0</v>
      </c>
      <c r="Z379" s="14">
        <f t="shared" si="35"/>
        <v>0</v>
      </c>
      <c r="AA379" s="14">
        <f t="shared" si="36"/>
        <v>0</v>
      </c>
      <c r="AB379" s="14">
        <f t="shared" si="37"/>
        <v>0</v>
      </c>
      <c r="AC379" s="14">
        <f t="shared" si="38"/>
        <v>0</v>
      </c>
      <c r="AD379" s="14">
        <f t="shared" si="39"/>
        <v>0</v>
      </c>
    </row>
    <row r="380" spans="5:30" ht="0.6" customHeight="1">
      <c r="U380">
        <v>0</v>
      </c>
      <c r="V380">
        <v>25</v>
      </c>
      <c r="W380" s="14">
        <f t="shared" si="32"/>
        <v>0</v>
      </c>
      <c r="X380" s="14">
        <f t="shared" si="33"/>
        <v>0</v>
      </c>
      <c r="Y380" s="14">
        <f t="shared" si="34"/>
        <v>0</v>
      </c>
      <c r="Z380" s="14">
        <f t="shared" si="35"/>
        <v>0</v>
      </c>
      <c r="AA380" s="14">
        <f t="shared" si="36"/>
        <v>0</v>
      </c>
      <c r="AB380" s="14">
        <f t="shared" si="37"/>
        <v>0</v>
      </c>
      <c r="AC380" s="14">
        <f t="shared" si="38"/>
        <v>0</v>
      </c>
      <c r="AD380" s="14" t="str">
        <f t="shared" si="39"/>
        <v/>
      </c>
    </row>
    <row r="381" spans="5:30">
      <c r="E381" s="4"/>
      <c r="F381" s="3" t="s">
        <v>32</v>
      </c>
      <c r="G381" s="5" t="s">
        <v>33</v>
      </c>
      <c r="H381" s="32" t="s">
        <v>33</v>
      </c>
      <c r="I381" s="18"/>
      <c r="J381" s="18"/>
      <c r="K381" s="32" t="s">
        <v>33</v>
      </c>
      <c r="L381" s="18"/>
      <c r="M381" s="5" t="s">
        <v>33</v>
      </c>
      <c r="N381" s="5" t="s">
        <v>33</v>
      </c>
      <c r="O381" s="5" t="s">
        <v>33</v>
      </c>
      <c r="P381" s="5" t="s">
        <v>33</v>
      </c>
      <c r="Q381" s="32" t="s">
        <v>33</v>
      </c>
      <c r="R381" s="18"/>
      <c r="S381" s="5" t="s">
        <v>33</v>
      </c>
      <c r="U381" t="s">
        <v>46</v>
      </c>
      <c r="V381" t="s">
        <v>33</v>
      </c>
      <c r="W381" s="14" t="str">
        <f t="shared" si="32"/>
        <v/>
      </c>
      <c r="X381" s="14" t="str">
        <f t="shared" si="33"/>
        <v/>
      </c>
      <c r="Y381" s="14" t="str">
        <f t="shared" si="34"/>
        <v/>
      </c>
      <c r="Z381" s="14" t="str">
        <f t="shared" si="35"/>
        <v/>
      </c>
      <c r="AA381" s="14" t="str">
        <f t="shared" si="36"/>
        <v/>
      </c>
      <c r="AB381" s="14" t="str">
        <f t="shared" si="37"/>
        <v/>
      </c>
      <c r="AC381" s="14" t="str">
        <f t="shared" si="38"/>
        <v/>
      </c>
      <c r="AD381" s="14" t="str">
        <f t="shared" si="39"/>
        <v>COMRRSN302</v>
      </c>
    </row>
    <row r="382" spans="5:30" ht="21">
      <c r="E382" s="4"/>
      <c r="F382" s="7" t="s">
        <v>35</v>
      </c>
      <c r="G382" s="7" t="s">
        <v>5</v>
      </c>
      <c r="H382" s="30" t="s">
        <v>7</v>
      </c>
      <c r="I382" s="24"/>
      <c r="J382" s="22"/>
      <c r="K382" s="30" t="s">
        <v>9</v>
      </c>
      <c r="L382" s="22"/>
      <c r="M382" s="7" t="s">
        <v>11</v>
      </c>
      <c r="N382" s="7" t="s">
        <v>15</v>
      </c>
      <c r="O382" s="7" t="s">
        <v>17</v>
      </c>
      <c r="P382" s="7" t="s">
        <v>21</v>
      </c>
      <c r="Q382" s="30" t="s">
        <v>27</v>
      </c>
      <c r="R382" s="22"/>
      <c r="S382" s="7" t="s">
        <v>36</v>
      </c>
      <c r="U382" t="s">
        <v>48</v>
      </c>
      <c r="V382">
        <v>236.5</v>
      </c>
      <c r="W382" s="14" t="str">
        <f t="shared" si="32"/>
        <v>BBABMCN301</v>
      </c>
      <c r="X382" s="14" t="str">
        <f t="shared" si="33"/>
        <v>BBABMCN302</v>
      </c>
      <c r="Y382" s="14" t="str">
        <f t="shared" si="34"/>
        <v>BBABMCN303</v>
      </c>
      <c r="Z382" s="14" t="str">
        <f t="shared" si="35"/>
        <v>BBAENLN301</v>
      </c>
      <c r="AA382" s="14" t="str">
        <f t="shared" si="36"/>
        <v>BBAKALN302</v>
      </c>
      <c r="AB382" s="14" t="str">
        <f t="shared" si="37"/>
        <v>BCACAEN302</v>
      </c>
      <c r="AC382" s="14" t="str">
        <f t="shared" si="38"/>
        <v>COMFISN301</v>
      </c>
      <c r="AD382" s="14" t="str">
        <f t="shared" si="39"/>
        <v xml:space="preserve"> - - + - - </v>
      </c>
    </row>
    <row r="383" spans="5:30" ht="22.5">
      <c r="E383" s="6" t="s">
        <v>308</v>
      </c>
      <c r="F383" s="8" t="s">
        <v>39</v>
      </c>
      <c r="G383" s="9" t="s">
        <v>309</v>
      </c>
      <c r="H383" s="23" t="s">
        <v>310</v>
      </c>
      <c r="I383" s="24"/>
      <c r="J383" s="22"/>
      <c r="K383" s="23" t="s">
        <v>88</v>
      </c>
      <c r="L383" s="22"/>
      <c r="M383" s="9" t="s">
        <v>311</v>
      </c>
      <c r="N383" s="9" t="s">
        <v>165</v>
      </c>
      <c r="O383" s="9" t="s">
        <v>273</v>
      </c>
      <c r="P383" s="9" t="s">
        <v>201</v>
      </c>
      <c r="Q383" s="23" t="s">
        <v>43</v>
      </c>
      <c r="R383" s="22"/>
      <c r="S383" s="8" t="s">
        <v>33</v>
      </c>
      <c r="U383" t="s">
        <v>50</v>
      </c>
      <c r="V383">
        <v>640</v>
      </c>
      <c r="W383" s="14" t="str">
        <f t="shared" si="32"/>
        <v>55.00 + 40.00</v>
      </c>
      <c r="X383" s="14" t="str">
        <f t="shared" si="33"/>
        <v>40.00 + 40.00</v>
      </c>
      <c r="Y383" s="14" t="str">
        <f t="shared" si="34"/>
        <v>60.00 + 40.00</v>
      </c>
      <c r="Z383" s="14" t="str">
        <f t="shared" si="35"/>
        <v>40.00 + 36.00</v>
      </c>
      <c r="AA383" s="14" t="str">
        <f t="shared" si="36"/>
        <v>57.00 + 40.00</v>
      </c>
      <c r="AB383" s="14" t="str">
        <f t="shared" si="37"/>
        <v>53.00 + 40.00</v>
      </c>
      <c r="AC383" s="14" t="str">
        <f t="shared" si="38"/>
        <v>29.00 + 20.00</v>
      </c>
      <c r="AD383" s="14" t="str">
        <f t="shared" si="39"/>
        <v xml:space="preserve"> - - +50.00</v>
      </c>
    </row>
    <row r="384" spans="5:30">
      <c r="E384" s="25"/>
      <c r="F384" s="8" t="s">
        <v>42</v>
      </c>
      <c r="G384" s="9" t="s">
        <v>43</v>
      </c>
      <c r="H384" s="23" t="s">
        <v>43</v>
      </c>
      <c r="I384" s="24"/>
      <c r="J384" s="22"/>
      <c r="K384" s="23" t="s">
        <v>43</v>
      </c>
      <c r="L384" s="22"/>
      <c r="M384" s="9" t="s">
        <v>43</v>
      </c>
      <c r="N384" s="9" t="s">
        <v>43</v>
      </c>
      <c r="O384" s="9" t="s">
        <v>43</v>
      </c>
      <c r="P384" s="9" t="s">
        <v>43</v>
      </c>
      <c r="Q384" s="23" t="s">
        <v>91</v>
      </c>
      <c r="R384" s="22"/>
      <c r="S384" s="8" t="s">
        <v>33</v>
      </c>
      <c r="U384" t="s">
        <v>51</v>
      </c>
      <c r="V384">
        <v>700</v>
      </c>
      <c r="W384" s="14" t="str">
        <f t="shared" si="32"/>
        <v xml:space="preserve"> - - + - - </v>
      </c>
      <c r="X384" s="14" t="str">
        <f t="shared" si="33"/>
        <v xml:space="preserve"> - - + - - </v>
      </c>
      <c r="Y384" s="14" t="str">
        <f t="shared" si="34"/>
        <v xml:space="preserve"> - - + - - </v>
      </c>
      <c r="Z384" s="14" t="str">
        <f t="shared" si="35"/>
        <v xml:space="preserve"> - - + - - </v>
      </c>
      <c r="AA384" s="14" t="str">
        <f t="shared" si="36"/>
        <v xml:space="preserve"> - - + - - </v>
      </c>
      <c r="AB384" s="14" t="str">
        <f t="shared" si="37"/>
        <v xml:space="preserve"> - - + - - </v>
      </c>
      <c r="AC384" s="14" t="str">
        <f t="shared" si="38"/>
        <v xml:space="preserve"> - - + - - </v>
      </c>
      <c r="AD384" s="14" t="str">
        <f t="shared" si="39"/>
        <v/>
      </c>
    </row>
    <row r="385" spans="5:30">
      <c r="E385" s="27"/>
      <c r="F385" s="8" t="s">
        <v>44</v>
      </c>
      <c r="G385" s="9" t="s">
        <v>33</v>
      </c>
      <c r="H385" s="23" t="s">
        <v>33</v>
      </c>
      <c r="I385" s="24"/>
      <c r="J385" s="22"/>
      <c r="K385" s="23" t="s">
        <v>33</v>
      </c>
      <c r="L385" s="22"/>
      <c r="M385" s="9" t="s">
        <v>33</v>
      </c>
      <c r="N385" s="9" t="s">
        <v>33</v>
      </c>
      <c r="O385" s="9" t="s">
        <v>33</v>
      </c>
      <c r="P385" s="9" t="s">
        <v>33</v>
      </c>
      <c r="Q385" s="23" t="s">
        <v>33</v>
      </c>
      <c r="R385" s="22"/>
      <c r="S385" s="8">
        <v>0</v>
      </c>
      <c r="U385" t="s">
        <v>287</v>
      </c>
      <c r="V385" t="s">
        <v>33</v>
      </c>
      <c r="W385" s="14" t="str">
        <f t="shared" si="32"/>
        <v/>
      </c>
      <c r="X385" s="14" t="str">
        <f t="shared" si="33"/>
        <v/>
      </c>
      <c r="Y385" s="14" t="str">
        <f t="shared" si="34"/>
        <v/>
      </c>
      <c r="Z385" s="14" t="str">
        <f t="shared" si="35"/>
        <v/>
      </c>
      <c r="AA385" s="14" t="str">
        <f t="shared" si="36"/>
        <v/>
      </c>
      <c r="AB385" s="14" t="str">
        <f t="shared" si="37"/>
        <v/>
      </c>
      <c r="AC385" s="14" t="str">
        <f t="shared" si="38"/>
        <v/>
      </c>
      <c r="AD385" s="14">
        <f t="shared" si="39"/>
        <v>2</v>
      </c>
    </row>
    <row r="386" spans="5:30">
      <c r="E386" s="29"/>
      <c r="F386" s="8" t="s">
        <v>45</v>
      </c>
      <c r="G386" s="9">
        <v>4</v>
      </c>
      <c r="H386" s="23">
        <v>4</v>
      </c>
      <c r="I386" s="24"/>
      <c r="J386" s="22"/>
      <c r="K386" s="23">
        <v>4</v>
      </c>
      <c r="L386" s="22"/>
      <c r="M386" s="9">
        <v>3</v>
      </c>
      <c r="N386" s="9">
        <v>3</v>
      </c>
      <c r="O386" s="9">
        <v>3</v>
      </c>
      <c r="P386" s="9">
        <v>2</v>
      </c>
      <c r="Q386" s="23">
        <v>2</v>
      </c>
      <c r="R386" s="22"/>
      <c r="S386" s="8">
        <v>25</v>
      </c>
      <c r="U386" t="s">
        <v>56</v>
      </c>
      <c r="V386" t="s">
        <v>33</v>
      </c>
      <c r="W386" s="14">
        <f t="shared" si="32"/>
        <v>4</v>
      </c>
      <c r="X386" s="14">
        <f t="shared" si="33"/>
        <v>4</v>
      </c>
      <c r="Y386" s="14">
        <f t="shared" si="34"/>
        <v>4</v>
      </c>
      <c r="Z386" s="14">
        <f t="shared" si="35"/>
        <v>3</v>
      </c>
      <c r="AA386" s="14">
        <f t="shared" si="36"/>
        <v>3</v>
      </c>
      <c r="AB386" s="14">
        <f t="shared" si="37"/>
        <v>3</v>
      </c>
      <c r="AC386" s="14">
        <f t="shared" si="38"/>
        <v>2</v>
      </c>
      <c r="AD386" s="14">
        <f t="shared" si="39"/>
        <v>10</v>
      </c>
    </row>
    <row r="387" spans="5:30">
      <c r="E387" s="6">
        <v>9.4600000000000009</v>
      </c>
      <c r="F387" s="8" t="s">
        <v>47</v>
      </c>
      <c r="G387" s="9">
        <v>10</v>
      </c>
      <c r="H387" s="23">
        <v>8.5</v>
      </c>
      <c r="I387" s="24"/>
      <c r="J387" s="22"/>
      <c r="K387" s="23">
        <v>10</v>
      </c>
      <c r="L387" s="22"/>
      <c r="M387" s="9">
        <v>8</v>
      </c>
      <c r="N387" s="9">
        <v>10</v>
      </c>
      <c r="O387" s="9">
        <v>9.5</v>
      </c>
      <c r="P387" s="9">
        <v>10</v>
      </c>
      <c r="Q387" s="23">
        <v>10</v>
      </c>
      <c r="R387" s="22"/>
      <c r="S387" s="8" t="s">
        <v>33</v>
      </c>
      <c r="U387" t="s">
        <v>33</v>
      </c>
      <c r="V387" t="s">
        <v>33</v>
      </c>
      <c r="W387" s="14">
        <f t="shared" si="32"/>
        <v>10</v>
      </c>
      <c r="X387" s="14">
        <f t="shared" si="33"/>
        <v>8.5</v>
      </c>
      <c r="Y387" s="14">
        <f t="shared" si="34"/>
        <v>10</v>
      </c>
      <c r="Z387" s="14">
        <f t="shared" si="35"/>
        <v>8</v>
      </c>
      <c r="AA387" s="14">
        <f t="shared" si="36"/>
        <v>10</v>
      </c>
      <c r="AB387" s="14">
        <f t="shared" si="37"/>
        <v>9.5</v>
      </c>
      <c r="AC387" s="14">
        <f t="shared" si="38"/>
        <v>10</v>
      </c>
      <c r="AD387" s="14">
        <f t="shared" si="39"/>
        <v>20</v>
      </c>
    </row>
    <row r="388" spans="5:30">
      <c r="E388" s="10">
        <v>9.1999999999999993</v>
      </c>
      <c r="F388" s="8" t="s">
        <v>49</v>
      </c>
      <c r="G388" s="9">
        <v>40</v>
      </c>
      <c r="H388" s="23">
        <v>34</v>
      </c>
      <c r="I388" s="24"/>
      <c r="J388" s="22"/>
      <c r="K388" s="23">
        <v>40</v>
      </c>
      <c r="L388" s="22"/>
      <c r="M388" s="9">
        <v>24</v>
      </c>
      <c r="N388" s="9">
        <v>30</v>
      </c>
      <c r="O388" s="9">
        <v>28.5</v>
      </c>
      <c r="P388" s="9">
        <v>20</v>
      </c>
      <c r="Q388" s="23">
        <v>20</v>
      </c>
      <c r="R388" s="22"/>
      <c r="S388" s="8">
        <v>236.5</v>
      </c>
      <c r="U388">
        <v>0</v>
      </c>
      <c r="V388">
        <v>0</v>
      </c>
      <c r="W388" s="14">
        <f t="shared" si="32"/>
        <v>40</v>
      </c>
      <c r="X388" s="14">
        <f t="shared" si="33"/>
        <v>34</v>
      </c>
      <c r="Y388" s="14">
        <f t="shared" si="34"/>
        <v>40</v>
      </c>
      <c r="Z388" s="14">
        <f t="shared" si="35"/>
        <v>24</v>
      </c>
      <c r="AA388" s="14">
        <f t="shared" si="36"/>
        <v>30</v>
      </c>
      <c r="AB388" s="14">
        <f t="shared" si="37"/>
        <v>28.5</v>
      </c>
      <c r="AC388" s="14">
        <f t="shared" si="38"/>
        <v>20</v>
      </c>
      <c r="AD388" s="14">
        <f t="shared" si="39"/>
        <v>50</v>
      </c>
    </row>
    <row r="389" spans="5:30">
      <c r="E389" s="4"/>
      <c r="F389" s="8" t="s">
        <v>36</v>
      </c>
      <c r="G389" s="9">
        <v>95</v>
      </c>
      <c r="H389" s="23">
        <v>80</v>
      </c>
      <c r="I389" s="24"/>
      <c r="J389" s="22"/>
      <c r="K389" s="23">
        <v>100</v>
      </c>
      <c r="L389" s="22"/>
      <c r="M389" s="9">
        <v>76</v>
      </c>
      <c r="N389" s="9">
        <v>97</v>
      </c>
      <c r="O389" s="9">
        <v>93</v>
      </c>
      <c r="P389" s="9">
        <v>49</v>
      </c>
      <c r="Q389" s="23">
        <v>50</v>
      </c>
      <c r="R389" s="22"/>
      <c r="S389" s="8">
        <v>640</v>
      </c>
      <c r="U389">
        <v>0</v>
      </c>
      <c r="V389">
        <v>0</v>
      </c>
      <c r="W389" s="14">
        <f t="shared" si="32"/>
        <v>95</v>
      </c>
      <c r="X389" s="14">
        <f t="shared" si="33"/>
        <v>80</v>
      </c>
      <c r="Y389" s="14">
        <f t="shared" si="34"/>
        <v>100</v>
      </c>
      <c r="Z389" s="14">
        <f t="shared" si="35"/>
        <v>76</v>
      </c>
      <c r="AA389" s="14">
        <f t="shared" si="36"/>
        <v>97</v>
      </c>
      <c r="AB389" s="14">
        <f t="shared" si="37"/>
        <v>93</v>
      </c>
      <c r="AC389" s="14">
        <f t="shared" si="38"/>
        <v>49</v>
      </c>
      <c r="AD389" s="14">
        <f t="shared" si="39"/>
        <v>50</v>
      </c>
    </row>
    <row r="390" spans="5:30">
      <c r="E390" s="6"/>
      <c r="F390" s="8" t="s">
        <v>52</v>
      </c>
      <c r="G390" s="9">
        <v>100</v>
      </c>
      <c r="H390" s="23">
        <v>100</v>
      </c>
      <c r="I390" s="24"/>
      <c r="J390" s="22"/>
      <c r="K390" s="23">
        <v>100</v>
      </c>
      <c r="L390" s="22"/>
      <c r="M390" s="9">
        <v>100</v>
      </c>
      <c r="N390" s="9">
        <v>100</v>
      </c>
      <c r="O390" s="9">
        <v>100</v>
      </c>
      <c r="P390" s="9">
        <v>50</v>
      </c>
      <c r="Q390" s="23">
        <v>50</v>
      </c>
      <c r="R390" s="22"/>
      <c r="S390" s="8">
        <v>700</v>
      </c>
      <c r="U390" t="s">
        <v>31</v>
      </c>
      <c r="V390" t="s">
        <v>33</v>
      </c>
      <c r="W390" s="14">
        <f t="shared" si="32"/>
        <v>100</v>
      </c>
      <c r="X390" s="14">
        <f t="shared" si="33"/>
        <v>100</v>
      </c>
      <c r="Y390" s="14">
        <f t="shared" si="34"/>
        <v>100</v>
      </c>
      <c r="Z390" s="14">
        <f t="shared" si="35"/>
        <v>100</v>
      </c>
      <c r="AA390" s="14">
        <f t="shared" si="36"/>
        <v>100</v>
      </c>
      <c r="AB390" s="14">
        <f t="shared" si="37"/>
        <v>100</v>
      </c>
      <c r="AC390" s="14">
        <f t="shared" si="38"/>
        <v>50</v>
      </c>
      <c r="AD390" s="14" t="str">
        <f t="shared" si="39"/>
        <v>OO+</v>
      </c>
    </row>
    <row r="391" spans="5:30">
      <c r="E391" s="4"/>
      <c r="F391" s="8" t="s">
        <v>54</v>
      </c>
      <c r="G391" s="9" t="s">
        <v>93</v>
      </c>
      <c r="H391" s="23" t="s">
        <v>95</v>
      </c>
      <c r="I391" s="24"/>
      <c r="J391" s="22"/>
      <c r="K391" s="23" t="s">
        <v>93</v>
      </c>
      <c r="L391" s="22"/>
      <c r="M391" s="9" t="s">
        <v>135</v>
      </c>
      <c r="N391" s="9" t="s">
        <v>93</v>
      </c>
      <c r="O391" s="9" t="s">
        <v>94</v>
      </c>
      <c r="P391" s="9" t="s">
        <v>93</v>
      </c>
      <c r="Q391" s="23" t="s">
        <v>93</v>
      </c>
      <c r="R391" s="22"/>
      <c r="S391" s="8" t="s">
        <v>33</v>
      </c>
      <c r="U391" t="s">
        <v>314</v>
      </c>
      <c r="V391" t="s">
        <v>36</v>
      </c>
      <c r="W391" s="14" t="str">
        <f t="shared" ref="W391:W454" si="40">$G391</f>
        <v>OO+</v>
      </c>
      <c r="X391" s="14" t="str">
        <f t="shared" ref="X391:X454" si="41">$H391</f>
        <v>OA</v>
      </c>
      <c r="Y391" s="14" t="str">
        <f t="shared" ref="Y391:Y454" si="42">$K391</f>
        <v>OO+</v>
      </c>
      <c r="Z391" s="14" t="str">
        <f t="shared" ref="Z391:Z454" si="43">$M391</f>
        <v>AA+</v>
      </c>
      <c r="AA391" s="14" t="str">
        <f t="shared" ref="AA391:AA454" si="44">$N391</f>
        <v>OO+</v>
      </c>
      <c r="AB391" s="14" t="str">
        <f t="shared" ref="AB391:AB454" si="45">$O391</f>
        <v>OO</v>
      </c>
      <c r="AC391" s="14" t="str">
        <f t="shared" ref="AC391:AC454" si="46">$P391</f>
        <v>OO+</v>
      </c>
      <c r="AD391" s="14" t="str">
        <f t="shared" ref="AD391:AD454" si="47">$Q392</f>
        <v>Pass</v>
      </c>
    </row>
    <row r="392" spans="5:30">
      <c r="E392" s="11" t="s">
        <v>313</v>
      </c>
      <c r="F392" s="8" t="s">
        <v>58</v>
      </c>
      <c r="G392" s="9" t="s">
        <v>59</v>
      </c>
      <c r="H392" s="23" t="s">
        <v>59</v>
      </c>
      <c r="I392" s="24"/>
      <c r="J392" s="22"/>
      <c r="K392" s="23" t="s">
        <v>59</v>
      </c>
      <c r="L392" s="22"/>
      <c r="M392" s="9" t="s">
        <v>59</v>
      </c>
      <c r="N392" s="9" t="s">
        <v>59</v>
      </c>
      <c r="O392" s="9" t="s">
        <v>59</v>
      </c>
      <c r="P392" s="9" t="s">
        <v>59</v>
      </c>
      <c r="Q392" s="23" t="s">
        <v>59</v>
      </c>
      <c r="R392" s="22"/>
      <c r="S392" s="8" t="s">
        <v>33</v>
      </c>
      <c r="U392" t="s">
        <v>37</v>
      </c>
      <c r="V392" t="s">
        <v>33</v>
      </c>
      <c r="W392" s="14" t="str">
        <f t="shared" si="40"/>
        <v>Pass</v>
      </c>
      <c r="X392" s="14" t="str">
        <f t="shared" si="41"/>
        <v>Pass</v>
      </c>
      <c r="Y392" s="14" t="str">
        <f t="shared" si="42"/>
        <v>Pass</v>
      </c>
      <c r="Z392" s="14" t="str">
        <f t="shared" si="43"/>
        <v>Pass</v>
      </c>
      <c r="AA392" s="14" t="str">
        <f t="shared" si="44"/>
        <v>Pass</v>
      </c>
      <c r="AB392" s="14" t="str">
        <f t="shared" si="45"/>
        <v>Pass</v>
      </c>
      <c r="AC392" s="14" t="str">
        <f t="shared" si="46"/>
        <v>Pass</v>
      </c>
      <c r="AD392" s="14" t="str">
        <f t="shared" si="47"/>
        <v/>
      </c>
    </row>
    <row r="393" spans="5:30">
      <c r="E393" s="12" t="s">
        <v>33</v>
      </c>
      <c r="F393" s="12" t="s">
        <v>33</v>
      </c>
      <c r="G393" s="13" t="s">
        <v>33</v>
      </c>
      <c r="H393" s="20" t="s">
        <v>33</v>
      </c>
      <c r="I393" s="18"/>
      <c r="J393" s="18"/>
      <c r="K393" s="20" t="s">
        <v>33</v>
      </c>
      <c r="L393" s="18"/>
      <c r="M393" s="13" t="s">
        <v>33</v>
      </c>
      <c r="N393" s="13" t="s">
        <v>33</v>
      </c>
      <c r="O393" s="13" t="s">
        <v>33</v>
      </c>
      <c r="P393" s="13" t="s">
        <v>33</v>
      </c>
      <c r="Q393" s="20" t="s">
        <v>33</v>
      </c>
      <c r="R393" s="18"/>
      <c r="S393" s="13" t="s">
        <v>33</v>
      </c>
      <c r="U393" t="s">
        <v>322</v>
      </c>
      <c r="V393" t="s">
        <v>33</v>
      </c>
      <c r="W393" s="14" t="str">
        <f t="shared" si="40"/>
        <v/>
      </c>
      <c r="X393" s="14" t="str">
        <f t="shared" si="41"/>
        <v/>
      </c>
      <c r="Y393" s="14" t="str">
        <f t="shared" si="42"/>
        <v/>
      </c>
      <c r="Z393" s="14" t="str">
        <f t="shared" si="43"/>
        <v/>
      </c>
      <c r="AA393" s="14" t="str">
        <f t="shared" si="44"/>
        <v/>
      </c>
      <c r="AB393" s="14" t="str">
        <f t="shared" si="45"/>
        <v/>
      </c>
      <c r="AC393" s="14" t="str">
        <f t="shared" si="46"/>
        <v/>
      </c>
      <c r="AD393" s="14">
        <f t="shared" si="47"/>
        <v>0</v>
      </c>
    </row>
    <row r="394" spans="5:30" ht="0" hidden="1" customHeight="1">
      <c r="U394">
        <v>0</v>
      </c>
      <c r="V394">
        <v>0</v>
      </c>
      <c r="W394" s="14">
        <f t="shared" si="40"/>
        <v>0</v>
      </c>
      <c r="X394" s="14">
        <f t="shared" si="41"/>
        <v>0</v>
      </c>
      <c r="Y394" s="14">
        <f t="shared" si="42"/>
        <v>0</v>
      </c>
      <c r="Z394" s="14">
        <f t="shared" si="43"/>
        <v>0</v>
      </c>
      <c r="AA394" s="14">
        <f t="shared" si="44"/>
        <v>0</v>
      </c>
      <c r="AB394" s="14">
        <f t="shared" si="45"/>
        <v>0</v>
      </c>
      <c r="AC394" s="14">
        <f t="shared" si="46"/>
        <v>0</v>
      </c>
      <c r="AD394" s="14">
        <f t="shared" si="47"/>
        <v>0</v>
      </c>
    </row>
    <row r="395" spans="5:30" ht="0.6" customHeight="1">
      <c r="U395">
        <v>0</v>
      </c>
      <c r="V395">
        <v>22</v>
      </c>
      <c r="W395" s="14">
        <f t="shared" si="40"/>
        <v>0</v>
      </c>
      <c r="X395" s="14">
        <f t="shared" si="41"/>
        <v>0</v>
      </c>
      <c r="Y395" s="14">
        <f t="shared" si="42"/>
        <v>0</v>
      </c>
      <c r="Z395" s="14">
        <f t="shared" si="43"/>
        <v>0</v>
      </c>
      <c r="AA395" s="14">
        <f t="shared" si="44"/>
        <v>0</v>
      </c>
      <c r="AB395" s="14">
        <f t="shared" si="45"/>
        <v>0</v>
      </c>
      <c r="AC395" s="14">
        <f t="shared" si="46"/>
        <v>0</v>
      </c>
      <c r="AD395" s="14" t="str">
        <f t="shared" si="47"/>
        <v/>
      </c>
    </row>
    <row r="396" spans="5:30">
      <c r="E396" s="4"/>
      <c r="F396" s="3" t="s">
        <v>32</v>
      </c>
      <c r="G396" s="5" t="s">
        <v>33</v>
      </c>
      <c r="H396" s="32" t="s">
        <v>33</v>
      </c>
      <c r="I396" s="18"/>
      <c r="J396" s="18"/>
      <c r="K396" s="32" t="s">
        <v>33</v>
      </c>
      <c r="L396" s="18"/>
      <c r="M396" s="5" t="s">
        <v>33</v>
      </c>
      <c r="N396" s="5" t="s">
        <v>33</v>
      </c>
      <c r="O396" s="5" t="s">
        <v>33</v>
      </c>
      <c r="P396" s="5" t="s">
        <v>33</v>
      </c>
      <c r="Q396" s="32" t="s">
        <v>33</v>
      </c>
      <c r="R396" s="18"/>
      <c r="S396" s="5" t="s">
        <v>33</v>
      </c>
      <c r="U396" t="s">
        <v>46</v>
      </c>
      <c r="V396" t="s">
        <v>33</v>
      </c>
      <c r="W396" s="14" t="str">
        <f t="shared" si="40"/>
        <v/>
      </c>
      <c r="X396" s="14" t="str">
        <f t="shared" si="41"/>
        <v/>
      </c>
      <c r="Y396" s="14" t="str">
        <f t="shared" si="42"/>
        <v/>
      </c>
      <c r="Z396" s="14" t="str">
        <f t="shared" si="43"/>
        <v/>
      </c>
      <c r="AA396" s="14" t="str">
        <f t="shared" si="44"/>
        <v/>
      </c>
      <c r="AB396" s="14" t="str">
        <f t="shared" si="45"/>
        <v/>
      </c>
      <c r="AC396" s="14" t="str">
        <f t="shared" si="46"/>
        <v/>
      </c>
      <c r="AD396" s="14" t="str">
        <f t="shared" si="47"/>
        <v>COMNSSN302</v>
      </c>
    </row>
    <row r="397" spans="5:30" ht="21">
      <c r="E397" s="4"/>
      <c r="F397" s="7" t="s">
        <v>35</v>
      </c>
      <c r="G397" s="7" t="s">
        <v>5</v>
      </c>
      <c r="H397" s="30" t="s">
        <v>7</v>
      </c>
      <c r="I397" s="24"/>
      <c r="J397" s="22"/>
      <c r="K397" s="30" t="s">
        <v>9</v>
      </c>
      <c r="L397" s="22"/>
      <c r="M397" s="7" t="s">
        <v>11</v>
      </c>
      <c r="N397" s="7" t="s">
        <v>15</v>
      </c>
      <c r="O397" s="7" t="s">
        <v>17</v>
      </c>
      <c r="P397" s="7" t="s">
        <v>21</v>
      </c>
      <c r="Q397" s="30" t="s">
        <v>25</v>
      </c>
      <c r="R397" s="22"/>
      <c r="S397" s="7" t="s">
        <v>36</v>
      </c>
      <c r="U397" t="s">
        <v>48</v>
      </c>
      <c r="V397">
        <v>149</v>
      </c>
      <c r="W397" s="14" t="str">
        <f t="shared" si="40"/>
        <v>BBABMCN301</v>
      </c>
      <c r="X397" s="14" t="str">
        <f t="shared" si="41"/>
        <v>BBABMCN302</v>
      </c>
      <c r="Y397" s="14" t="str">
        <f t="shared" si="42"/>
        <v>BBABMCN303</v>
      </c>
      <c r="Z397" s="14" t="str">
        <f t="shared" si="43"/>
        <v>BBAENLN301</v>
      </c>
      <c r="AA397" s="14" t="str">
        <f t="shared" si="44"/>
        <v>BBAKALN302</v>
      </c>
      <c r="AB397" s="14" t="str">
        <f t="shared" si="45"/>
        <v>BCACAEN302</v>
      </c>
      <c r="AC397" s="14" t="str">
        <f t="shared" si="46"/>
        <v>COMFISN301</v>
      </c>
      <c r="AD397" s="14" t="str">
        <f t="shared" si="47"/>
        <v xml:space="preserve"> - - + - - </v>
      </c>
    </row>
    <row r="398" spans="5:30" ht="22.5">
      <c r="E398" s="6" t="s">
        <v>315</v>
      </c>
      <c r="F398" s="8" t="s">
        <v>39</v>
      </c>
      <c r="G398" s="9" t="s">
        <v>316</v>
      </c>
      <c r="H398" s="23" t="s">
        <v>317</v>
      </c>
      <c r="I398" s="24"/>
      <c r="J398" s="22"/>
      <c r="K398" s="23" t="s">
        <v>318</v>
      </c>
      <c r="L398" s="22"/>
      <c r="M398" s="9" t="s">
        <v>319</v>
      </c>
      <c r="N398" s="9" t="s">
        <v>320</v>
      </c>
      <c r="O398" s="9" t="s">
        <v>321</v>
      </c>
      <c r="P398" s="9" t="s">
        <v>267</v>
      </c>
      <c r="Q398" s="23" t="s">
        <v>43</v>
      </c>
      <c r="R398" s="22"/>
      <c r="S398" s="8" t="s">
        <v>33</v>
      </c>
      <c r="U398" t="s">
        <v>65</v>
      </c>
      <c r="V398">
        <v>415</v>
      </c>
      <c r="W398" s="14" t="str">
        <f t="shared" si="40"/>
        <v>24.00 + 22.00</v>
      </c>
      <c r="X398" s="14" t="str">
        <f t="shared" si="41"/>
        <v>31.00 + 26.00</v>
      </c>
      <c r="Y398" s="14" t="str">
        <f t="shared" si="42"/>
        <v>52.00 + 27.00</v>
      </c>
      <c r="Z398" s="14" t="str">
        <f t="shared" si="43"/>
        <v>35.00 + 28.00</v>
      </c>
      <c r="AA398" s="14" t="str">
        <f t="shared" si="44"/>
        <v>33.00 + 29.00</v>
      </c>
      <c r="AB398" s="14" t="str">
        <f t="shared" si="45"/>
        <v>7.00 + 19.00</v>
      </c>
      <c r="AC398" s="14" t="str">
        <f t="shared" si="46"/>
        <v>20.00 + 14.00</v>
      </c>
      <c r="AD398" s="14" t="str">
        <f t="shared" si="47"/>
        <v xml:space="preserve"> - - +48.00</v>
      </c>
    </row>
    <row r="399" spans="5:30">
      <c r="E399" s="25"/>
      <c r="F399" s="8" t="s">
        <v>42</v>
      </c>
      <c r="G399" s="9" t="s">
        <v>43</v>
      </c>
      <c r="H399" s="23" t="s">
        <v>43</v>
      </c>
      <c r="I399" s="24"/>
      <c r="J399" s="22"/>
      <c r="K399" s="23" t="s">
        <v>43</v>
      </c>
      <c r="L399" s="22"/>
      <c r="M399" s="9" t="s">
        <v>43</v>
      </c>
      <c r="N399" s="9" t="s">
        <v>43</v>
      </c>
      <c r="O399" s="9" t="s">
        <v>43</v>
      </c>
      <c r="P399" s="9" t="s">
        <v>43</v>
      </c>
      <c r="Q399" s="23" t="s">
        <v>107</v>
      </c>
      <c r="R399" s="22"/>
      <c r="S399" s="8" t="s">
        <v>33</v>
      </c>
      <c r="U399" t="s">
        <v>51</v>
      </c>
      <c r="V399">
        <v>700</v>
      </c>
      <c r="W399" s="14" t="str">
        <f t="shared" si="40"/>
        <v xml:space="preserve"> - - + - - </v>
      </c>
      <c r="X399" s="14" t="str">
        <f t="shared" si="41"/>
        <v xml:space="preserve"> - - + - - </v>
      </c>
      <c r="Y399" s="14" t="str">
        <f t="shared" si="42"/>
        <v xml:space="preserve"> - - + - - </v>
      </c>
      <c r="Z399" s="14" t="str">
        <f t="shared" si="43"/>
        <v xml:space="preserve"> - - + - - </v>
      </c>
      <c r="AA399" s="14" t="str">
        <f t="shared" si="44"/>
        <v xml:space="preserve"> - - + - - </v>
      </c>
      <c r="AB399" s="14" t="str">
        <f t="shared" si="45"/>
        <v xml:space="preserve"> - - + - - </v>
      </c>
      <c r="AC399" s="14" t="str">
        <f t="shared" si="46"/>
        <v xml:space="preserve"> - - + - - </v>
      </c>
      <c r="AD399" s="14" t="str">
        <f t="shared" si="47"/>
        <v/>
      </c>
    </row>
    <row r="400" spans="5:30">
      <c r="E400" s="27"/>
      <c r="F400" s="8" t="s">
        <v>44</v>
      </c>
      <c r="G400" s="9" t="s">
        <v>33</v>
      </c>
      <c r="H400" s="23" t="s">
        <v>33</v>
      </c>
      <c r="I400" s="24"/>
      <c r="J400" s="22"/>
      <c r="K400" s="23" t="s">
        <v>33</v>
      </c>
      <c r="L400" s="22"/>
      <c r="M400" s="9" t="s">
        <v>33</v>
      </c>
      <c r="N400" s="9" t="s">
        <v>33</v>
      </c>
      <c r="O400" s="9" t="s">
        <v>33</v>
      </c>
      <c r="P400" s="9" t="s">
        <v>33</v>
      </c>
      <c r="Q400" s="23" t="s">
        <v>33</v>
      </c>
      <c r="R400" s="22"/>
      <c r="S400" s="8">
        <v>0</v>
      </c>
      <c r="U400" t="s">
        <v>66</v>
      </c>
      <c r="V400" t="s">
        <v>33</v>
      </c>
      <c r="W400" s="14" t="str">
        <f t="shared" si="40"/>
        <v/>
      </c>
      <c r="X400" s="14" t="str">
        <f t="shared" si="41"/>
        <v/>
      </c>
      <c r="Y400" s="14" t="str">
        <f t="shared" si="42"/>
        <v/>
      </c>
      <c r="Z400" s="14" t="str">
        <f t="shared" si="43"/>
        <v/>
      </c>
      <c r="AA400" s="14" t="str">
        <f t="shared" si="44"/>
        <v/>
      </c>
      <c r="AB400" s="14" t="str">
        <f t="shared" si="45"/>
        <v/>
      </c>
      <c r="AC400" s="14" t="str">
        <f t="shared" si="46"/>
        <v/>
      </c>
      <c r="AD400" s="14">
        <f t="shared" si="47"/>
        <v>2</v>
      </c>
    </row>
    <row r="401" spans="5:30">
      <c r="E401" s="29"/>
      <c r="F401" s="8" t="s">
        <v>45</v>
      </c>
      <c r="G401" s="9">
        <v>4</v>
      </c>
      <c r="H401" s="23">
        <v>4</v>
      </c>
      <c r="I401" s="24"/>
      <c r="J401" s="22"/>
      <c r="K401" s="23">
        <v>4</v>
      </c>
      <c r="L401" s="22"/>
      <c r="M401" s="9">
        <v>3</v>
      </c>
      <c r="N401" s="9">
        <v>3</v>
      </c>
      <c r="O401" s="9">
        <v>3</v>
      </c>
      <c r="P401" s="9">
        <v>2</v>
      </c>
      <c r="Q401" s="23">
        <v>2</v>
      </c>
      <c r="R401" s="22"/>
      <c r="S401" s="8">
        <v>22</v>
      </c>
      <c r="U401" t="s">
        <v>56</v>
      </c>
      <c r="V401" t="s">
        <v>33</v>
      </c>
      <c r="W401" s="14">
        <f t="shared" si="40"/>
        <v>4</v>
      </c>
      <c r="X401" s="14">
        <f t="shared" si="41"/>
        <v>4</v>
      </c>
      <c r="Y401" s="14">
        <f t="shared" si="42"/>
        <v>4</v>
      </c>
      <c r="Z401" s="14">
        <f t="shared" si="43"/>
        <v>3</v>
      </c>
      <c r="AA401" s="14">
        <f t="shared" si="44"/>
        <v>3</v>
      </c>
      <c r="AB401" s="14">
        <f t="shared" si="45"/>
        <v>3</v>
      </c>
      <c r="AC401" s="14">
        <f t="shared" si="46"/>
        <v>2</v>
      </c>
      <c r="AD401" s="14">
        <f t="shared" si="47"/>
        <v>10</v>
      </c>
    </row>
    <row r="402" spans="5:30">
      <c r="E402" s="6"/>
      <c r="F402" s="8" t="s">
        <v>47</v>
      </c>
      <c r="G402" s="9">
        <v>5</v>
      </c>
      <c r="H402" s="23">
        <v>6</v>
      </c>
      <c r="I402" s="24"/>
      <c r="J402" s="22"/>
      <c r="K402" s="23">
        <v>8</v>
      </c>
      <c r="L402" s="22"/>
      <c r="M402" s="9">
        <v>6.5</v>
      </c>
      <c r="N402" s="9">
        <v>6.5</v>
      </c>
      <c r="O402" s="9"/>
      <c r="P402" s="9">
        <v>7</v>
      </c>
      <c r="Q402" s="23">
        <v>10</v>
      </c>
      <c r="R402" s="22"/>
      <c r="S402" s="8" t="s">
        <v>33</v>
      </c>
      <c r="U402" t="s">
        <v>33</v>
      </c>
      <c r="V402" t="s">
        <v>33</v>
      </c>
      <c r="W402" s="14">
        <f t="shared" si="40"/>
        <v>5</v>
      </c>
      <c r="X402" s="14">
        <f t="shared" si="41"/>
        <v>6</v>
      </c>
      <c r="Y402" s="14">
        <f t="shared" si="42"/>
        <v>8</v>
      </c>
      <c r="Z402" s="14">
        <f t="shared" si="43"/>
        <v>6.5</v>
      </c>
      <c r="AA402" s="14">
        <f t="shared" si="44"/>
        <v>6.5</v>
      </c>
      <c r="AB402" s="14">
        <f t="shared" si="45"/>
        <v>0</v>
      </c>
      <c r="AC402" s="14">
        <f t="shared" si="46"/>
        <v>7</v>
      </c>
      <c r="AD402" s="14">
        <f t="shared" si="47"/>
        <v>20</v>
      </c>
    </row>
    <row r="403" spans="5:30">
      <c r="E403" s="6"/>
      <c r="F403" s="8" t="s">
        <v>49</v>
      </c>
      <c r="G403" s="9">
        <v>20</v>
      </c>
      <c r="H403" s="23">
        <v>24</v>
      </c>
      <c r="I403" s="24"/>
      <c r="J403" s="22"/>
      <c r="K403" s="23">
        <v>32</v>
      </c>
      <c r="L403" s="22"/>
      <c r="M403" s="9">
        <v>19.5</v>
      </c>
      <c r="N403" s="9">
        <v>19.5</v>
      </c>
      <c r="O403" s="9"/>
      <c r="P403" s="9">
        <v>14</v>
      </c>
      <c r="Q403" s="23">
        <v>20</v>
      </c>
      <c r="R403" s="22"/>
      <c r="S403" s="8">
        <v>149</v>
      </c>
      <c r="U403">
        <v>0</v>
      </c>
      <c r="V403">
        <v>0</v>
      </c>
      <c r="W403" s="14">
        <f t="shared" si="40"/>
        <v>20</v>
      </c>
      <c r="X403" s="14">
        <f t="shared" si="41"/>
        <v>24</v>
      </c>
      <c r="Y403" s="14">
        <f t="shared" si="42"/>
        <v>32</v>
      </c>
      <c r="Z403" s="14">
        <f t="shared" si="43"/>
        <v>19.5</v>
      </c>
      <c r="AA403" s="14">
        <f t="shared" si="44"/>
        <v>19.5</v>
      </c>
      <c r="AB403" s="14">
        <f t="shared" si="45"/>
        <v>0</v>
      </c>
      <c r="AC403" s="14">
        <f t="shared" si="46"/>
        <v>14</v>
      </c>
      <c r="AD403" s="14">
        <f t="shared" si="47"/>
        <v>48</v>
      </c>
    </row>
    <row r="404" spans="5:30">
      <c r="E404" s="4"/>
      <c r="F404" s="8" t="s">
        <v>36</v>
      </c>
      <c r="G404" s="9">
        <v>46</v>
      </c>
      <c r="H404" s="23">
        <v>57</v>
      </c>
      <c r="I404" s="24"/>
      <c r="J404" s="22"/>
      <c r="K404" s="23">
        <v>79</v>
      </c>
      <c r="L404" s="22"/>
      <c r="M404" s="9">
        <v>63</v>
      </c>
      <c r="N404" s="9">
        <v>62</v>
      </c>
      <c r="O404" s="9">
        <v>26</v>
      </c>
      <c r="P404" s="9">
        <v>34</v>
      </c>
      <c r="Q404" s="23">
        <v>48</v>
      </c>
      <c r="R404" s="22"/>
      <c r="S404" s="8">
        <v>415</v>
      </c>
      <c r="U404">
        <v>0</v>
      </c>
      <c r="V404">
        <v>0</v>
      </c>
      <c r="W404" s="14">
        <f t="shared" si="40"/>
        <v>46</v>
      </c>
      <c r="X404" s="14">
        <f t="shared" si="41"/>
        <v>57</v>
      </c>
      <c r="Y404" s="14">
        <f t="shared" si="42"/>
        <v>79</v>
      </c>
      <c r="Z404" s="14">
        <f t="shared" si="43"/>
        <v>63</v>
      </c>
      <c r="AA404" s="14">
        <f t="shared" si="44"/>
        <v>62</v>
      </c>
      <c r="AB404" s="14">
        <f t="shared" si="45"/>
        <v>26</v>
      </c>
      <c r="AC404" s="14">
        <f t="shared" si="46"/>
        <v>34</v>
      </c>
      <c r="AD404" s="14">
        <f t="shared" si="47"/>
        <v>50</v>
      </c>
    </row>
    <row r="405" spans="5:30">
      <c r="E405" s="6"/>
      <c r="F405" s="8" t="s">
        <v>52</v>
      </c>
      <c r="G405" s="9">
        <v>100</v>
      </c>
      <c r="H405" s="23">
        <v>100</v>
      </c>
      <c r="I405" s="24"/>
      <c r="J405" s="22"/>
      <c r="K405" s="23">
        <v>100</v>
      </c>
      <c r="L405" s="22"/>
      <c r="M405" s="9">
        <v>100</v>
      </c>
      <c r="N405" s="9">
        <v>100</v>
      </c>
      <c r="O405" s="9">
        <v>100</v>
      </c>
      <c r="P405" s="9">
        <v>50</v>
      </c>
      <c r="Q405" s="23">
        <v>50</v>
      </c>
      <c r="R405" s="22"/>
      <c r="S405" s="8">
        <v>700</v>
      </c>
      <c r="U405" t="s">
        <v>31</v>
      </c>
      <c r="V405" t="s">
        <v>33</v>
      </c>
      <c r="W405" s="14">
        <f t="shared" si="40"/>
        <v>100</v>
      </c>
      <c r="X405" s="14">
        <f t="shared" si="41"/>
        <v>100</v>
      </c>
      <c r="Y405" s="14">
        <f t="shared" si="42"/>
        <v>100</v>
      </c>
      <c r="Z405" s="14">
        <f t="shared" si="43"/>
        <v>100</v>
      </c>
      <c r="AA405" s="14">
        <f t="shared" si="44"/>
        <v>100</v>
      </c>
      <c r="AB405" s="14">
        <f t="shared" si="45"/>
        <v>100</v>
      </c>
      <c r="AC405" s="14">
        <f t="shared" si="46"/>
        <v>50</v>
      </c>
      <c r="AD405" s="14" t="str">
        <f t="shared" si="47"/>
        <v>OO+</v>
      </c>
    </row>
    <row r="406" spans="5:30">
      <c r="E406" s="4"/>
      <c r="F406" s="8" t="s">
        <v>54</v>
      </c>
      <c r="G406" s="9" t="s">
        <v>55</v>
      </c>
      <c r="H406" s="23" t="s">
        <v>147</v>
      </c>
      <c r="I406" s="24"/>
      <c r="J406" s="22"/>
      <c r="K406" s="23" t="s">
        <v>135</v>
      </c>
      <c r="L406" s="22"/>
      <c r="M406" s="9" t="s">
        <v>76</v>
      </c>
      <c r="N406" s="9" t="s">
        <v>76</v>
      </c>
      <c r="O406" s="9"/>
      <c r="P406" s="9" t="s">
        <v>109</v>
      </c>
      <c r="Q406" s="23" t="s">
        <v>93</v>
      </c>
      <c r="R406" s="22"/>
      <c r="S406" s="8" t="s">
        <v>33</v>
      </c>
      <c r="U406" t="s">
        <v>324</v>
      </c>
      <c r="V406" t="s">
        <v>36</v>
      </c>
      <c r="W406" s="14" t="str">
        <f t="shared" si="40"/>
        <v>BC</v>
      </c>
      <c r="X406" s="14" t="str">
        <f t="shared" si="41"/>
        <v>BB+</v>
      </c>
      <c r="Y406" s="14" t="str">
        <f t="shared" si="42"/>
        <v>AA+</v>
      </c>
      <c r="Z406" s="14" t="str">
        <f t="shared" si="43"/>
        <v>AB</v>
      </c>
      <c r="AA406" s="14" t="str">
        <f t="shared" si="44"/>
        <v>AB</v>
      </c>
      <c r="AB406" s="14">
        <f t="shared" si="45"/>
        <v>0</v>
      </c>
      <c r="AC406" s="14" t="str">
        <f t="shared" si="46"/>
        <v>AB+</v>
      </c>
      <c r="AD406" s="14" t="str">
        <f t="shared" si="47"/>
        <v>Pass</v>
      </c>
    </row>
    <row r="407" spans="5:30">
      <c r="E407" s="11" t="s">
        <v>323</v>
      </c>
      <c r="F407" s="8" t="s">
        <v>58</v>
      </c>
      <c r="G407" s="9" t="s">
        <v>59</v>
      </c>
      <c r="H407" s="23" t="s">
        <v>59</v>
      </c>
      <c r="I407" s="24"/>
      <c r="J407" s="22"/>
      <c r="K407" s="23" t="s">
        <v>59</v>
      </c>
      <c r="L407" s="22"/>
      <c r="M407" s="9" t="s">
        <v>59</v>
      </c>
      <c r="N407" s="9" t="s">
        <v>59</v>
      </c>
      <c r="O407" s="9" t="s">
        <v>68</v>
      </c>
      <c r="P407" s="9" t="s">
        <v>59</v>
      </c>
      <c r="Q407" s="23" t="s">
        <v>59</v>
      </c>
      <c r="R407" s="22"/>
      <c r="S407" s="8" t="s">
        <v>33</v>
      </c>
      <c r="U407" t="s">
        <v>37</v>
      </c>
      <c r="V407" t="s">
        <v>33</v>
      </c>
      <c r="W407" s="14" t="str">
        <f t="shared" si="40"/>
        <v>Pass</v>
      </c>
      <c r="X407" s="14" t="str">
        <f t="shared" si="41"/>
        <v>Pass</v>
      </c>
      <c r="Y407" s="14" t="str">
        <f t="shared" si="42"/>
        <v>Pass</v>
      </c>
      <c r="Z407" s="14" t="str">
        <f t="shared" si="43"/>
        <v>Pass</v>
      </c>
      <c r="AA407" s="14" t="str">
        <f t="shared" si="44"/>
        <v>Pass</v>
      </c>
      <c r="AB407" s="14" t="str">
        <f t="shared" si="45"/>
        <v>Fail</v>
      </c>
      <c r="AC407" s="14" t="str">
        <f t="shared" si="46"/>
        <v>Pass</v>
      </c>
      <c r="AD407" s="14" t="str">
        <f t="shared" si="47"/>
        <v/>
      </c>
    </row>
    <row r="408" spans="5:30">
      <c r="E408" s="12" t="s">
        <v>33</v>
      </c>
      <c r="F408" s="12" t="s">
        <v>33</v>
      </c>
      <c r="G408" s="13" t="s">
        <v>33</v>
      </c>
      <c r="H408" s="20" t="s">
        <v>33</v>
      </c>
      <c r="I408" s="18"/>
      <c r="J408" s="18"/>
      <c r="K408" s="20" t="s">
        <v>33</v>
      </c>
      <c r="L408" s="18"/>
      <c r="M408" s="13" t="s">
        <v>33</v>
      </c>
      <c r="N408" s="13" t="s">
        <v>33</v>
      </c>
      <c r="O408" s="13" t="s">
        <v>33</v>
      </c>
      <c r="P408" s="13" t="s">
        <v>33</v>
      </c>
      <c r="Q408" s="20" t="s">
        <v>33</v>
      </c>
      <c r="R408" s="18"/>
      <c r="S408" s="13" t="s">
        <v>33</v>
      </c>
      <c r="U408" t="s">
        <v>329</v>
      </c>
      <c r="V408" t="s">
        <v>33</v>
      </c>
      <c r="W408" s="14" t="str">
        <f t="shared" si="40"/>
        <v/>
      </c>
      <c r="X408" s="14" t="str">
        <f t="shared" si="41"/>
        <v/>
      </c>
      <c r="Y408" s="14" t="str">
        <f t="shared" si="42"/>
        <v/>
      </c>
      <c r="Z408" s="14" t="str">
        <f t="shared" si="43"/>
        <v/>
      </c>
      <c r="AA408" s="14" t="str">
        <f t="shared" si="44"/>
        <v/>
      </c>
      <c r="AB408" s="14" t="str">
        <f t="shared" si="45"/>
        <v/>
      </c>
      <c r="AC408" s="14" t="str">
        <f t="shared" si="46"/>
        <v/>
      </c>
      <c r="AD408" s="14">
        <f t="shared" si="47"/>
        <v>0</v>
      </c>
    </row>
    <row r="409" spans="5:30" ht="0" hidden="1" customHeight="1">
      <c r="U409">
        <v>0</v>
      </c>
      <c r="V409">
        <v>0</v>
      </c>
      <c r="W409" s="14">
        <f t="shared" si="40"/>
        <v>0</v>
      </c>
      <c r="X409" s="14">
        <f t="shared" si="41"/>
        <v>0</v>
      </c>
      <c r="Y409" s="14">
        <f t="shared" si="42"/>
        <v>0</v>
      </c>
      <c r="Z409" s="14">
        <f t="shared" si="43"/>
        <v>0</v>
      </c>
      <c r="AA409" s="14">
        <f t="shared" si="44"/>
        <v>0</v>
      </c>
      <c r="AB409" s="14">
        <f t="shared" si="45"/>
        <v>0</v>
      </c>
      <c r="AC409" s="14">
        <f t="shared" si="46"/>
        <v>0</v>
      </c>
      <c r="AD409" s="14">
        <f t="shared" si="47"/>
        <v>0</v>
      </c>
    </row>
    <row r="410" spans="5:30" ht="0.6" customHeight="1">
      <c r="U410">
        <v>0</v>
      </c>
      <c r="V410">
        <v>25</v>
      </c>
      <c r="W410" s="14">
        <f t="shared" si="40"/>
        <v>0</v>
      </c>
      <c r="X410" s="14">
        <f t="shared" si="41"/>
        <v>0</v>
      </c>
      <c r="Y410" s="14">
        <f t="shared" si="42"/>
        <v>0</v>
      </c>
      <c r="Z410" s="14">
        <f t="shared" si="43"/>
        <v>0</v>
      </c>
      <c r="AA410" s="14">
        <f t="shared" si="44"/>
        <v>0</v>
      </c>
      <c r="AB410" s="14">
        <f t="shared" si="45"/>
        <v>0</v>
      </c>
      <c r="AC410" s="14">
        <f t="shared" si="46"/>
        <v>0</v>
      </c>
      <c r="AD410" s="14" t="str">
        <f t="shared" si="47"/>
        <v/>
      </c>
    </row>
    <row r="411" spans="5:30">
      <c r="E411" s="4"/>
      <c r="F411" s="3" t="s">
        <v>32</v>
      </c>
      <c r="G411" s="5" t="s">
        <v>33</v>
      </c>
      <c r="H411" s="32" t="s">
        <v>33</v>
      </c>
      <c r="I411" s="18"/>
      <c r="J411" s="18"/>
      <c r="K411" s="32" t="s">
        <v>33</v>
      </c>
      <c r="L411" s="18"/>
      <c r="M411" s="5" t="s">
        <v>33</v>
      </c>
      <c r="N411" s="5" t="s">
        <v>33</v>
      </c>
      <c r="O411" s="5" t="s">
        <v>33</v>
      </c>
      <c r="P411" s="5" t="s">
        <v>33</v>
      </c>
      <c r="Q411" s="32" t="s">
        <v>33</v>
      </c>
      <c r="R411" s="18"/>
      <c r="S411" s="5" t="s">
        <v>33</v>
      </c>
      <c r="U411" t="s">
        <v>46</v>
      </c>
      <c r="V411" t="s">
        <v>33</v>
      </c>
      <c r="W411" s="14" t="str">
        <f t="shared" si="40"/>
        <v/>
      </c>
      <c r="X411" s="14" t="str">
        <f t="shared" si="41"/>
        <v/>
      </c>
      <c r="Y411" s="14" t="str">
        <f t="shared" si="42"/>
        <v/>
      </c>
      <c r="Z411" s="14" t="str">
        <f t="shared" si="43"/>
        <v/>
      </c>
      <c r="AA411" s="14" t="str">
        <f t="shared" si="44"/>
        <v/>
      </c>
      <c r="AB411" s="14" t="str">
        <f t="shared" si="45"/>
        <v/>
      </c>
      <c r="AC411" s="14" t="str">
        <f t="shared" si="46"/>
        <v/>
      </c>
      <c r="AD411" s="14" t="str">
        <f t="shared" si="47"/>
        <v>COMNSSN302</v>
      </c>
    </row>
    <row r="412" spans="5:30" ht="21">
      <c r="E412" s="4"/>
      <c r="F412" s="7" t="s">
        <v>35</v>
      </c>
      <c r="G412" s="7" t="s">
        <v>5</v>
      </c>
      <c r="H412" s="30" t="s">
        <v>7</v>
      </c>
      <c r="I412" s="24"/>
      <c r="J412" s="22"/>
      <c r="K412" s="30" t="s">
        <v>9</v>
      </c>
      <c r="L412" s="22"/>
      <c r="M412" s="7" t="s">
        <v>11</v>
      </c>
      <c r="N412" s="7" t="s">
        <v>15</v>
      </c>
      <c r="O412" s="7" t="s">
        <v>17</v>
      </c>
      <c r="P412" s="7" t="s">
        <v>21</v>
      </c>
      <c r="Q412" s="30" t="s">
        <v>25</v>
      </c>
      <c r="R412" s="22"/>
      <c r="S412" s="7" t="s">
        <v>36</v>
      </c>
      <c r="U412" t="s">
        <v>48</v>
      </c>
      <c r="V412">
        <v>213</v>
      </c>
      <c r="W412" s="14" t="str">
        <f t="shared" si="40"/>
        <v>BBABMCN301</v>
      </c>
      <c r="X412" s="14" t="str">
        <f t="shared" si="41"/>
        <v>BBABMCN302</v>
      </c>
      <c r="Y412" s="14" t="str">
        <f t="shared" si="42"/>
        <v>BBABMCN303</v>
      </c>
      <c r="Z412" s="14" t="str">
        <f t="shared" si="43"/>
        <v>BBAENLN301</v>
      </c>
      <c r="AA412" s="14" t="str">
        <f t="shared" si="44"/>
        <v>BBAKALN302</v>
      </c>
      <c r="AB412" s="14" t="str">
        <f t="shared" si="45"/>
        <v>BCACAEN302</v>
      </c>
      <c r="AC412" s="14" t="str">
        <f t="shared" si="46"/>
        <v>COMFISN301</v>
      </c>
      <c r="AD412" s="14" t="str">
        <f t="shared" si="47"/>
        <v xml:space="preserve"> - - + - - </v>
      </c>
    </row>
    <row r="413" spans="5:30" ht="22.5">
      <c r="E413" s="6" t="s">
        <v>325</v>
      </c>
      <c r="F413" s="8" t="s">
        <v>39</v>
      </c>
      <c r="G413" s="9" t="s">
        <v>155</v>
      </c>
      <c r="H413" s="23" t="s">
        <v>154</v>
      </c>
      <c r="I413" s="24"/>
      <c r="J413" s="22"/>
      <c r="K413" s="23" t="s">
        <v>284</v>
      </c>
      <c r="L413" s="22"/>
      <c r="M413" s="9" t="s">
        <v>326</v>
      </c>
      <c r="N413" s="9" t="s">
        <v>327</v>
      </c>
      <c r="O413" s="9" t="s">
        <v>252</v>
      </c>
      <c r="P413" s="9" t="s">
        <v>328</v>
      </c>
      <c r="Q413" s="23" t="s">
        <v>43</v>
      </c>
      <c r="R413" s="22"/>
      <c r="S413" s="8" t="s">
        <v>33</v>
      </c>
      <c r="U413" t="s">
        <v>50</v>
      </c>
      <c r="V413">
        <v>568</v>
      </c>
      <c r="W413" s="14" t="str">
        <f t="shared" si="40"/>
        <v>50.00 + 36.00</v>
      </c>
      <c r="X413" s="14" t="str">
        <f t="shared" si="41"/>
        <v>41.00 + 33.00</v>
      </c>
      <c r="Y413" s="14" t="str">
        <f t="shared" si="42"/>
        <v>56.00 + 40.00</v>
      </c>
      <c r="Z413" s="14" t="str">
        <f t="shared" si="43"/>
        <v>35.00 + 32.00</v>
      </c>
      <c r="AA413" s="14" t="str">
        <f t="shared" si="44"/>
        <v>44.00 + 33.00</v>
      </c>
      <c r="AB413" s="14" t="str">
        <f t="shared" si="45"/>
        <v>43.00 + 33.00</v>
      </c>
      <c r="AC413" s="14" t="str">
        <f t="shared" si="46"/>
        <v>28.00 + 16.00</v>
      </c>
      <c r="AD413" s="14" t="str">
        <f t="shared" si="47"/>
        <v xml:space="preserve"> - - +48.00</v>
      </c>
    </row>
    <row r="414" spans="5:30">
      <c r="E414" s="25"/>
      <c r="F414" s="8" t="s">
        <v>42</v>
      </c>
      <c r="G414" s="9" t="s">
        <v>43</v>
      </c>
      <c r="H414" s="23" t="s">
        <v>43</v>
      </c>
      <c r="I414" s="24"/>
      <c r="J414" s="22"/>
      <c r="K414" s="23" t="s">
        <v>43</v>
      </c>
      <c r="L414" s="22"/>
      <c r="M414" s="9" t="s">
        <v>43</v>
      </c>
      <c r="N414" s="9" t="s">
        <v>43</v>
      </c>
      <c r="O414" s="9" t="s">
        <v>43</v>
      </c>
      <c r="P414" s="9" t="s">
        <v>43</v>
      </c>
      <c r="Q414" s="23" t="s">
        <v>107</v>
      </c>
      <c r="R414" s="22"/>
      <c r="S414" s="8" t="s">
        <v>33</v>
      </c>
      <c r="U414" t="s">
        <v>51</v>
      </c>
      <c r="V414">
        <v>700</v>
      </c>
      <c r="W414" s="14" t="str">
        <f t="shared" si="40"/>
        <v xml:space="preserve"> - - + - - </v>
      </c>
      <c r="X414" s="14" t="str">
        <f t="shared" si="41"/>
        <v xml:space="preserve"> - - + - - </v>
      </c>
      <c r="Y414" s="14" t="str">
        <f t="shared" si="42"/>
        <v xml:space="preserve"> - - + - - </v>
      </c>
      <c r="Z414" s="14" t="str">
        <f t="shared" si="43"/>
        <v xml:space="preserve"> - - + - - </v>
      </c>
      <c r="AA414" s="14" t="str">
        <f t="shared" si="44"/>
        <v xml:space="preserve"> - - + - - </v>
      </c>
      <c r="AB414" s="14" t="str">
        <f t="shared" si="45"/>
        <v xml:space="preserve"> - - + - - </v>
      </c>
      <c r="AC414" s="14" t="str">
        <f t="shared" si="46"/>
        <v xml:space="preserve"> - - + - - </v>
      </c>
      <c r="AD414" s="14" t="str">
        <f t="shared" si="47"/>
        <v/>
      </c>
    </row>
    <row r="415" spans="5:30">
      <c r="E415" s="27"/>
      <c r="F415" s="8" t="s">
        <v>44</v>
      </c>
      <c r="G415" s="9" t="s">
        <v>33</v>
      </c>
      <c r="H415" s="23" t="s">
        <v>33</v>
      </c>
      <c r="I415" s="24"/>
      <c r="J415" s="22"/>
      <c r="K415" s="23" t="s">
        <v>33</v>
      </c>
      <c r="L415" s="22"/>
      <c r="M415" s="9" t="s">
        <v>33</v>
      </c>
      <c r="N415" s="9" t="s">
        <v>33</v>
      </c>
      <c r="O415" s="9" t="s">
        <v>33</v>
      </c>
      <c r="P415" s="9" t="s">
        <v>33</v>
      </c>
      <c r="Q415" s="23" t="s">
        <v>33</v>
      </c>
      <c r="R415" s="22"/>
      <c r="S415" s="8">
        <v>0</v>
      </c>
      <c r="U415" t="s">
        <v>170</v>
      </c>
      <c r="V415" t="s">
        <v>33</v>
      </c>
      <c r="W415" s="14" t="str">
        <f t="shared" si="40"/>
        <v/>
      </c>
      <c r="X415" s="14" t="str">
        <f t="shared" si="41"/>
        <v/>
      </c>
      <c r="Y415" s="14" t="str">
        <f t="shared" si="42"/>
        <v/>
      </c>
      <c r="Z415" s="14" t="str">
        <f t="shared" si="43"/>
        <v/>
      </c>
      <c r="AA415" s="14" t="str">
        <f t="shared" si="44"/>
        <v/>
      </c>
      <c r="AB415" s="14" t="str">
        <f t="shared" si="45"/>
        <v/>
      </c>
      <c r="AC415" s="14" t="str">
        <f t="shared" si="46"/>
        <v/>
      </c>
      <c r="AD415" s="14">
        <f t="shared" si="47"/>
        <v>2</v>
      </c>
    </row>
    <row r="416" spans="5:30">
      <c r="E416" s="29"/>
      <c r="F416" s="8" t="s">
        <v>45</v>
      </c>
      <c r="G416" s="9">
        <v>4</v>
      </c>
      <c r="H416" s="23">
        <v>4</v>
      </c>
      <c r="I416" s="24"/>
      <c r="J416" s="22"/>
      <c r="K416" s="23">
        <v>4</v>
      </c>
      <c r="L416" s="22"/>
      <c r="M416" s="9">
        <v>3</v>
      </c>
      <c r="N416" s="9">
        <v>3</v>
      </c>
      <c r="O416" s="9">
        <v>3</v>
      </c>
      <c r="P416" s="9">
        <v>2</v>
      </c>
      <c r="Q416" s="23">
        <v>2</v>
      </c>
      <c r="R416" s="22"/>
      <c r="S416" s="8">
        <v>25</v>
      </c>
      <c r="U416" t="s">
        <v>56</v>
      </c>
      <c r="V416" t="s">
        <v>33</v>
      </c>
      <c r="W416" s="14">
        <f t="shared" si="40"/>
        <v>4</v>
      </c>
      <c r="X416" s="14">
        <f t="shared" si="41"/>
        <v>4</v>
      </c>
      <c r="Y416" s="14">
        <f t="shared" si="42"/>
        <v>4</v>
      </c>
      <c r="Z416" s="14">
        <f t="shared" si="43"/>
        <v>3</v>
      </c>
      <c r="AA416" s="14">
        <f t="shared" si="44"/>
        <v>3</v>
      </c>
      <c r="AB416" s="14">
        <f t="shared" si="45"/>
        <v>3</v>
      </c>
      <c r="AC416" s="14">
        <f t="shared" si="46"/>
        <v>2</v>
      </c>
      <c r="AD416" s="14">
        <f t="shared" si="47"/>
        <v>10</v>
      </c>
    </row>
    <row r="417" spans="5:30">
      <c r="E417" s="6">
        <v>8.52</v>
      </c>
      <c r="F417" s="8" t="s">
        <v>47</v>
      </c>
      <c r="G417" s="9">
        <v>9</v>
      </c>
      <c r="H417" s="23">
        <v>7.5</v>
      </c>
      <c r="I417" s="24"/>
      <c r="J417" s="22"/>
      <c r="K417" s="23">
        <v>10</v>
      </c>
      <c r="L417" s="22"/>
      <c r="M417" s="9">
        <v>7</v>
      </c>
      <c r="N417" s="9">
        <v>8</v>
      </c>
      <c r="O417" s="9">
        <v>8</v>
      </c>
      <c r="P417" s="9">
        <v>9</v>
      </c>
      <c r="Q417" s="23">
        <v>10</v>
      </c>
      <c r="R417" s="22"/>
      <c r="S417" s="8" t="s">
        <v>33</v>
      </c>
      <c r="U417" t="s">
        <v>33</v>
      </c>
      <c r="V417" t="s">
        <v>33</v>
      </c>
      <c r="W417" s="14">
        <f t="shared" si="40"/>
        <v>9</v>
      </c>
      <c r="X417" s="14">
        <f t="shared" si="41"/>
        <v>7.5</v>
      </c>
      <c r="Y417" s="14">
        <f t="shared" si="42"/>
        <v>10</v>
      </c>
      <c r="Z417" s="14">
        <f t="shared" si="43"/>
        <v>7</v>
      </c>
      <c r="AA417" s="14">
        <f t="shared" si="44"/>
        <v>8</v>
      </c>
      <c r="AB417" s="14">
        <f t="shared" si="45"/>
        <v>8</v>
      </c>
      <c r="AC417" s="14">
        <f t="shared" si="46"/>
        <v>9</v>
      </c>
      <c r="AD417" s="14">
        <f t="shared" si="47"/>
        <v>20</v>
      </c>
    </row>
    <row r="418" spans="5:30">
      <c r="E418" s="10">
        <v>8.08</v>
      </c>
      <c r="F418" s="8" t="s">
        <v>49</v>
      </c>
      <c r="G418" s="9">
        <v>36</v>
      </c>
      <c r="H418" s="23">
        <v>30</v>
      </c>
      <c r="I418" s="24"/>
      <c r="J418" s="22"/>
      <c r="K418" s="23">
        <v>40</v>
      </c>
      <c r="L418" s="22"/>
      <c r="M418" s="9">
        <v>21</v>
      </c>
      <c r="N418" s="9">
        <v>24</v>
      </c>
      <c r="O418" s="9">
        <v>24</v>
      </c>
      <c r="P418" s="9">
        <v>18</v>
      </c>
      <c r="Q418" s="23">
        <v>20</v>
      </c>
      <c r="R418" s="22"/>
      <c r="S418" s="8">
        <v>213</v>
      </c>
      <c r="U418">
        <v>0</v>
      </c>
      <c r="V418">
        <v>0</v>
      </c>
      <c r="W418" s="14">
        <f t="shared" si="40"/>
        <v>36</v>
      </c>
      <c r="X418" s="14">
        <f t="shared" si="41"/>
        <v>30</v>
      </c>
      <c r="Y418" s="14">
        <f t="shared" si="42"/>
        <v>40</v>
      </c>
      <c r="Z418" s="14">
        <f t="shared" si="43"/>
        <v>21</v>
      </c>
      <c r="AA418" s="14">
        <f t="shared" si="44"/>
        <v>24</v>
      </c>
      <c r="AB418" s="14">
        <f t="shared" si="45"/>
        <v>24</v>
      </c>
      <c r="AC418" s="14">
        <f t="shared" si="46"/>
        <v>18</v>
      </c>
      <c r="AD418" s="14">
        <f t="shared" si="47"/>
        <v>48</v>
      </c>
    </row>
    <row r="419" spans="5:30">
      <c r="E419" s="4"/>
      <c r="F419" s="8" t="s">
        <v>36</v>
      </c>
      <c r="G419" s="9">
        <v>86</v>
      </c>
      <c r="H419" s="23">
        <v>74</v>
      </c>
      <c r="I419" s="24"/>
      <c r="J419" s="22"/>
      <c r="K419" s="23">
        <v>96</v>
      </c>
      <c r="L419" s="22"/>
      <c r="M419" s="9">
        <v>67</v>
      </c>
      <c r="N419" s="9">
        <v>77</v>
      </c>
      <c r="O419" s="9">
        <v>76</v>
      </c>
      <c r="P419" s="9">
        <v>44</v>
      </c>
      <c r="Q419" s="23">
        <v>48</v>
      </c>
      <c r="R419" s="22"/>
      <c r="S419" s="8">
        <v>568</v>
      </c>
      <c r="U419">
        <v>0</v>
      </c>
      <c r="V419">
        <v>0</v>
      </c>
      <c r="W419" s="14">
        <f t="shared" si="40"/>
        <v>86</v>
      </c>
      <c r="X419" s="14">
        <f t="shared" si="41"/>
        <v>74</v>
      </c>
      <c r="Y419" s="14">
        <f t="shared" si="42"/>
        <v>96</v>
      </c>
      <c r="Z419" s="14">
        <f t="shared" si="43"/>
        <v>67</v>
      </c>
      <c r="AA419" s="14">
        <f t="shared" si="44"/>
        <v>77</v>
      </c>
      <c r="AB419" s="14">
        <f t="shared" si="45"/>
        <v>76</v>
      </c>
      <c r="AC419" s="14">
        <f t="shared" si="46"/>
        <v>44</v>
      </c>
      <c r="AD419" s="14">
        <f t="shared" si="47"/>
        <v>50</v>
      </c>
    </row>
    <row r="420" spans="5:30">
      <c r="E420" s="6"/>
      <c r="F420" s="8" t="s">
        <v>52</v>
      </c>
      <c r="G420" s="9">
        <v>100</v>
      </c>
      <c r="H420" s="23">
        <v>100</v>
      </c>
      <c r="I420" s="24"/>
      <c r="J420" s="22"/>
      <c r="K420" s="23">
        <v>100</v>
      </c>
      <c r="L420" s="22"/>
      <c r="M420" s="9">
        <v>100</v>
      </c>
      <c r="N420" s="9">
        <v>100</v>
      </c>
      <c r="O420" s="9">
        <v>100</v>
      </c>
      <c r="P420" s="9">
        <v>50</v>
      </c>
      <c r="Q420" s="23">
        <v>50</v>
      </c>
      <c r="R420" s="22"/>
      <c r="S420" s="8">
        <v>700</v>
      </c>
      <c r="U420" t="s">
        <v>31</v>
      </c>
      <c r="V420" t="s">
        <v>33</v>
      </c>
      <c r="W420" s="14">
        <f t="shared" si="40"/>
        <v>100</v>
      </c>
      <c r="X420" s="14">
        <f t="shared" si="41"/>
        <v>100</v>
      </c>
      <c r="Y420" s="14">
        <f t="shared" si="42"/>
        <v>100</v>
      </c>
      <c r="Z420" s="14">
        <f t="shared" si="43"/>
        <v>100</v>
      </c>
      <c r="AA420" s="14">
        <f t="shared" si="44"/>
        <v>100</v>
      </c>
      <c r="AB420" s="14">
        <f t="shared" si="45"/>
        <v>100</v>
      </c>
      <c r="AC420" s="14">
        <f t="shared" si="46"/>
        <v>50</v>
      </c>
      <c r="AD420" s="14" t="str">
        <f t="shared" si="47"/>
        <v>OO+</v>
      </c>
    </row>
    <row r="421" spans="5:30">
      <c r="E421" s="4"/>
      <c r="F421" s="8" t="s">
        <v>54</v>
      </c>
      <c r="G421" s="9" t="s">
        <v>122</v>
      </c>
      <c r="H421" s="23" t="s">
        <v>108</v>
      </c>
      <c r="I421" s="24"/>
      <c r="J421" s="22"/>
      <c r="K421" s="23" t="s">
        <v>93</v>
      </c>
      <c r="L421" s="22"/>
      <c r="M421" s="9" t="s">
        <v>109</v>
      </c>
      <c r="N421" s="9" t="s">
        <v>135</v>
      </c>
      <c r="O421" s="9" t="s">
        <v>135</v>
      </c>
      <c r="P421" s="9" t="s">
        <v>122</v>
      </c>
      <c r="Q421" s="23" t="s">
        <v>93</v>
      </c>
      <c r="R421" s="22"/>
      <c r="S421" s="8" t="s">
        <v>33</v>
      </c>
      <c r="U421" t="s">
        <v>331</v>
      </c>
      <c r="V421" t="s">
        <v>36</v>
      </c>
      <c r="W421" s="14" t="str">
        <f t="shared" si="40"/>
        <v>OA+</v>
      </c>
      <c r="X421" s="14" t="str">
        <f t="shared" si="41"/>
        <v>AA</v>
      </c>
      <c r="Y421" s="14" t="str">
        <f t="shared" si="42"/>
        <v>OO+</v>
      </c>
      <c r="Z421" s="14" t="str">
        <f t="shared" si="43"/>
        <v>AB+</v>
      </c>
      <c r="AA421" s="14" t="str">
        <f t="shared" si="44"/>
        <v>AA+</v>
      </c>
      <c r="AB421" s="14" t="str">
        <f t="shared" si="45"/>
        <v>AA+</v>
      </c>
      <c r="AC421" s="14" t="str">
        <f t="shared" si="46"/>
        <v>OA+</v>
      </c>
      <c r="AD421" s="14" t="str">
        <f t="shared" si="47"/>
        <v>Pass</v>
      </c>
    </row>
    <row r="422" spans="5:30">
      <c r="E422" s="11" t="s">
        <v>330</v>
      </c>
      <c r="F422" s="8" t="s">
        <v>58</v>
      </c>
      <c r="G422" s="9" t="s">
        <v>59</v>
      </c>
      <c r="H422" s="23" t="s">
        <v>59</v>
      </c>
      <c r="I422" s="24"/>
      <c r="J422" s="22"/>
      <c r="K422" s="23" t="s">
        <v>59</v>
      </c>
      <c r="L422" s="22"/>
      <c r="M422" s="9" t="s">
        <v>59</v>
      </c>
      <c r="N422" s="9" t="s">
        <v>59</v>
      </c>
      <c r="O422" s="9" t="s">
        <v>59</v>
      </c>
      <c r="P422" s="9" t="s">
        <v>59</v>
      </c>
      <c r="Q422" s="23" t="s">
        <v>59</v>
      </c>
      <c r="R422" s="22"/>
      <c r="S422" s="8" t="s">
        <v>33</v>
      </c>
      <c r="U422" t="s">
        <v>37</v>
      </c>
      <c r="V422" t="s">
        <v>33</v>
      </c>
      <c r="W422" s="14" t="str">
        <f t="shared" si="40"/>
        <v>Pass</v>
      </c>
      <c r="X422" s="14" t="str">
        <f t="shared" si="41"/>
        <v>Pass</v>
      </c>
      <c r="Y422" s="14" t="str">
        <f t="shared" si="42"/>
        <v>Pass</v>
      </c>
      <c r="Z422" s="14" t="str">
        <f t="shared" si="43"/>
        <v>Pass</v>
      </c>
      <c r="AA422" s="14" t="str">
        <f t="shared" si="44"/>
        <v>Pass</v>
      </c>
      <c r="AB422" s="14" t="str">
        <f t="shared" si="45"/>
        <v>Pass</v>
      </c>
      <c r="AC422" s="14" t="str">
        <f t="shared" si="46"/>
        <v>Pass</v>
      </c>
      <c r="AD422" s="14" t="str">
        <f t="shared" si="47"/>
        <v/>
      </c>
    </row>
    <row r="423" spans="5:30">
      <c r="E423" s="12" t="s">
        <v>33</v>
      </c>
      <c r="F423" s="12" t="s">
        <v>33</v>
      </c>
      <c r="G423" s="13" t="s">
        <v>33</v>
      </c>
      <c r="H423" s="20" t="s">
        <v>33</v>
      </c>
      <c r="I423" s="18"/>
      <c r="J423" s="18"/>
      <c r="K423" s="20" t="s">
        <v>33</v>
      </c>
      <c r="L423" s="18"/>
      <c r="M423" s="13" t="s">
        <v>33</v>
      </c>
      <c r="N423" s="13" t="s">
        <v>33</v>
      </c>
      <c r="O423" s="13" t="s">
        <v>33</v>
      </c>
      <c r="P423" s="13" t="s">
        <v>33</v>
      </c>
      <c r="Q423" s="20" t="s">
        <v>33</v>
      </c>
      <c r="R423" s="18"/>
      <c r="S423" s="13" t="s">
        <v>33</v>
      </c>
      <c r="U423" t="s">
        <v>339</v>
      </c>
      <c r="V423" t="s">
        <v>33</v>
      </c>
      <c r="W423" s="14" t="str">
        <f t="shared" si="40"/>
        <v/>
      </c>
      <c r="X423" s="14" t="str">
        <f t="shared" si="41"/>
        <v/>
      </c>
      <c r="Y423" s="14" t="str">
        <f t="shared" si="42"/>
        <v/>
      </c>
      <c r="Z423" s="14" t="str">
        <f t="shared" si="43"/>
        <v/>
      </c>
      <c r="AA423" s="14" t="str">
        <f t="shared" si="44"/>
        <v/>
      </c>
      <c r="AB423" s="14" t="str">
        <f t="shared" si="45"/>
        <v/>
      </c>
      <c r="AC423" s="14" t="str">
        <f t="shared" si="46"/>
        <v/>
      </c>
      <c r="AD423" s="14">
        <f t="shared" si="47"/>
        <v>0</v>
      </c>
    </row>
    <row r="424" spans="5:30" ht="0" hidden="1" customHeight="1">
      <c r="U424">
        <v>0</v>
      </c>
      <c r="V424">
        <v>0</v>
      </c>
      <c r="W424" s="14">
        <f t="shared" si="40"/>
        <v>0</v>
      </c>
      <c r="X424" s="14">
        <f t="shared" si="41"/>
        <v>0</v>
      </c>
      <c r="Y424" s="14">
        <f t="shared" si="42"/>
        <v>0</v>
      </c>
      <c r="Z424" s="14">
        <f t="shared" si="43"/>
        <v>0</v>
      </c>
      <c r="AA424" s="14">
        <f t="shared" si="44"/>
        <v>0</v>
      </c>
      <c r="AB424" s="14">
        <f t="shared" si="45"/>
        <v>0</v>
      </c>
      <c r="AC424" s="14">
        <f t="shared" si="46"/>
        <v>0</v>
      </c>
      <c r="AD424" s="14">
        <f t="shared" si="47"/>
        <v>0</v>
      </c>
    </row>
    <row r="425" spans="5:30" ht="0.6" customHeight="1">
      <c r="U425">
        <v>0</v>
      </c>
      <c r="V425">
        <v>25</v>
      </c>
      <c r="W425" s="14">
        <f t="shared" si="40"/>
        <v>0</v>
      </c>
      <c r="X425" s="14">
        <f t="shared" si="41"/>
        <v>0</v>
      </c>
      <c r="Y425" s="14">
        <f t="shared" si="42"/>
        <v>0</v>
      </c>
      <c r="Z425" s="14">
        <f t="shared" si="43"/>
        <v>0</v>
      </c>
      <c r="AA425" s="14">
        <f t="shared" si="44"/>
        <v>0</v>
      </c>
      <c r="AB425" s="14">
        <f t="shared" si="45"/>
        <v>0</v>
      </c>
      <c r="AC425" s="14">
        <f t="shared" si="46"/>
        <v>0</v>
      </c>
      <c r="AD425" s="14" t="str">
        <f t="shared" si="47"/>
        <v/>
      </c>
    </row>
    <row r="426" spans="5:30">
      <c r="E426" s="4"/>
      <c r="F426" s="3" t="s">
        <v>32</v>
      </c>
      <c r="G426" s="5" t="s">
        <v>33</v>
      </c>
      <c r="H426" s="32" t="s">
        <v>33</v>
      </c>
      <c r="I426" s="18"/>
      <c r="J426" s="18"/>
      <c r="K426" s="32" t="s">
        <v>33</v>
      </c>
      <c r="L426" s="18"/>
      <c r="M426" s="5" t="s">
        <v>33</v>
      </c>
      <c r="N426" s="5" t="s">
        <v>33</v>
      </c>
      <c r="O426" s="5" t="s">
        <v>33</v>
      </c>
      <c r="P426" s="5" t="s">
        <v>33</v>
      </c>
      <c r="Q426" s="32" t="s">
        <v>33</v>
      </c>
      <c r="R426" s="18"/>
      <c r="S426" s="5" t="s">
        <v>33</v>
      </c>
      <c r="U426" t="s">
        <v>46</v>
      </c>
      <c r="V426" t="s">
        <v>33</v>
      </c>
      <c r="W426" s="14" t="str">
        <f t="shared" si="40"/>
        <v/>
      </c>
      <c r="X426" s="14" t="str">
        <f t="shared" si="41"/>
        <v/>
      </c>
      <c r="Y426" s="14" t="str">
        <f t="shared" si="42"/>
        <v/>
      </c>
      <c r="Z426" s="14" t="str">
        <f t="shared" si="43"/>
        <v/>
      </c>
      <c r="AA426" s="14" t="str">
        <f t="shared" si="44"/>
        <v/>
      </c>
      <c r="AB426" s="14" t="str">
        <f t="shared" si="45"/>
        <v/>
      </c>
      <c r="AC426" s="14" t="str">
        <f t="shared" si="46"/>
        <v/>
      </c>
      <c r="AD426" s="14" t="str">
        <f t="shared" si="47"/>
        <v>COMNSSN302</v>
      </c>
    </row>
    <row r="427" spans="5:30" ht="21">
      <c r="E427" s="4"/>
      <c r="F427" s="7" t="s">
        <v>35</v>
      </c>
      <c r="G427" s="7" t="s">
        <v>5</v>
      </c>
      <c r="H427" s="30" t="s">
        <v>7</v>
      </c>
      <c r="I427" s="24"/>
      <c r="J427" s="22"/>
      <c r="K427" s="30" t="s">
        <v>9</v>
      </c>
      <c r="L427" s="22"/>
      <c r="M427" s="7" t="s">
        <v>11</v>
      </c>
      <c r="N427" s="7" t="s">
        <v>15</v>
      </c>
      <c r="O427" s="7" t="s">
        <v>17</v>
      </c>
      <c r="P427" s="7" t="s">
        <v>21</v>
      </c>
      <c r="Q427" s="30" t="s">
        <v>25</v>
      </c>
      <c r="R427" s="22"/>
      <c r="S427" s="7" t="s">
        <v>36</v>
      </c>
      <c r="U427" t="s">
        <v>48</v>
      </c>
      <c r="V427">
        <v>207</v>
      </c>
      <c r="W427" s="14" t="str">
        <f t="shared" si="40"/>
        <v>BBABMCN301</v>
      </c>
      <c r="X427" s="14" t="str">
        <f t="shared" si="41"/>
        <v>BBABMCN302</v>
      </c>
      <c r="Y427" s="14" t="str">
        <f t="shared" si="42"/>
        <v>BBABMCN303</v>
      </c>
      <c r="Z427" s="14" t="str">
        <f t="shared" si="43"/>
        <v>BBAENLN301</v>
      </c>
      <c r="AA427" s="14" t="str">
        <f t="shared" si="44"/>
        <v>BBAKALN302</v>
      </c>
      <c r="AB427" s="14" t="str">
        <f t="shared" si="45"/>
        <v>BCACAEN302</v>
      </c>
      <c r="AC427" s="14" t="str">
        <f t="shared" si="46"/>
        <v>COMFISN301</v>
      </c>
      <c r="AD427" s="14" t="str">
        <f t="shared" si="47"/>
        <v xml:space="preserve"> - - + - - </v>
      </c>
    </row>
    <row r="428" spans="5:30" ht="22.5">
      <c r="E428" s="6" t="s">
        <v>332</v>
      </c>
      <c r="F428" s="8" t="s">
        <v>39</v>
      </c>
      <c r="G428" s="9" t="s">
        <v>333</v>
      </c>
      <c r="H428" s="23" t="s">
        <v>283</v>
      </c>
      <c r="I428" s="24"/>
      <c r="J428" s="22"/>
      <c r="K428" s="23" t="s">
        <v>334</v>
      </c>
      <c r="L428" s="22"/>
      <c r="M428" s="9" t="s">
        <v>335</v>
      </c>
      <c r="N428" s="9" t="s">
        <v>336</v>
      </c>
      <c r="O428" s="9" t="s">
        <v>337</v>
      </c>
      <c r="P428" s="9" t="s">
        <v>338</v>
      </c>
      <c r="Q428" s="23" t="s">
        <v>43</v>
      </c>
      <c r="R428" s="22"/>
      <c r="S428" s="8" t="s">
        <v>33</v>
      </c>
      <c r="U428" t="s">
        <v>50</v>
      </c>
      <c r="V428">
        <v>553</v>
      </c>
      <c r="W428" s="14" t="str">
        <f t="shared" si="40"/>
        <v>43.00 + 25.00</v>
      </c>
      <c r="X428" s="14" t="str">
        <f t="shared" si="41"/>
        <v>46.00 + 34.00</v>
      </c>
      <c r="Y428" s="14" t="str">
        <f t="shared" si="42"/>
        <v>58.00 + 37.00</v>
      </c>
      <c r="Z428" s="14" t="str">
        <f t="shared" si="43"/>
        <v>37.00 + 26.00</v>
      </c>
      <c r="AA428" s="14" t="str">
        <f t="shared" si="44"/>
        <v>50.00 + 34.00</v>
      </c>
      <c r="AB428" s="14" t="str">
        <f t="shared" si="45"/>
        <v>47.00 + 22.00</v>
      </c>
      <c r="AC428" s="14" t="str">
        <f t="shared" si="46"/>
        <v>27.00 + 19.00</v>
      </c>
      <c r="AD428" s="14" t="str">
        <f t="shared" si="47"/>
        <v xml:space="preserve"> - - +48.00</v>
      </c>
    </row>
    <row r="429" spans="5:30">
      <c r="E429" s="25"/>
      <c r="F429" s="8" t="s">
        <v>42</v>
      </c>
      <c r="G429" s="9" t="s">
        <v>43</v>
      </c>
      <c r="H429" s="23" t="s">
        <v>43</v>
      </c>
      <c r="I429" s="24"/>
      <c r="J429" s="22"/>
      <c r="K429" s="23" t="s">
        <v>43</v>
      </c>
      <c r="L429" s="22"/>
      <c r="M429" s="9" t="s">
        <v>43</v>
      </c>
      <c r="N429" s="9" t="s">
        <v>43</v>
      </c>
      <c r="O429" s="9" t="s">
        <v>43</v>
      </c>
      <c r="P429" s="9" t="s">
        <v>43</v>
      </c>
      <c r="Q429" s="23" t="s">
        <v>107</v>
      </c>
      <c r="R429" s="22"/>
      <c r="S429" s="8" t="s">
        <v>33</v>
      </c>
      <c r="U429" t="s">
        <v>51</v>
      </c>
      <c r="V429">
        <v>700</v>
      </c>
      <c r="W429" s="14" t="str">
        <f t="shared" si="40"/>
        <v xml:space="preserve"> - - + - - </v>
      </c>
      <c r="X429" s="14" t="str">
        <f t="shared" si="41"/>
        <v xml:space="preserve"> - - + - - </v>
      </c>
      <c r="Y429" s="14" t="str">
        <f t="shared" si="42"/>
        <v xml:space="preserve"> - - + - - </v>
      </c>
      <c r="Z429" s="14" t="str">
        <f t="shared" si="43"/>
        <v xml:space="preserve"> - - + - - </v>
      </c>
      <c r="AA429" s="14" t="str">
        <f t="shared" si="44"/>
        <v xml:space="preserve"> - - + - - </v>
      </c>
      <c r="AB429" s="14" t="str">
        <f t="shared" si="45"/>
        <v xml:space="preserve"> - - + - - </v>
      </c>
      <c r="AC429" s="14" t="str">
        <f t="shared" si="46"/>
        <v xml:space="preserve"> - - + - - </v>
      </c>
      <c r="AD429" s="14" t="str">
        <f t="shared" si="47"/>
        <v/>
      </c>
    </row>
    <row r="430" spans="5:30">
      <c r="E430" s="27"/>
      <c r="F430" s="8" t="s">
        <v>44</v>
      </c>
      <c r="G430" s="9" t="s">
        <v>33</v>
      </c>
      <c r="H430" s="23" t="s">
        <v>33</v>
      </c>
      <c r="I430" s="24"/>
      <c r="J430" s="22"/>
      <c r="K430" s="23" t="s">
        <v>33</v>
      </c>
      <c r="L430" s="22"/>
      <c r="M430" s="9" t="s">
        <v>33</v>
      </c>
      <c r="N430" s="9" t="s">
        <v>33</v>
      </c>
      <c r="O430" s="9" t="s">
        <v>33</v>
      </c>
      <c r="P430" s="9" t="s">
        <v>33</v>
      </c>
      <c r="Q430" s="23" t="s">
        <v>33</v>
      </c>
      <c r="R430" s="22"/>
      <c r="S430" s="8">
        <v>0</v>
      </c>
      <c r="U430" t="s">
        <v>159</v>
      </c>
      <c r="V430" t="s">
        <v>33</v>
      </c>
      <c r="W430" s="14" t="str">
        <f t="shared" si="40"/>
        <v/>
      </c>
      <c r="X430" s="14" t="str">
        <f t="shared" si="41"/>
        <v/>
      </c>
      <c r="Y430" s="14" t="str">
        <f t="shared" si="42"/>
        <v/>
      </c>
      <c r="Z430" s="14" t="str">
        <f t="shared" si="43"/>
        <v/>
      </c>
      <c r="AA430" s="14" t="str">
        <f t="shared" si="44"/>
        <v/>
      </c>
      <c r="AB430" s="14" t="str">
        <f t="shared" si="45"/>
        <v/>
      </c>
      <c r="AC430" s="14" t="str">
        <f t="shared" si="46"/>
        <v/>
      </c>
      <c r="AD430" s="14">
        <f t="shared" si="47"/>
        <v>2</v>
      </c>
    </row>
    <row r="431" spans="5:30">
      <c r="E431" s="29"/>
      <c r="F431" s="8" t="s">
        <v>45</v>
      </c>
      <c r="G431" s="9">
        <v>4</v>
      </c>
      <c r="H431" s="23">
        <v>4</v>
      </c>
      <c r="I431" s="24"/>
      <c r="J431" s="22"/>
      <c r="K431" s="23">
        <v>4</v>
      </c>
      <c r="L431" s="22"/>
      <c r="M431" s="9">
        <v>3</v>
      </c>
      <c r="N431" s="9">
        <v>3</v>
      </c>
      <c r="O431" s="9">
        <v>3</v>
      </c>
      <c r="P431" s="9">
        <v>2</v>
      </c>
      <c r="Q431" s="23">
        <v>2</v>
      </c>
      <c r="R431" s="22"/>
      <c r="S431" s="8">
        <v>25</v>
      </c>
      <c r="U431" t="s">
        <v>56</v>
      </c>
      <c r="V431" t="s">
        <v>33</v>
      </c>
      <c r="W431" s="14">
        <f t="shared" si="40"/>
        <v>4</v>
      </c>
      <c r="X431" s="14">
        <f t="shared" si="41"/>
        <v>4</v>
      </c>
      <c r="Y431" s="14">
        <f t="shared" si="42"/>
        <v>4</v>
      </c>
      <c r="Z431" s="14">
        <f t="shared" si="43"/>
        <v>3</v>
      </c>
      <c r="AA431" s="14">
        <f t="shared" si="44"/>
        <v>3</v>
      </c>
      <c r="AB431" s="14">
        <f t="shared" si="45"/>
        <v>3</v>
      </c>
      <c r="AC431" s="14">
        <f t="shared" si="46"/>
        <v>2</v>
      </c>
      <c r="AD431" s="14">
        <f t="shared" si="47"/>
        <v>10</v>
      </c>
    </row>
    <row r="432" spans="5:30">
      <c r="E432" s="6">
        <v>8.2799999999999994</v>
      </c>
      <c r="F432" s="8" t="s">
        <v>47</v>
      </c>
      <c r="G432" s="9">
        <v>7</v>
      </c>
      <c r="H432" s="23">
        <v>8.5</v>
      </c>
      <c r="I432" s="24"/>
      <c r="J432" s="22"/>
      <c r="K432" s="23">
        <v>10</v>
      </c>
      <c r="L432" s="22"/>
      <c r="M432" s="9">
        <v>6.5</v>
      </c>
      <c r="N432" s="9">
        <v>8.5</v>
      </c>
      <c r="O432" s="9">
        <v>7</v>
      </c>
      <c r="P432" s="9">
        <v>9.5</v>
      </c>
      <c r="Q432" s="23">
        <v>10</v>
      </c>
      <c r="R432" s="22"/>
      <c r="S432" s="8" t="s">
        <v>33</v>
      </c>
      <c r="U432" t="s">
        <v>33</v>
      </c>
      <c r="V432" t="s">
        <v>33</v>
      </c>
      <c r="W432" s="14">
        <f t="shared" si="40"/>
        <v>7</v>
      </c>
      <c r="X432" s="14">
        <f t="shared" si="41"/>
        <v>8.5</v>
      </c>
      <c r="Y432" s="14">
        <f t="shared" si="42"/>
        <v>10</v>
      </c>
      <c r="Z432" s="14">
        <f t="shared" si="43"/>
        <v>6.5</v>
      </c>
      <c r="AA432" s="14">
        <f t="shared" si="44"/>
        <v>8.5</v>
      </c>
      <c r="AB432" s="14">
        <f t="shared" si="45"/>
        <v>7</v>
      </c>
      <c r="AC432" s="14">
        <f t="shared" si="46"/>
        <v>9.5</v>
      </c>
      <c r="AD432" s="14">
        <f t="shared" si="47"/>
        <v>20</v>
      </c>
    </row>
    <row r="433" spans="5:30">
      <c r="E433" s="10">
        <v>8.23</v>
      </c>
      <c r="F433" s="8" t="s">
        <v>49</v>
      </c>
      <c r="G433" s="9">
        <v>28</v>
      </c>
      <c r="H433" s="23">
        <v>34</v>
      </c>
      <c r="I433" s="24"/>
      <c r="J433" s="22"/>
      <c r="K433" s="23">
        <v>40</v>
      </c>
      <c r="L433" s="22"/>
      <c r="M433" s="9">
        <v>19.5</v>
      </c>
      <c r="N433" s="9">
        <v>25.5</v>
      </c>
      <c r="O433" s="9">
        <v>21</v>
      </c>
      <c r="P433" s="9">
        <v>19</v>
      </c>
      <c r="Q433" s="23">
        <v>20</v>
      </c>
      <c r="R433" s="22"/>
      <c r="S433" s="8">
        <v>207</v>
      </c>
      <c r="U433">
        <v>0</v>
      </c>
      <c r="V433">
        <v>0</v>
      </c>
      <c r="W433" s="14">
        <f t="shared" si="40"/>
        <v>28</v>
      </c>
      <c r="X433" s="14">
        <f t="shared" si="41"/>
        <v>34</v>
      </c>
      <c r="Y433" s="14">
        <f t="shared" si="42"/>
        <v>40</v>
      </c>
      <c r="Z433" s="14">
        <f t="shared" si="43"/>
        <v>19.5</v>
      </c>
      <c r="AA433" s="14">
        <f t="shared" si="44"/>
        <v>25.5</v>
      </c>
      <c r="AB433" s="14">
        <f t="shared" si="45"/>
        <v>21</v>
      </c>
      <c r="AC433" s="14">
        <f t="shared" si="46"/>
        <v>19</v>
      </c>
      <c r="AD433" s="14">
        <f t="shared" si="47"/>
        <v>48</v>
      </c>
    </row>
    <row r="434" spans="5:30">
      <c r="E434" s="4"/>
      <c r="F434" s="8" t="s">
        <v>36</v>
      </c>
      <c r="G434" s="9">
        <v>68</v>
      </c>
      <c r="H434" s="23">
        <v>80</v>
      </c>
      <c r="I434" s="24"/>
      <c r="J434" s="22"/>
      <c r="K434" s="23">
        <v>95</v>
      </c>
      <c r="L434" s="22"/>
      <c r="M434" s="9">
        <v>63</v>
      </c>
      <c r="N434" s="9">
        <v>84</v>
      </c>
      <c r="O434" s="9">
        <v>69</v>
      </c>
      <c r="P434" s="9">
        <v>46</v>
      </c>
      <c r="Q434" s="23">
        <v>48</v>
      </c>
      <c r="R434" s="22"/>
      <c r="S434" s="8">
        <v>553</v>
      </c>
      <c r="U434">
        <v>0</v>
      </c>
      <c r="V434">
        <v>0</v>
      </c>
      <c r="W434" s="14">
        <f t="shared" si="40"/>
        <v>68</v>
      </c>
      <c r="X434" s="14">
        <f t="shared" si="41"/>
        <v>80</v>
      </c>
      <c r="Y434" s="14">
        <f t="shared" si="42"/>
        <v>95</v>
      </c>
      <c r="Z434" s="14">
        <f t="shared" si="43"/>
        <v>63</v>
      </c>
      <c r="AA434" s="14">
        <f t="shared" si="44"/>
        <v>84</v>
      </c>
      <c r="AB434" s="14">
        <f t="shared" si="45"/>
        <v>69</v>
      </c>
      <c r="AC434" s="14">
        <f t="shared" si="46"/>
        <v>46</v>
      </c>
      <c r="AD434" s="14">
        <f t="shared" si="47"/>
        <v>50</v>
      </c>
    </row>
    <row r="435" spans="5:30">
      <c r="E435" s="6"/>
      <c r="F435" s="8" t="s">
        <v>52</v>
      </c>
      <c r="G435" s="9">
        <v>100</v>
      </c>
      <c r="H435" s="23">
        <v>100</v>
      </c>
      <c r="I435" s="24"/>
      <c r="J435" s="22"/>
      <c r="K435" s="23">
        <v>100</v>
      </c>
      <c r="L435" s="22"/>
      <c r="M435" s="9">
        <v>100</v>
      </c>
      <c r="N435" s="9">
        <v>100</v>
      </c>
      <c r="O435" s="9">
        <v>100</v>
      </c>
      <c r="P435" s="9">
        <v>50</v>
      </c>
      <c r="Q435" s="23">
        <v>50</v>
      </c>
      <c r="R435" s="22"/>
      <c r="S435" s="8">
        <v>700</v>
      </c>
      <c r="U435" t="s">
        <v>31</v>
      </c>
      <c r="V435" t="s">
        <v>33</v>
      </c>
      <c r="W435" s="14">
        <f t="shared" si="40"/>
        <v>100</v>
      </c>
      <c r="X435" s="14">
        <f t="shared" si="41"/>
        <v>100</v>
      </c>
      <c r="Y435" s="14">
        <f t="shared" si="42"/>
        <v>100</v>
      </c>
      <c r="Z435" s="14">
        <f t="shared" si="43"/>
        <v>100</v>
      </c>
      <c r="AA435" s="14">
        <f t="shared" si="44"/>
        <v>100</v>
      </c>
      <c r="AB435" s="14">
        <f t="shared" si="45"/>
        <v>100</v>
      </c>
      <c r="AC435" s="14">
        <f t="shared" si="46"/>
        <v>50</v>
      </c>
      <c r="AD435" s="14" t="str">
        <f t="shared" si="47"/>
        <v>OO+</v>
      </c>
    </row>
    <row r="436" spans="5:30">
      <c r="E436" s="4"/>
      <c r="F436" s="8" t="s">
        <v>54</v>
      </c>
      <c r="G436" s="9" t="s">
        <v>109</v>
      </c>
      <c r="H436" s="23" t="s">
        <v>95</v>
      </c>
      <c r="I436" s="24"/>
      <c r="J436" s="22"/>
      <c r="K436" s="23" t="s">
        <v>93</v>
      </c>
      <c r="L436" s="22"/>
      <c r="M436" s="9" t="s">
        <v>76</v>
      </c>
      <c r="N436" s="9" t="s">
        <v>95</v>
      </c>
      <c r="O436" s="9" t="s">
        <v>109</v>
      </c>
      <c r="P436" s="9" t="s">
        <v>94</v>
      </c>
      <c r="Q436" s="23" t="s">
        <v>93</v>
      </c>
      <c r="R436" s="22"/>
      <c r="S436" s="8" t="s">
        <v>33</v>
      </c>
      <c r="U436" t="s">
        <v>341</v>
      </c>
      <c r="V436" t="s">
        <v>36</v>
      </c>
      <c r="W436" s="14" t="str">
        <f t="shared" si="40"/>
        <v>AB+</v>
      </c>
      <c r="X436" s="14" t="str">
        <f t="shared" si="41"/>
        <v>OA</v>
      </c>
      <c r="Y436" s="14" t="str">
        <f t="shared" si="42"/>
        <v>OO+</v>
      </c>
      <c r="Z436" s="14" t="str">
        <f t="shared" si="43"/>
        <v>AB</v>
      </c>
      <c r="AA436" s="14" t="str">
        <f t="shared" si="44"/>
        <v>OA</v>
      </c>
      <c r="AB436" s="14" t="str">
        <f t="shared" si="45"/>
        <v>AB+</v>
      </c>
      <c r="AC436" s="14" t="str">
        <f t="shared" si="46"/>
        <v>OO</v>
      </c>
      <c r="AD436" s="14" t="str">
        <f t="shared" si="47"/>
        <v>Pass</v>
      </c>
    </row>
    <row r="437" spans="5:30">
      <c r="E437" s="11" t="s">
        <v>340</v>
      </c>
      <c r="F437" s="8" t="s">
        <v>58</v>
      </c>
      <c r="G437" s="9" t="s">
        <v>59</v>
      </c>
      <c r="H437" s="23" t="s">
        <v>59</v>
      </c>
      <c r="I437" s="24"/>
      <c r="J437" s="22"/>
      <c r="K437" s="23" t="s">
        <v>59</v>
      </c>
      <c r="L437" s="22"/>
      <c r="M437" s="9" t="s">
        <v>59</v>
      </c>
      <c r="N437" s="9" t="s">
        <v>59</v>
      </c>
      <c r="O437" s="9" t="s">
        <v>59</v>
      </c>
      <c r="P437" s="9" t="s">
        <v>59</v>
      </c>
      <c r="Q437" s="23" t="s">
        <v>59</v>
      </c>
      <c r="R437" s="22"/>
      <c r="S437" s="8" t="s">
        <v>33</v>
      </c>
      <c r="U437" t="s">
        <v>37</v>
      </c>
      <c r="V437" t="s">
        <v>33</v>
      </c>
      <c r="W437" s="14" t="str">
        <f t="shared" si="40"/>
        <v>Pass</v>
      </c>
      <c r="X437" s="14" t="str">
        <f t="shared" si="41"/>
        <v>Pass</v>
      </c>
      <c r="Y437" s="14" t="str">
        <f t="shared" si="42"/>
        <v>Pass</v>
      </c>
      <c r="Z437" s="14" t="str">
        <f t="shared" si="43"/>
        <v>Pass</v>
      </c>
      <c r="AA437" s="14" t="str">
        <f t="shared" si="44"/>
        <v>Pass</v>
      </c>
      <c r="AB437" s="14" t="str">
        <f t="shared" si="45"/>
        <v>Pass</v>
      </c>
      <c r="AC437" s="14" t="str">
        <f t="shared" si="46"/>
        <v>Pass</v>
      </c>
      <c r="AD437" s="14" t="str">
        <f t="shared" si="47"/>
        <v/>
      </c>
    </row>
    <row r="438" spans="5:30">
      <c r="E438" s="12" t="s">
        <v>33</v>
      </c>
      <c r="F438" s="12" t="s">
        <v>33</v>
      </c>
      <c r="G438" s="13" t="s">
        <v>33</v>
      </c>
      <c r="H438" s="20" t="s">
        <v>33</v>
      </c>
      <c r="I438" s="18"/>
      <c r="J438" s="18"/>
      <c r="K438" s="20" t="s">
        <v>33</v>
      </c>
      <c r="L438" s="18"/>
      <c r="M438" s="13" t="s">
        <v>33</v>
      </c>
      <c r="N438" s="13" t="s">
        <v>33</v>
      </c>
      <c r="O438" s="13" t="s">
        <v>33</v>
      </c>
      <c r="P438" s="13" t="s">
        <v>33</v>
      </c>
      <c r="Q438" s="20" t="s">
        <v>33</v>
      </c>
      <c r="R438" s="18"/>
      <c r="S438" s="13" t="s">
        <v>33</v>
      </c>
      <c r="U438" t="s">
        <v>350</v>
      </c>
      <c r="V438" t="s">
        <v>33</v>
      </c>
      <c r="W438" s="14" t="str">
        <f t="shared" si="40"/>
        <v/>
      </c>
      <c r="X438" s="14" t="str">
        <f t="shared" si="41"/>
        <v/>
      </c>
      <c r="Y438" s="14" t="str">
        <f t="shared" si="42"/>
        <v/>
      </c>
      <c r="Z438" s="14" t="str">
        <f t="shared" si="43"/>
        <v/>
      </c>
      <c r="AA438" s="14" t="str">
        <f t="shared" si="44"/>
        <v/>
      </c>
      <c r="AB438" s="14" t="str">
        <f t="shared" si="45"/>
        <v/>
      </c>
      <c r="AC438" s="14" t="str">
        <f t="shared" si="46"/>
        <v/>
      </c>
      <c r="AD438" s="14">
        <f t="shared" si="47"/>
        <v>0</v>
      </c>
    </row>
    <row r="439" spans="5:30" ht="0" hidden="1" customHeight="1">
      <c r="U439">
        <v>0</v>
      </c>
      <c r="V439">
        <v>0</v>
      </c>
      <c r="W439" s="14">
        <f t="shared" si="40"/>
        <v>0</v>
      </c>
      <c r="X439" s="14">
        <f t="shared" si="41"/>
        <v>0</v>
      </c>
      <c r="Y439" s="14">
        <f t="shared" si="42"/>
        <v>0</v>
      </c>
      <c r="Z439" s="14">
        <f t="shared" si="43"/>
        <v>0</v>
      </c>
      <c r="AA439" s="14">
        <f t="shared" si="44"/>
        <v>0</v>
      </c>
      <c r="AB439" s="14">
        <f t="shared" si="45"/>
        <v>0</v>
      </c>
      <c r="AC439" s="14">
        <f t="shared" si="46"/>
        <v>0</v>
      </c>
      <c r="AD439" s="14">
        <f t="shared" si="47"/>
        <v>0</v>
      </c>
    </row>
    <row r="440" spans="5:30" ht="0.6" customHeight="1">
      <c r="U440">
        <v>0</v>
      </c>
      <c r="V440">
        <v>18</v>
      </c>
      <c r="W440" s="14">
        <f t="shared" si="40"/>
        <v>0</v>
      </c>
      <c r="X440" s="14">
        <f t="shared" si="41"/>
        <v>0</v>
      </c>
      <c r="Y440" s="14">
        <f t="shared" si="42"/>
        <v>0</v>
      </c>
      <c r="Z440" s="14">
        <f t="shared" si="43"/>
        <v>0</v>
      </c>
      <c r="AA440" s="14">
        <f t="shared" si="44"/>
        <v>0</v>
      </c>
      <c r="AB440" s="14">
        <f t="shared" si="45"/>
        <v>0</v>
      </c>
      <c r="AC440" s="14">
        <f t="shared" si="46"/>
        <v>0</v>
      </c>
      <c r="AD440" s="14" t="str">
        <f t="shared" si="47"/>
        <v/>
      </c>
    </row>
    <row r="441" spans="5:30">
      <c r="E441" s="4"/>
      <c r="F441" s="3" t="s">
        <v>32</v>
      </c>
      <c r="G441" s="5" t="s">
        <v>33</v>
      </c>
      <c r="H441" s="32" t="s">
        <v>33</v>
      </c>
      <c r="I441" s="18"/>
      <c r="J441" s="18"/>
      <c r="K441" s="32" t="s">
        <v>33</v>
      </c>
      <c r="L441" s="18"/>
      <c r="M441" s="5" t="s">
        <v>33</v>
      </c>
      <c r="N441" s="5" t="s">
        <v>33</v>
      </c>
      <c r="O441" s="5" t="s">
        <v>33</v>
      </c>
      <c r="P441" s="5" t="s">
        <v>33</v>
      </c>
      <c r="Q441" s="32" t="s">
        <v>33</v>
      </c>
      <c r="R441" s="18"/>
      <c r="S441" s="5" t="s">
        <v>33</v>
      </c>
      <c r="U441" t="s">
        <v>46</v>
      </c>
      <c r="V441" t="s">
        <v>33</v>
      </c>
      <c r="W441" s="14" t="str">
        <f t="shared" si="40"/>
        <v/>
      </c>
      <c r="X441" s="14" t="str">
        <f t="shared" si="41"/>
        <v/>
      </c>
      <c r="Y441" s="14" t="str">
        <f t="shared" si="42"/>
        <v/>
      </c>
      <c r="Z441" s="14" t="str">
        <f t="shared" si="43"/>
        <v/>
      </c>
      <c r="AA441" s="14" t="str">
        <f t="shared" si="44"/>
        <v/>
      </c>
      <c r="AB441" s="14" t="str">
        <f t="shared" si="45"/>
        <v/>
      </c>
      <c r="AC441" s="14" t="str">
        <f t="shared" si="46"/>
        <v/>
      </c>
      <c r="AD441" s="14" t="str">
        <f t="shared" si="47"/>
        <v>COMNSSN302</v>
      </c>
    </row>
    <row r="442" spans="5:30" ht="21">
      <c r="E442" s="4"/>
      <c r="F442" s="7" t="s">
        <v>35</v>
      </c>
      <c r="G442" s="7" t="s">
        <v>5</v>
      </c>
      <c r="H442" s="30" t="s">
        <v>7</v>
      </c>
      <c r="I442" s="24"/>
      <c r="J442" s="22"/>
      <c r="K442" s="30" t="s">
        <v>9</v>
      </c>
      <c r="L442" s="22"/>
      <c r="M442" s="7" t="s">
        <v>11</v>
      </c>
      <c r="N442" s="7" t="s">
        <v>15</v>
      </c>
      <c r="O442" s="7" t="s">
        <v>17</v>
      </c>
      <c r="P442" s="7" t="s">
        <v>21</v>
      </c>
      <c r="Q442" s="30" t="s">
        <v>25</v>
      </c>
      <c r="R442" s="22"/>
      <c r="S442" s="7" t="s">
        <v>36</v>
      </c>
      <c r="U442" t="s">
        <v>48</v>
      </c>
      <c r="V442">
        <v>124</v>
      </c>
      <c r="W442" s="14" t="str">
        <f t="shared" si="40"/>
        <v>BBABMCN301</v>
      </c>
      <c r="X442" s="14" t="str">
        <f t="shared" si="41"/>
        <v>BBABMCN302</v>
      </c>
      <c r="Y442" s="14" t="str">
        <f t="shared" si="42"/>
        <v>BBABMCN303</v>
      </c>
      <c r="Z442" s="14" t="str">
        <f t="shared" si="43"/>
        <v>BBAENLN301</v>
      </c>
      <c r="AA442" s="14" t="str">
        <f t="shared" si="44"/>
        <v>BBAKALN302</v>
      </c>
      <c r="AB442" s="14" t="str">
        <f t="shared" si="45"/>
        <v>BCACAEN302</v>
      </c>
      <c r="AC442" s="14" t="str">
        <f t="shared" si="46"/>
        <v>COMFISN301</v>
      </c>
      <c r="AD442" s="14" t="str">
        <f t="shared" si="47"/>
        <v xml:space="preserve"> - - + - - </v>
      </c>
    </row>
    <row r="443" spans="5:30" ht="22.5">
      <c r="E443" s="6" t="s">
        <v>342</v>
      </c>
      <c r="F443" s="8" t="s">
        <v>39</v>
      </c>
      <c r="G443" s="9" t="s">
        <v>343</v>
      </c>
      <c r="H443" s="23" t="s">
        <v>344</v>
      </c>
      <c r="I443" s="24"/>
      <c r="J443" s="22"/>
      <c r="K443" s="23" t="s">
        <v>345</v>
      </c>
      <c r="L443" s="22"/>
      <c r="M443" s="9" t="s">
        <v>346</v>
      </c>
      <c r="N443" s="9" t="s">
        <v>347</v>
      </c>
      <c r="O443" s="9" t="s">
        <v>348</v>
      </c>
      <c r="P443" s="9" t="s">
        <v>349</v>
      </c>
      <c r="Q443" s="23" t="s">
        <v>43</v>
      </c>
      <c r="R443" s="22"/>
      <c r="S443" s="8" t="s">
        <v>33</v>
      </c>
      <c r="U443" t="s">
        <v>65</v>
      </c>
      <c r="V443">
        <v>397</v>
      </c>
      <c r="W443" s="14" t="str">
        <f t="shared" si="40"/>
        <v>17.00 + 22.00</v>
      </c>
      <c r="X443" s="14" t="str">
        <f t="shared" si="41"/>
        <v>24.00 + 25.00</v>
      </c>
      <c r="Y443" s="14" t="str">
        <f t="shared" si="42"/>
        <v>41.00 + 30.00</v>
      </c>
      <c r="Z443" s="14" t="str">
        <f t="shared" si="43"/>
        <v>36.00 + 26.00</v>
      </c>
      <c r="AA443" s="14" t="str">
        <f t="shared" si="44"/>
        <v>35.00 + 26.00</v>
      </c>
      <c r="AB443" s="14" t="str">
        <f t="shared" si="45"/>
        <v>13.00 + 19.00</v>
      </c>
      <c r="AC443" s="14" t="str">
        <f t="shared" si="46"/>
        <v>21.00 + 14.00</v>
      </c>
      <c r="AD443" s="14" t="str">
        <f t="shared" si="47"/>
        <v xml:space="preserve"> - - +48.00</v>
      </c>
    </row>
    <row r="444" spans="5:30">
      <c r="E444" s="25"/>
      <c r="F444" s="8" t="s">
        <v>42</v>
      </c>
      <c r="G444" s="9" t="s">
        <v>43</v>
      </c>
      <c r="H444" s="23" t="s">
        <v>43</v>
      </c>
      <c r="I444" s="24"/>
      <c r="J444" s="22"/>
      <c r="K444" s="23" t="s">
        <v>43</v>
      </c>
      <c r="L444" s="22"/>
      <c r="M444" s="9" t="s">
        <v>43</v>
      </c>
      <c r="N444" s="9" t="s">
        <v>43</v>
      </c>
      <c r="O444" s="9" t="s">
        <v>43</v>
      </c>
      <c r="P444" s="9" t="s">
        <v>43</v>
      </c>
      <c r="Q444" s="23" t="s">
        <v>107</v>
      </c>
      <c r="R444" s="22"/>
      <c r="S444" s="8" t="s">
        <v>33</v>
      </c>
      <c r="U444" t="s">
        <v>51</v>
      </c>
      <c r="V444">
        <v>700</v>
      </c>
      <c r="W444" s="14" t="str">
        <f t="shared" si="40"/>
        <v xml:space="preserve"> - - + - - </v>
      </c>
      <c r="X444" s="14" t="str">
        <f t="shared" si="41"/>
        <v xml:space="preserve"> - - + - - </v>
      </c>
      <c r="Y444" s="14" t="str">
        <f t="shared" si="42"/>
        <v xml:space="preserve"> - - + - - </v>
      </c>
      <c r="Z444" s="14" t="str">
        <f t="shared" si="43"/>
        <v xml:space="preserve"> - - + - - </v>
      </c>
      <c r="AA444" s="14" t="str">
        <f t="shared" si="44"/>
        <v xml:space="preserve"> - - + - - </v>
      </c>
      <c r="AB444" s="14" t="str">
        <f t="shared" si="45"/>
        <v xml:space="preserve"> - - + - - </v>
      </c>
      <c r="AC444" s="14" t="str">
        <f t="shared" si="46"/>
        <v xml:space="preserve"> - - + - - </v>
      </c>
      <c r="AD444" s="14" t="str">
        <f t="shared" si="47"/>
        <v/>
      </c>
    </row>
    <row r="445" spans="5:30">
      <c r="E445" s="27"/>
      <c r="F445" s="8" t="s">
        <v>44</v>
      </c>
      <c r="G445" s="9" t="s">
        <v>33</v>
      </c>
      <c r="H445" s="23" t="s">
        <v>33</v>
      </c>
      <c r="I445" s="24"/>
      <c r="J445" s="22"/>
      <c r="K445" s="23" t="s">
        <v>33</v>
      </c>
      <c r="L445" s="22"/>
      <c r="M445" s="9" t="s">
        <v>33</v>
      </c>
      <c r="N445" s="9" t="s">
        <v>33</v>
      </c>
      <c r="O445" s="9" t="s">
        <v>33</v>
      </c>
      <c r="P445" s="9" t="s">
        <v>33</v>
      </c>
      <c r="Q445" s="23" t="s">
        <v>33</v>
      </c>
      <c r="R445" s="22"/>
      <c r="S445" s="8">
        <v>0</v>
      </c>
      <c r="U445" t="s">
        <v>66</v>
      </c>
      <c r="V445" t="s">
        <v>33</v>
      </c>
      <c r="W445" s="14" t="str">
        <f t="shared" si="40"/>
        <v/>
      </c>
      <c r="X445" s="14" t="str">
        <f t="shared" si="41"/>
        <v/>
      </c>
      <c r="Y445" s="14" t="str">
        <f t="shared" si="42"/>
        <v/>
      </c>
      <c r="Z445" s="14" t="str">
        <f t="shared" si="43"/>
        <v/>
      </c>
      <c r="AA445" s="14" t="str">
        <f t="shared" si="44"/>
        <v/>
      </c>
      <c r="AB445" s="14" t="str">
        <f t="shared" si="45"/>
        <v/>
      </c>
      <c r="AC445" s="14" t="str">
        <f t="shared" si="46"/>
        <v/>
      </c>
      <c r="AD445" s="14">
        <f t="shared" si="47"/>
        <v>2</v>
      </c>
    </row>
    <row r="446" spans="5:30">
      <c r="E446" s="29"/>
      <c r="F446" s="8" t="s">
        <v>45</v>
      </c>
      <c r="G446" s="9">
        <v>4</v>
      </c>
      <c r="H446" s="23">
        <v>4</v>
      </c>
      <c r="I446" s="24"/>
      <c r="J446" s="22"/>
      <c r="K446" s="23">
        <v>4</v>
      </c>
      <c r="L446" s="22"/>
      <c r="M446" s="9">
        <v>3</v>
      </c>
      <c r="N446" s="9">
        <v>3</v>
      </c>
      <c r="O446" s="9">
        <v>3</v>
      </c>
      <c r="P446" s="9">
        <v>2</v>
      </c>
      <c r="Q446" s="23">
        <v>2</v>
      </c>
      <c r="R446" s="22"/>
      <c r="S446" s="8">
        <v>18</v>
      </c>
      <c r="U446" t="s">
        <v>56</v>
      </c>
      <c r="V446" t="s">
        <v>33</v>
      </c>
      <c r="W446" s="14">
        <f t="shared" si="40"/>
        <v>4</v>
      </c>
      <c r="X446" s="14">
        <f t="shared" si="41"/>
        <v>4</v>
      </c>
      <c r="Y446" s="14">
        <f t="shared" si="42"/>
        <v>4</v>
      </c>
      <c r="Z446" s="14">
        <f t="shared" si="43"/>
        <v>3</v>
      </c>
      <c r="AA446" s="14">
        <f t="shared" si="44"/>
        <v>3</v>
      </c>
      <c r="AB446" s="14">
        <f t="shared" si="45"/>
        <v>3</v>
      </c>
      <c r="AC446" s="14">
        <f t="shared" si="46"/>
        <v>2</v>
      </c>
      <c r="AD446" s="14">
        <f t="shared" si="47"/>
        <v>10</v>
      </c>
    </row>
    <row r="447" spans="5:30">
      <c r="E447" s="6"/>
      <c r="F447" s="8" t="s">
        <v>47</v>
      </c>
      <c r="G447" s="9"/>
      <c r="H447" s="23">
        <v>5</v>
      </c>
      <c r="I447" s="24"/>
      <c r="J447" s="22"/>
      <c r="K447" s="23">
        <v>7.5</v>
      </c>
      <c r="L447" s="22"/>
      <c r="M447" s="9">
        <v>6.5</v>
      </c>
      <c r="N447" s="9">
        <v>6.5</v>
      </c>
      <c r="O447" s="9"/>
      <c r="P447" s="9">
        <v>7.5</v>
      </c>
      <c r="Q447" s="23">
        <v>10</v>
      </c>
      <c r="R447" s="22"/>
      <c r="S447" s="8" t="s">
        <v>33</v>
      </c>
      <c r="U447" t="s">
        <v>33</v>
      </c>
      <c r="V447" t="s">
        <v>33</v>
      </c>
      <c r="W447" s="14">
        <f t="shared" si="40"/>
        <v>0</v>
      </c>
      <c r="X447" s="14">
        <f t="shared" si="41"/>
        <v>5</v>
      </c>
      <c r="Y447" s="14">
        <f t="shared" si="42"/>
        <v>7.5</v>
      </c>
      <c r="Z447" s="14">
        <f t="shared" si="43"/>
        <v>6.5</v>
      </c>
      <c r="AA447" s="14">
        <f t="shared" si="44"/>
        <v>6.5</v>
      </c>
      <c r="AB447" s="14">
        <f t="shared" si="45"/>
        <v>0</v>
      </c>
      <c r="AC447" s="14">
        <f t="shared" si="46"/>
        <v>7.5</v>
      </c>
      <c r="AD447" s="14">
        <f t="shared" si="47"/>
        <v>20</v>
      </c>
    </row>
    <row r="448" spans="5:30">
      <c r="E448" s="6"/>
      <c r="F448" s="8" t="s">
        <v>49</v>
      </c>
      <c r="G448" s="9"/>
      <c r="H448" s="23">
        <v>20</v>
      </c>
      <c r="I448" s="24"/>
      <c r="J448" s="22"/>
      <c r="K448" s="23">
        <v>30</v>
      </c>
      <c r="L448" s="22"/>
      <c r="M448" s="9">
        <v>19.5</v>
      </c>
      <c r="N448" s="9">
        <v>19.5</v>
      </c>
      <c r="O448" s="9"/>
      <c r="P448" s="9">
        <v>15</v>
      </c>
      <c r="Q448" s="23">
        <v>20</v>
      </c>
      <c r="R448" s="22"/>
      <c r="S448" s="8">
        <v>124</v>
      </c>
      <c r="U448">
        <v>0</v>
      </c>
      <c r="V448">
        <v>0</v>
      </c>
      <c r="W448" s="14">
        <f t="shared" si="40"/>
        <v>0</v>
      </c>
      <c r="X448" s="14">
        <f t="shared" si="41"/>
        <v>20</v>
      </c>
      <c r="Y448" s="14">
        <f t="shared" si="42"/>
        <v>30</v>
      </c>
      <c r="Z448" s="14">
        <f t="shared" si="43"/>
        <v>19.5</v>
      </c>
      <c r="AA448" s="14">
        <f t="shared" si="44"/>
        <v>19.5</v>
      </c>
      <c r="AB448" s="14">
        <f t="shared" si="45"/>
        <v>0</v>
      </c>
      <c r="AC448" s="14">
        <f t="shared" si="46"/>
        <v>15</v>
      </c>
      <c r="AD448" s="14">
        <f t="shared" si="47"/>
        <v>48</v>
      </c>
    </row>
    <row r="449" spans="5:30">
      <c r="E449" s="4"/>
      <c r="F449" s="8" t="s">
        <v>36</v>
      </c>
      <c r="G449" s="9">
        <v>39</v>
      </c>
      <c r="H449" s="23">
        <v>49</v>
      </c>
      <c r="I449" s="24"/>
      <c r="J449" s="22"/>
      <c r="K449" s="23">
        <v>71</v>
      </c>
      <c r="L449" s="22"/>
      <c r="M449" s="9">
        <v>62</v>
      </c>
      <c r="N449" s="9">
        <v>61</v>
      </c>
      <c r="O449" s="9">
        <v>32</v>
      </c>
      <c r="P449" s="9">
        <v>35</v>
      </c>
      <c r="Q449" s="23">
        <v>48</v>
      </c>
      <c r="R449" s="22"/>
      <c r="S449" s="8">
        <v>397</v>
      </c>
      <c r="U449" t="s">
        <v>31</v>
      </c>
      <c r="V449" t="s">
        <v>33</v>
      </c>
      <c r="W449" s="14">
        <f t="shared" si="40"/>
        <v>39</v>
      </c>
      <c r="X449" s="14">
        <f t="shared" si="41"/>
        <v>49</v>
      </c>
      <c r="Y449" s="14">
        <f t="shared" si="42"/>
        <v>71</v>
      </c>
      <c r="Z449" s="14">
        <f t="shared" si="43"/>
        <v>62</v>
      </c>
      <c r="AA449" s="14">
        <f t="shared" si="44"/>
        <v>61</v>
      </c>
      <c r="AB449" s="14">
        <f t="shared" si="45"/>
        <v>32</v>
      </c>
      <c r="AC449" s="14">
        <f t="shared" si="46"/>
        <v>35</v>
      </c>
      <c r="AD449" s="14">
        <f t="shared" si="47"/>
        <v>50</v>
      </c>
    </row>
    <row r="450" spans="5:30">
      <c r="E450" s="6"/>
      <c r="F450" s="8" t="s">
        <v>52</v>
      </c>
      <c r="G450" s="9">
        <v>100</v>
      </c>
      <c r="H450" s="23">
        <v>100</v>
      </c>
      <c r="I450" s="24"/>
      <c r="J450" s="22"/>
      <c r="K450" s="23">
        <v>100</v>
      </c>
      <c r="L450" s="22"/>
      <c r="M450" s="9">
        <v>100</v>
      </c>
      <c r="N450" s="9">
        <v>100</v>
      </c>
      <c r="O450" s="9">
        <v>100</v>
      </c>
      <c r="P450" s="9">
        <v>50</v>
      </c>
      <c r="Q450" s="23">
        <v>50</v>
      </c>
      <c r="R450" s="22"/>
      <c r="S450" s="8">
        <v>700</v>
      </c>
      <c r="U450" t="s">
        <v>352</v>
      </c>
      <c r="V450" t="s">
        <v>36</v>
      </c>
      <c r="W450" s="14">
        <f t="shared" si="40"/>
        <v>100</v>
      </c>
      <c r="X450" s="14">
        <f t="shared" si="41"/>
        <v>100</v>
      </c>
      <c r="Y450" s="14">
        <f t="shared" si="42"/>
        <v>100</v>
      </c>
      <c r="Z450" s="14">
        <f t="shared" si="43"/>
        <v>100</v>
      </c>
      <c r="AA450" s="14">
        <f t="shared" si="44"/>
        <v>100</v>
      </c>
      <c r="AB450" s="14">
        <f t="shared" si="45"/>
        <v>100</v>
      </c>
      <c r="AC450" s="14">
        <f t="shared" si="46"/>
        <v>50</v>
      </c>
      <c r="AD450" s="14" t="str">
        <f t="shared" si="47"/>
        <v>OO+</v>
      </c>
    </row>
    <row r="451" spans="5:30">
      <c r="E451" s="4"/>
      <c r="F451" s="8" t="s">
        <v>54</v>
      </c>
      <c r="G451" s="9"/>
      <c r="H451" s="23" t="s">
        <v>55</v>
      </c>
      <c r="I451" s="24"/>
      <c r="J451" s="22"/>
      <c r="K451" s="23" t="s">
        <v>108</v>
      </c>
      <c r="L451" s="22"/>
      <c r="M451" s="9" t="s">
        <v>76</v>
      </c>
      <c r="N451" s="9" t="s">
        <v>76</v>
      </c>
      <c r="O451" s="9"/>
      <c r="P451" s="9" t="s">
        <v>108</v>
      </c>
      <c r="Q451" s="23" t="s">
        <v>93</v>
      </c>
      <c r="R451" s="22"/>
      <c r="S451" s="8" t="s">
        <v>33</v>
      </c>
      <c r="U451" t="s">
        <v>37</v>
      </c>
      <c r="V451" t="s">
        <v>33</v>
      </c>
      <c r="W451" s="14">
        <f t="shared" si="40"/>
        <v>0</v>
      </c>
      <c r="X451" s="14" t="str">
        <f t="shared" si="41"/>
        <v>BC</v>
      </c>
      <c r="Y451" s="14" t="str">
        <f t="shared" si="42"/>
        <v>AA</v>
      </c>
      <c r="Z451" s="14" t="str">
        <f t="shared" si="43"/>
        <v>AB</v>
      </c>
      <c r="AA451" s="14" t="str">
        <f t="shared" si="44"/>
        <v>AB</v>
      </c>
      <c r="AB451" s="14">
        <f t="shared" si="45"/>
        <v>0</v>
      </c>
      <c r="AC451" s="14" t="str">
        <f t="shared" si="46"/>
        <v>AA</v>
      </c>
      <c r="AD451" s="14" t="str">
        <f t="shared" si="47"/>
        <v>Pass</v>
      </c>
    </row>
    <row r="452" spans="5:30">
      <c r="E452" s="11" t="s">
        <v>351</v>
      </c>
      <c r="F452" s="8" t="s">
        <v>58</v>
      </c>
      <c r="G452" s="9" t="s">
        <v>68</v>
      </c>
      <c r="H452" s="23" t="s">
        <v>59</v>
      </c>
      <c r="I452" s="24"/>
      <c r="J452" s="22"/>
      <c r="K452" s="23" t="s">
        <v>59</v>
      </c>
      <c r="L452" s="22"/>
      <c r="M452" s="9" t="s">
        <v>59</v>
      </c>
      <c r="N452" s="9" t="s">
        <v>59</v>
      </c>
      <c r="O452" s="9" t="s">
        <v>68</v>
      </c>
      <c r="P452" s="9" t="s">
        <v>59</v>
      </c>
      <c r="Q452" s="23" t="s">
        <v>59</v>
      </c>
      <c r="R452" s="22"/>
      <c r="S452" s="8" t="s">
        <v>33</v>
      </c>
      <c r="U452" t="s">
        <v>359</v>
      </c>
      <c r="V452" t="s">
        <v>33</v>
      </c>
      <c r="W452" s="14" t="str">
        <f t="shared" si="40"/>
        <v>Fail</v>
      </c>
      <c r="X452" s="14" t="str">
        <f t="shared" si="41"/>
        <v>Pass</v>
      </c>
      <c r="Y452" s="14" t="str">
        <f t="shared" si="42"/>
        <v>Pass</v>
      </c>
      <c r="Z452" s="14" t="str">
        <f t="shared" si="43"/>
        <v>Pass</v>
      </c>
      <c r="AA452" s="14" t="str">
        <f t="shared" si="44"/>
        <v>Pass</v>
      </c>
      <c r="AB452" s="14" t="str">
        <f t="shared" si="45"/>
        <v>Fail</v>
      </c>
      <c r="AC452" s="14" t="str">
        <f t="shared" si="46"/>
        <v>Pass</v>
      </c>
      <c r="AD452" s="14" t="str">
        <f t="shared" si="47"/>
        <v/>
      </c>
    </row>
    <row r="453" spans="5:30">
      <c r="E453" s="12" t="s">
        <v>33</v>
      </c>
      <c r="F453" s="12" t="s">
        <v>33</v>
      </c>
      <c r="G453" s="13" t="s">
        <v>33</v>
      </c>
      <c r="H453" s="20" t="s">
        <v>33</v>
      </c>
      <c r="I453" s="18"/>
      <c r="J453" s="18"/>
      <c r="K453" s="20" t="s">
        <v>33</v>
      </c>
      <c r="L453" s="18"/>
      <c r="M453" s="13" t="s">
        <v>33</v>
      </c>
      <c r="N453" s="13" t="s">
        <v>33</v>
      </c>
      <c r="O453" s="13" t="s">
        <v>33</v>
      </c>
      <c r="P453" s="13" t="s">
        <v>33</v>
      </c>
      <c r="Q453" s="20" t="s">
        <v>33</v>
      </c>
      <c r="R453" s="18"/>
      <c r="S453" s="13" t="s">
        <v>33</v>
      </c>
      <c r="U453">
        <v>0</v>
      </c>
      <c r="V453">
        <v>0</v>
      </c>
      <c r="W453" s="14" t="str">
        <f t="shared" si="40"/>
        <v/>
      </c>
      <c r="X453" s="14" t="str">
        <f t="shared" si="41"/>
        <v/>
      </c>
      <c r="Y453" s="14" t="str">
        <f t="shared" si="42"/>
        <v/>
      </c>
      <c r="Z453" s="14" t="str">
        <f t="shared" si="43"/>
        <v/>
      </c>
      <c r="AA453" s="14" t="str">
        <f t="shared" si="44"/>
        <v/>
      </c>
      <c r="AB453" s="14" t="str">
        <f t="shared" si="45"/>
        <v/>
      </c>
      <c r="AC453" s="14" t="str">
        <f t="shared" si="46"/>
        <v/>
      </c>
      <c r="AD453" s="14">
        <f t="shared" si="47"/>
        <v>0</v>
      </c>
    </row>
    <row r="454" spans="5:30" ht="0.6" customHeight="1">
      <c r="U454">
        <v>0</v>
      </c>
      <c r="V454">
        <v>25</v>
      </c>
      <c r="W454" s="14">
        <f t="shared" si="40"/>
        <v>0</v>
      </c>
      <c r="X454" s="14">
        <f t="shared" si="41"/>
        <v>0</v>
      </c>
      <c r="Y454" s="14">
        <f t="shared" si="42"/>
        <v>0</v>
      </c>
      <c r="Z454" s="14">
        <f t="shared" si="43"/>
        <v>0</v>
      </c>
      <c r="AA454" s="14">
        <f t="shared" si="44"/>
        <v>0</v>
      </c>
      <c r="AB454" s="14">
        <f t="shared" si="45"/>
        <v>0</v>
      </c>
      <c r="AC454" s="14">
        <f t="shared" si="46"/>
        <v>0</v>
      </c>
      <c r="AD454" s="14" t="str">
        <f t="shared" si="47"/>
        <v/>
      </c>
    </row>
    <row r="455" spans="5:30">
      <c r="E455" s="4"/>
      <c r="F455" s="3" t="s">
        <v>32</v>
      </c>
      <c r="G455" s="5" t="s">
        <v>33</v>
      </c>
      <c r="H455" s="32" t="s">
        <v>33</v>
      </c>
      <c r="I455" s="18"/>
      <c r="J455" s="18"/>
      <c r="K455" s="32" t="s">
        <v>33</v>
      </c>
      <c r="L455" s="18"/>
      <c r="M455" s="5" t="s">
        <v>33</v>
      </c>
      <c r="N455" s="5" t="s">
        <v>33</v>
      </c>
      <c r="O455" s="5" t="s">
        <v>33</v>
      </c>
      <c r="P455" s="5" t="s">
        <v>33</v>
      </c>
      <c r="Q455" s="32" t="s">
        <v>33</v>
      </c>
      <c r="R455" s="18"/>
      <c r="S455" s="5" t="s">
        <v>33</v>
      </c>
      <c r="U455" t="s">
        <v>46</v>
      </c>
      <c r="V455" t="s">
        <v>33</v>
      </c>
      <c r="W455" s="14" t="str">
        <f t="shared" ref="W455:W518" si="48">$G455</f>
        <v/>
      </c>
      <c r="X455" s="14" t="str">
        <f t="shared" ref="X455:X518" si="49">$H455</f>
        <v/>
      </c>
      <c r="Y455" s="14" t="str">
        <f t="shared" ref="Y455:Y518" si="50">$K455</f>
        <v/>
      </c>
      <c r="Z455" s="14" t="str">
        <f t="shared" ref="Z455:Z518" si="51">$M455</f>
        <v/>
      </c>
      <c r="AA455" s="14" t="str">
        <f t="shared" ref="AA455:AA518" si="52">$N455</f>
        <v/>
      </c>
      <c r="AB455" s="14" t="str">
        <f t="shared" ref="AB455:AB518" si="53">$O455</f>
        <v/>
      </c>
      <c r="AC455" s="14" t="str">
        <f t="shared" ref="AC455:AC518" si="54">$P455</f>
        <v/>
      </c>
      <c r="AD455" s="14" t="str">
        <f t="shared" ref="AD455:AD518" si="55">$Q456</f>
        <v>COMNCSN302</v>
      </c>
    </row>
    <row r="456" spans="5:30" ht="21">
      <c r="E456" s="4"/>
      <c r="F456" s="7" t="s">
        <v>35</v>
      </c>
      <c r="G456" s="7" t="s">
        <v>5</v>
      </c>
      <c r="H456" s="30" t="s">
        <v>7</v>
      </c>
      <c r="I456" s="24"/>
      <c r="J456" s="22"/>
      <c r="K456" s="30" t="s">
        <v>9</v>
      </c>
      <c r="L456" s="22"/>
      <c r="M456" s="7" t="s">
        <v>11</v>
      </c>
      <c r="N456" s="7" t="s">
        <v>15</v>
      </c>
      <c r="O456" s="7" t="s">
        <v>17</v>
      </c>
      <c r="P456" s="7" t="s">
        <v>21</v>
      </c>
      <c r="Q456" s="30" t="s">
        <v>23</v>
      </c>
      <c r="R456" s="22"/>
      <c r="S456" s="7" t="s">
        <v>36</v>
      </c>
      <c r="U456" t="s">
        <v>48</v>
      </c>
      <c r="V456">
        <v>180</v>
      </c>
      <c r="W456" s="14" t="str">
        <f t="shared" si="48"/>
        <v>BBABMCN301</v>
      </c>
      <c r="X456" s="14" t="str">
        <f t="shared" si="49"/>
        <v>BBABMCN302</v>
      </c>
      <c r="Y456" s="14" t="str">
        <f t="shared" si="50"/>
        <v>BBABMCN303</v>
      </c>
      <c r="Z456" s="14" t="str">
        <f t="shared" si="51"/>
        <v>BBAENLN301</v>
      </c>
      <c r="AA456" s="14" t="str">
        <f t="shared" si="52"/>
        <v>BBAKALN302</v>
      </c>
      <c r="AB456" s="14" t="str">
        <f t="shared" si="53"/>
        <v>BCACAEN302</v>
      </c>
      <c r="AC456" s="14" t="str">
        <f t="shared" si="54"/>
        <v>COMFISN301</v>
      </c>
      <c r="AD456" s="14" t="str">
        <f t="shared" si="55"/>
        <v xml:space="preserve"> - - + - - </v>
      </c>
    </row>
    <row r="457" spans="5:30" ht="22.5">
      <c r="E457" s="6" t="s">
        <v>353</v>
      </c>
      <c r="F457" s="8" t="s">
        <v>39</v>
      </c>
      <c r="G457" s="9" t="s">
        <v>354</v>
      </c>
      <c r="H457" s="23" t="s">
        <v>245</v>
      </c>
      <c r="I457" s="24"/>
      <c r="J457" s="22"/>
      <c r="K457" s="23" t="s">
        <v>355</v>
      </c>
      <c r="L457" s="22"/>
      <c r="M457" s="9" t="s">
        <v>356</v>
      </c>
      <c r="N457" s="9" t="s">
        <v>320</v>
      </c>
      <c r="O457" s="9" t="s">
        <v>357</v>
      </c>
      <c r="P457" s="9" t="s">
        <v>358</v>
      </c>
      <c r="Q457" s="23" t="s">
        <v>43</v>
      </c>
      <c r="R457" s="22"/>
      <c r="S457" s="8" t="s">
        <v>33</v>
      </c>
      <c r="U457" t="s">
        <v>50</v>
      </c>
      <c r="V457">
        <v>471</v>
      </c>
      <c r="W457" s="14" t="str">
        <f t="shared" si="48"/>
        <v>27.00 + 25.00</v>
      </c>
      <c r="X457" s="14" t="str">
        <f t="shared" si="49"/>
        <v>38.00 + 32.00</v>
      </c>
      <c r="Y457" s="14" t="str">
        <f t="shared" si="50"/>
        <v>51.00 + 35.00</v>
      </c>
      <c r="Z457" s="14" t="str">
        <f t="shared" si="51"/>
        <v>40.00 + 27.00</v>
      </c>
      <c r="AA457" s="14" t="str">
        <f t="shared" si="52"/>
        <v>33.00 + 29.00</v>
      </c>
      <c r="AB457" s="14" t="str">
        <f t="shared" si="53"/>
        <v>28.00 + 22.00</v>
      </c>
      <c r="AC457" s="14" t="str">
        <f t="shared" si="54"/>
        <v>21.00 + 19.00</v>
      </c>
      <c r="AD457" s="14" t="str">
        <f t="shared" si="55"/>
        <v xml:space="preserve"> - - +44.00</v>
      </c>
    </row>
    <row r="458" spans="5:30">
      <c r="E458" s="25"/>
      <c r="F458" s="8" t="s">
        <v>42</v>
      </c>
      <c r="G458" s="9" t="s">
        <v>43</v>
      </c>
      <c r="H458" s="23" t="s">
        <v>43</v>
      </c>
      <c r="I458" s="24"/>
      <c r="J458" s="22"/>
      <c r="K458" s="23" t="s">
        <v>43</v>
      </c>
      <c r="L458" s="22"/>
      <c r="M458" s="9" t="s">
        <v>43</v>
      </c>
      <c r="N458" s="9" t="s">
        <v>43</v>
      </c>
      <c r="O458" s="9" t="s">
        <v>43</v>
      </c>
      <c r="P458" s="9" t="s">
        <v>43</v>
      </c>
      <c r="Q458" s="23" t="s">
        <v>360</v>
      </c>
      <c r="R458" s="22"/>
      <c r="S458" s="8" t="s">
        <v>33</v>
      </c>
      <c r="U458" t="s">
        <v>51</v>
      </c>
      <c r="V458">
        <v>700</v>
      </c>
      <c r="W458" s="14" t="str">
        <f t="shared" si="48"/>
        <v xml:space="preserve"> - - + - - </v>
      </c>
      <c r="X458" s="14" t="str">
        <f t="shared" si="49"/>
        <v xml:space="preserve"> - - + - - </v>
      </c>
      <c r="Y458" s="14" t="str">
        <f t="shared" si="50"/>
        <v xml:space="preserve"> - - + - - </v>
      </c>
      <c r="Z458" s="14" t="str">
        <f t="shared" si="51"/>
        <v xml:space="preserve"> - - + - - </v>
      </c>
      <c r="AA458" s="14" t="str">
        <f t="shared" si="52"/>
        <v xml:space="preserve"> - - + - - </v>
      </c>
      <c r="AB458" s="14" t="str">
        <f t="shared" si="53"/>
        <v xml:space="preserve"> - - + - - </v>
      </c>
      <c r="AC458" s="14" t="str">
        <f t="shared" si="54"/>
        <v xml:space="preserve"> - - + - - </v>
      </c>
      <c r="AD458" s="14" t="str">
        <f t="shared" si="55"/>
        <v/>
      </c>
    </row>
    <row r="459" spans="5:30">
      <c r="E459" s="27"/>
      <c r="F459" s="8" t="s">
        <v>44</v>
      </c>
      <c r="G459" s="9" t="s">
        <v>33</v>
      </c>
      <c r="H459" s="23" t="s">
        <v>33</v>
      </c>
      <c r="I459" s="24"/>
      <c r="J459" s="22"/>
      <c r="K459" s="23" t="s">
        <v>33</v>
      </c>
      <c r="L459" s="22"/>
      <c r="M459" s="9" t="s">
        <v>33</v>
      </c>
      <c r="N459" s="9" t="s">
        <v>33</v>
      </c>
      <c r="O459" s="9" t="s">
        <v>33</v>
      </c>
      <c r="P459" s="9" t="s">
        <v>33</v>
      </c>
      <c r="Q459" s="23" t="s">
        <v>33</v>
      </c>
      <c r="R459" s="22"/>
      <c r="S459" s="8">
        <v>0</v>
      </c>
      <c r="U459" t="s">
        <v>361</v>
      </c>
      <c r="V459" t="s">
        <v>33</v>
      </c>
      <c r="W459" s="14" t="str">
        <f t="shared" si="48"/>
        <v/>
      </c>
      <c r="X459" s="14" t="str">
        <f t="shared" si="49"/>
        <v/>
      </c>
      <c r="Y459" s="14" t="str">
        <f t="shared" si="50"/>
        <v/>
      </c>
      <c r="Z459" s="14" t="str">
        <f t="shared" si="51"/>
        <v/>
      </c>
      <c r="AA459" s="14" t="str">
        <f t="shared" si="52"/>
        <v/>
      </c>
      <c r="AB459" s="14" t="str">
        <f t="shared" si="53"/>
        <v/>
      </c>
      <c r="AC459" s="14" t="str">
        <f t="shared" si="54"/>
        <v/>
      </c>
      <c r="AD459" s="14">
        <f t="shared" si="55"/>
        <v>2</v>
      </c>
    </row>
    <row r="460" spans="5:30">
      <c r="E460" s="29"/>
      <c r="F460" s="8" t="s">
        <v>45</v>
      </c>
      <c r="G460" s="9">
        <v>4</v>
      </c>
      <c r="H460" s="23">
        <v>4</v>
      </c>
      <c r="I460" s="24"/>
      <c r="J460" s="22"/>
      <c r="K460" s="23">
        <v>4</v>
      </c>
      <c r="L460" s="22"/>
      <c r="M460" s="9">
        <v>3</v>
      </c>
      <c r="N460" s="9">
        <v>3</v>
      </c>
      <c r="O460" s="9">
        <v>3</v>
      </c>
      <c r="P460" s="9">
        <v>2</v>
      </c>
      <c r="Q460" s="23">
        <v>2</v>
      </c>
      <c r="R460" s="22"/>
      <c r="S460" s="8">
        <v>25</v>
      </c>
      <c r="U460" t="s">
        <v>56</v>
      </c>
      <c r="V460" t="s">
        <v>33</v>
      </c>
      <c r="W460" s="14">
        <f t="shared" si="48"/>
        <v>4</v>
      </c>
      <c r="X460" s="14">
        <f t="shared" si="49"/>
        <v>4</v>
      </c>
      <c r="Y460" s="14">
        <f t="shared" si="50"/>
        <v>4</v>
      </c>
      <c r="Z460" s="14">
        <f t="shared" si="51"/>
        <v>3</v>
      </c>
      <c r="AA460" s="14">
        <f t="shared" si="52"/>
        <v>3</v>
      </c>
      <c r="AB460" s="14">
        <f t="shared" si="53"/>
        <v>3</v>
      </c>
      <c r="AC460" s="14">
        <f t="shared" si="54"/>
        <v>2</v>
      </c>
      <c r="AD460" s="14">
        <f t="shared" si="55"/>
        <v>9</v>
      </c>
    </row>
    <row r="461" spans="5:30">
      <c r="E461" s="6">
        <v>7.2</v>
      </c>
      <c r="F461" s="8" t="s">
        <v>47</v>
      </c>
      <c r="G461" s="9">
        <v>5.5</v>
      </c>
      <c r="H461" s="23">
        <v>7.5</v>
      </c>
      <c r="I461" s="24"/>
      <c r="J461" s="22"/>
      <c r="K461" s="23">
        <v>9</v>
      </c>
      <c r="L461" s="22"/>
      <c r="M461" s="9">
        <v>7</v>
      </c>
      <c r="N461" s="9">
        <v>6.5</v>
      </c>
      <c r="O461" s="9">
        <v>5.5</v>
      </c>
      <c r="P461" s="9">
        <v>8.5</v>
      </c>
      <c r="Q461" s="23">
        <v>9</v>
      </c>
      <c r="R461" s="22"/>
      <c r="S461" s="8" t="s">
        <v>33</v>
      </c>
      <c r="U461" t="s">
        <v>33</v>
      </c>
      <c r="V461" t="s">
        <v>33</v>
      </c>
      <c r="W461" s="14">
        <f t="shared" si="48"/>
        <v>5.5</v>
      </c>
      <c r="X461" s="14">
        <f t="shared" si="49"/>
        <v>7.5</v>
      </c>
      <c r="Y461" s="14">
        <f t="shared" si="50"/>
        <v>9</v>
      </c>
      <c r="Z461" s="14">
        <f t="shared" si="51"/>
        <v>7</v>
      </c>
      <c r="AA461" s="14">
        <f t="shared" si="52"/>
        <v>6.5</v>
      </c>
      <c r="AB461" s="14">
        <f t="shared" si="53"/>
        <v>5.5</v>
      </c>
      <c r="AC461" s="14">
        <f t="shared" si="54"/>
        <v>8.5</v>
      </c>
      <c r="AD461" s="14">
        <f t="shared" si="55"/>
        <v>18</v>
      </c>
    </row>
    <row r="462" spans="5:30">
      <c r="E462" s="10">
        <v>7.01</v>
      </c>
      <c r="F462" s="8" t="s">
        <v>49</v>
      </c>
      <c r="G462" s="9">
        <v>22</v>
      </c>
      <c r="H462" s="23">
        <v>30</v>
      </c>
      <c r="I462" s="24"/>
      <c r="J462" s="22"/>
      <c r="K462" s="23">
        <v>36</v>
      </c>
      <c r="L462" s="22"/>
      <c r="M462" s="9">
        <v>21</v>
      </c>
      <c r="N462" s="9">
        <v>19.5</v>
      </c>
      <c r="O462" s="9">
        <v>16.5</v>
      </c>
      <c r="P462" s="9">
        <v>17</v>
      </c>
      <c r="Q462" s="23">
        <v>18</v>
      </c>
      <c r="R462" s="22"/>
      <c r="S462" s="8">
        <v>180</v>
      </c>
      <c r="U462">
        <v>0</v>
      </c>
      <c r="V462">
        <v>0</v>
      </c>
      <c r="W462" s="14">
        <f t="shared" si="48"/>
        <v>22</v>
      </c>
      <c r="X462" s="14">
        <f t="shared" si="49"/>
        <v>30</v>
      </c>
      <c r="Y462" s="14">
        <f t="shared" si="50"/>
        <v>36</v>
      </c>
      <c r="Z462" s="14">
        <f t="shared" si="51"/>
        <v>21</v>
      </c>
      <c r="AA462" s="14">
        <f t="shared" si="52"/>
        <v>19.5</v>
      </c>
      <c r="AB462" s="14">
        <f t="shared" si="53"/>
        <v>16.5</v>
      </c>
      <c r="AC462" s="14">
        <f t="shared" si="54"/>
        <v>17</v>
      </c>
      <c r="AD462" s="14">
        <f t="shared" si="55"/>
        <v>44</v>
      </c>
    </row>
    <row r="463" spans="5:30">
      <c r="E463" s="4"/>
      <c r="F463" s="8" t="s">
        <v>36</v>
      </c>
      <c r="G463" s="9">
        <v>52</v>
      </c>
      <c r="H463" s="23">
        <v>70</v>
      </c>
      <c r="I463" s="24"/>
      <c r="J463" s="22"/>
      <c r="K463" s="23">
        <v>86</v>
      </c>
      <c r="L463" s="22"/>
      <c r="M463" s="9">
        <v>67</v>
      </c>
      <c r="N463" s="9">
        <v>62</v>
      </c>
      <c r="O463" s="9">
        <v>50</v>
      </c>
      <c r="P463" s="9">
        <v>40</v>
      </c>
      <c r="Q463" s="23">
        <v>44</v>
      </c>
      <c r="R463" s="22"/>
      <c r="S463" s="8">
        <v>471</v>
      </c>
      <c r="U463">
        <v>0</v>
      </c>
      <c r="V463">
        <v>0</v>
      </c>
      <c r="W463" s="14">
        <f t="shared" si="48"/>
        <v>52</v>
      </c>
      <c r="X463" s="14">
        <f t="shared" si="49"/>
        <v>70</v>
      </c>
      <c r="Y463" s="14">
        <f t="shared" si="50"/>
        <v>86</v>
      </c>
      <c r="Z463" s="14">
        <f t="shared" si="51"/>
        <v>67</v>
      </c>
      <c r="AA463" s="14">
        <f t="shared" si="52"/>
        <v>62</v>
      </c>
      <c r="AB463" s="14">
        <f t="shared" si="53"/>
        <v>50</v>
      </c>
      <c r="AC463" s="14">
        <f t="shared" si="54"/>
        <v>40</v>
      </c>
      <c r="AD463" s="14">
        <f t="shared" si="55"/>
        <v>50</v>
      </c>
    </row>
    <row r="464" spans="5:30">
      <c r="E464" s="6"/>
      <c r="F464" s="8" t="s">
        <v>52</v>
      </c>
      <c r="G464" s="9">
        <v>100</v>
      </c>
      <c r="H464" s="23">
        <v>100</v>
      </c>
      <c r="I464" s="24"/>
      <c r="J464" s="22"/>
      <c r="K464" s="23">
        <v>100</v>
      </c>
      <c r="L464" s="22"/>
      <c r="M464" s="9">
        <v>100</v>
      </c>
      <c r="N464" s="9">
        <v>100</v>
      </c>
      <c r="O464" s="9">
        <v>100</v>
      </c>
      <c r="P464" s="9">
        <v>50</v>
      </c>
      <c r="Q464" s="23">
        <v>50</v>
      </c>
      <c r="R464" s="22"/>
      <c r="S464" s="8">
        <v>700</v>
      </c>
      <c r="U464" t="s">
        <v>31</v>
      </c>
      <c r="V464" t="s">
        <v>33</v>
      </c>
      <c r="W464" s="14">
        <f t="shared" si="48"/>
        <v>100</v>
      </c>
      <c r="X464" s="14">
        <f t="shared" si="49"/>
        <v>100</v>
      </c>
      <c r="Y464" s="14">
        <f t="shared" si="50"/>
        <v>100</v>
      </c>
      <c r="Z464" s="14">
        <f t="shared" si="51"/>
        <v>100</v>
      </c>
      <c r="AA464" s="14">
        <f t="shared" si="52"/>
        <v>100</v>
      </c>
      <c r="AB464" s="14">
        <f t="shared" si="53"/>
        <v>100</v>
      </c>
      <c r="AC464" s="14">
        <f t="shared" si="54"/>
        <v>50</v>
      </c>
      <c r="AD464" s="14" t="str">
        <f t="shared" si="55"/>
        <v>OA+</v>
      </c>
    </row>
    <row r="465" spans="5:30">
      <c r="E465" s="4"/>
      <c r="F465" s="8" t="s">
        <v>54</v>
      </c>
      <c r="G465" s="9" t="s">
        <v>123</v>
      </c>
      <c r="H465" s="23" t="s">
        <v>108</v>
      </c>
      <c r="I465" s="24"/>
      <c r="J465" s="22"/>
      <c r="K465" s="23" t="s">
        <v>122</v>
      </c>
      <c r="L465" s="22"/>
      <c r="M465" s="9" t="s">
        <v>109</v>
      </c>
      <c r="N465" s="9" t="s">
        <v>76</v>
      </c>
      <c r="O465" s="9" t="s">
        <v>123</v>
      </c>
      <c r="P465" s="9" t="s">
        <v>95</v>
      </c>
      <c r="Q465" s="23" t="s">
        <v>122</v>
      </c>
      <c r="R465" s="22"/>
      <c r="S465" s="8" t="s">
        <v>33</v>
      </c>
      <c r="U465" t="s">
        <v>363</v>
      </c>
      <c r="V465" t="s">
        <v>36</v>
      </c>
      <c r="W465" s="14" t="str">
        <f t="shared" si="48"/>
        <v>BB</v>
      </c>
      <c r="X465" s="14" t="str">
        <f t="shared" si="49"/>
        <v>AA</v>
      </c>
      <c r="Y465" s="14" t="str">
        <f t="shared" si="50"/>
        <v>OA+</v>
      </c>
      <c r="Z465" s="14" t="str">
        <f t="shared" si="51"/>
        <v>AB+</v>
      </c>
      <c r="AA465" s="14" t="str">
        <f t="shared" si="52"/>
        <v>AB</v>
      </c>
      <c r="AB465" s="14" t="str">
        <f t="shared" si="53"/>
        <v>BB</v>
      </c>
      <c r="AC465" s="14" t="str">
        <f t="shared" si="54"/>
        <v>OA</v>
      </c>
      <c r="AD465" s="14" t="str">
        <f t="shared" si="55"/>
        <v>Pass</v>
      </c>
    </row>
    <row r="466" spans="5:30">
      <c r="E466" s="11" t="s">
        <v>362</v>
      </c>
      <c r="F466" s="8" t="s">
        <v>58</v>
      </c>
      <c r="G466" s="9" t="s">
        <v>59</v>
      </c>
      <c r="H466" s="23" t="s">
        <v>59</v>
      </c>
      <c r="I466" s="24"/>
      <c r="J466" s="22"/>
      <c r="K466" s="23" t="s">
        <v>59</v>
      </c>
      <c r="L466" s="22"/>
      <c r="M466" s="9" t="s">
        <v>59</v>
      </c>
      <c r="N466" s="9" t="s">
        <v>59</v>
      </c>
      <c r="O466" s="9" t="s">
        <v>59</v>
      </c>
      <c r="P466" s="9" t="s">
        <v>59</v>
      </c>
      <c r="Q466" s="23" t="s">
        <v>59</v>
      </c>
      <c r="R466" s="22"/>
      <c r="S466" s="8" t="s">
        <v>33</v>
      </c>
      <c r="U466" t="s">
        <v>37</v>
      </c>
      <c r="V466" t="s">
        <v>33</v>
      </c>
      <c r="W466" s="14" t="str">
        <f t="shared" si="48"/>
        <v>Pass</v>
      </c>
      <c r="X466" s="14" t="str">
        <f t="shared" si="49"/>
        <v>Pass</v>
      </c>
      <c r="Y466" s="14" t="str">
        <f t="shared" si="50"/>
        <v>Pass</v>
      </c>
      <c r="Z466" s="14" t="str">
        <f t="shared" si="51"/>
        <v>Pass</v>
      </c>
      <c r="AA466" s="14" t="str">
        <f t="shared" si="52"/>
        <v>Pass</v>
      </c>
      <c r="AB466" s="14" t="str">
        <f t="shared" si="53"/>
        <v>Pass</v>
      </c>
      <c r="AC466" s="14" t="str">
        <f t="shared" si="54"/>
        <v>Pass</v>
      </c>
      <c r="AD466" s="14" t="str">
        <f t="shared" si="55"/>
        <v/>
      </c>
    </row>
    <row r="467" spans="5:30">
      <c r="E467" s="12" t="s">
        <v>33</v>
      </c>
      <c r="F467" s="12" t="s">
        <v>33</v>
      </c>
      <c r="G467" s="13" t="s">
        <v>33</v>
      </c>
      <c r="H467" s="20" t="s">
        <v>33</v>
      </c>
      <c r="I467" s="18"/>
      <c r="J467" s="18"/>
      <c r="K467" s="20" t="s">
        <v>33</v>
      </c>
      <c r="L467" s="18"/>
      <c r="M467" s="13" t="s">
        <v>33</v>
      </c>
      <c r="N467" s="13" t="s">
        <v>33</v>
      </c>
      <c r="O467" s="13" t="s">
        <v>33</v>
      </c>
      <c r="P467" s="13" t="s">
        <v>33</v>
      </c>
      <c r="Q467" s="20" t="s">
        <v>33</v>
      </c>
      <c r="R467" s="18"/>
      <c r="S467" s="13" t="s">
        <v>33</v>
      </c>
      <c r="U467" t="s">
        <v>370</v>
      </c>
      <c r="V467" t="s">
        <v>33</v>
      </c>
      <c r="W467" s="14" t="str">
        <f t="shared" si="48"/>
        <v/>
      </c>
      <c r="X467" s="14" t="str">
        <f t="shared" si="49"/>
        <v/>
      </c>
      <c r="Y467" s="14" t="str">
        <f t="shared" si="50"/>
        <v/>
      </c>
      <c r="Z467" s="14" t="str">
        <f t="shared" si="51"/>
        <v/>
      </c>
      <c r="AA467" s="14" t="str">
        <f t="shared" si="52"/>
        <v/>
      </c>
      <c r="AB467" s="14" t="str">
        <f t="shared" si="53"/>
        <v/>
      </c>
      <c r="AC467" s="14" t="str">
        <f t="shared" si="54"/>
        <v/>
      </c>
      <c r="AD467" s="14">
        <f t="shared" si="55"/>
        <v>0</v>
      </c>
    </row>
    <row r="468" spans="5:30" ht="0" hidden="1" customHeight="1">
      <c r="U468">
        <v>0</v>
      </c>
      <c r="V468">
        <v>0</v>
      </c>
      <c r="W468" s="14">
        <f t="shared" si="48"/>
        <v>0</v>
      </c>
      <c r="X468" s="14">
        <f t="shared" si="49"/>
        <v>0</v>
      </c>
      <c r="Y468" s="14">
        <f t="shared" si="50"/>
        <v>0</v>
      </c>
      <c r="Z468" s="14">
        <f t="shared" si="51"/>
        <v>0</v>
      </c>
      <c r="AA468" s="14">
        <f t="shared" si="52"/>
        <v>0</v>
      </c>
      <c r="AB468" s="14">
        <f t="shared" si="53"/>
        <v>0</v>
      </c>
      <c r="AC468" s="14">
        <f t="shared" si="54"/>
        <v>0</v>
      </c>
      <c r="AD468" s="14">
        <f t="shared" si="55"/>
        <v>0</v>
      </c>
    </row>
    <row r="469" spans="5:30" ht="0.6" customHeight="1">
      <c r="U469">
        <v>0</v>
      </c>
      <c r="V469">
        <v>25</v>
      </c>
      <c r="W469" s="14">
        <f t="shared" si="48"/>
        <v>0</v>
      </c>
      <c r="X469" s="14">
        <f t="shared" si="49"/>
        <v>0</v>
      </c>
      <c r="Y469" s="14">
        <f t="shared" si="50"/>
        <v>0</v>
      </c>
      <c r="Z469" s="14">
        <f t="shared" si="51"/>
        <v>0</v>
      </c>
      <c r="AA469" s="14">
        <f t="shared" si="52"/>
        <v>0</v>
      </c>
      <c r="AB469" s="14">
        <f t="shared" si="53"/>
        <v>0</v>
      </c>
      <c r="AC469" s="14">
        <f t="shared" si="54"/>
        <v>0</v>
      </c>
      <c r="AD469" s="14" t="str">
        <f t="shared" si="55"/>
        <v/>
      </c>
    </row>
    <row r="470" spans="5:30">
      <c r="E470" s="4"/>
      <c r="F470" s="3" t="s">
        <v>32</v>
      </c>
      <c r="G470" s="5" t="s">
        <v>33</v>
      </c>
      <c r="H470" s="32" t="s">
        <v>33</v>
      </c>
      <c r="I470" s="18"/>
      <c r="J470" s="18"/>
      <c r="K470" s="32" t="s">
        <v>33</v>
      </c>
      <c r="L470" s="18"/>
      <c r="M470" s="5" t="s">
        <v>33</v>
      </c>
      <c r="N470" s="5" t="s">
        <v>33</v>
      </c>
      <c r="O470" s="5" t="s">
        <v>33</v>
      </c>
      <c r="P470" s="5" t="s">
        <v>33</v>
      </c>
      <c r="Q470" s="32" t="s">
        <v>33</v>
      </c>
      <c r="R470" s="18"/>
      <c r="S470" s="5" t="s">
        <v>33</v>
      </c>
      <c r="U470" t="s">
        <v>46</v>
      </c>
      <c r="V470" t="s">
        <v>33</v>
      </c>
      <c r="W470" s="14" t="str">
        <f t="shared" si="48"/>
        <v/>
      </c>
      <c r="X470" s="14" t="str">
        <f t="shared" si="49"/>
        <v/>
      </c>
      <c r="Y470" s="14" t="str">
        <f t="shared" si="50"/>
        <v/>
      </c>
      <c r="Z470" s="14" t="str">
        <f t="shared" si="51"/>
        <v/>
      </c>
      <c r="AA470" s="14" t="str">
        <f t="shared" si="52"/>
        <v/>
      </c>
      <c r="AB470" s="14" t="str">
        <f t="shared" si="53"/>
        <v/>
      </c>
      <c r="AC470" s="14" t="str">
        <f t="shared" si="54"/>
        <v/>
      </c>
      <c r="AD470" s="14" t="str">
        <f t="shared" si="55"/>
        <v>COMNSSN302</v>
      </c>
    </row>
    <row r="471" spans="5:30" ht="21">
      <c r="E471" s="4"/>
      <c r="F471" s="7" t="s">
        <v>35</v>
      </c>
      <c r="G471" s="7" t="s">
        <v>5</v>
      </c>
      <c r="H471" s="30" t="s">
        <v>7</v>
      </c>
      <c r="I471" s="24"/>
      <c r="J471" s="22"/>
      <c r="K471" s="30" t="s">
        <v>9</v>
      </c>
      <c r="L471" s="22"/>
      <c r="M471" s="7" t="s">
        <v>11</v>
      </c>
      <c r="N471" s="7" t="s">
        <v>15</v>
      </c>
      <c r="O471" s="7" t="s">
        <v>17</v>
      </c>
      <c r="P471" s="7" t="s">
        <v>21</v>
      </c>
      <c r="Q471" s="30" t="s">
        <v>25</v>
      </c>
      <c r="R471" s="22"/>
      <c r="S471" s="7" t="s">
        <v>36</v>
      </c>
      <c r="U471" t="s">
        <v>48</v>
      </c>
      <c r="V471">
        <v>160</v>
      </c>
      <c r="W471" s="14" t="str">
        <f t="shared" si="48"/>
        <v>BBABMCN301</v>
      </c>
      <c r="X471" s="14" t="str">
        <f t="shared" si="49"/>
        <v>BBABMCN302</v>
      </c>
      <c r="Y471" s="14" t="str">
        <f t="shared" si="50"/>
        <v>BBABMCN303</v>
      </c>
      <c r="Z471" s="14" t="str">
        <f t="shared" si="51"/>
        <v>BBAENLN301</v>
      </c>
      <c r="AA471" s="14" t="str">
        <f t="shared" si="52"/>
        <v>BBAKALN302</v>
      </c>
      <c r="AB471" s="14" t="str">
        <f t="shared" si="53"/>
        <v>BCACAEN302</v>
      </c>
      <c r="AC471" s="14" t="str">
        <f t="shared" si="54"/>
        <v>COMFISN301</v>
      </c>
      <c r="AD471" s="14" t="str">
        <f t="shared" si="55"/>
        <v xml:space="preserve"> - - + - - </v>
      </c>
    </row>
    <row r="472" spans="5:30" ht="22.5">
      <c r="E472" s="6" t="s">
        <v>364</v>
      </c>
      <c r="F472" s="8" t="s">
        <v>39</v>
      </c>
      <c r="G472" s="9" t="s">
        <v>190</v>
      </c>
      <c r="H472" s="23" t="s">
        <v>344</v>
      </c>
      <c r="I472" s="24"/>
      <c r="J472" s="22"/>
      <c r="K472" s="23" t="s">
        <v>365</v>
      </c>
      <c r="L472" s="22"/>
      <c r="M472" s="9" t="s">
        <v>366</v>
      </c>
      <c r="N472" s="9" t="s">
        <v>367</v>
      </c>
      <c r="O472" s="9" t="s">
        <v>368</v>
      </c>
      <c r="P472" s="9" t="s">
        <v>369</v>
      </c>
      <c r="Q472" s="23" t="s">
        <v>43</v>
      </c>
      <c r="R472" s="22"/>
      <c r="S472" s="8" t="s">
        <v>33</v>
      </c>
      <c r="U472" t="s">
        <v>50</v>
      </c>
      <c r="V472">
        <v>423</v>
      </c>
      <c r="W472" s="14" t="str">
        <f t="shared" si="48"/>
        <v>36.00 + 25.00</v>
      </c>
      <c r="X472" s="14" t="str">
        <f t="shared" si="49"/>
        <v>24.00 + 25.00</v>
      </c>
      <c r="Y472" s="14" t="str">
        <f t="shared" si="50"/>
        <v>44.00 + 24.00</v>
      </c>
      <c r="Z472" s="14" t="str">
        <f t="shared" si="51"/>
        <v>41.00 + 18.00</v>
      </c>
      <c r="AA472" s="14" t="str">
        <f t="shared" si="52"/>
        <v>34.00 + 28.00</v>
      </c>
      <c r="AB472" s="14" t="str">
        <f t="shared" si="53"/>
        <v>21.00 + 20.00</v>
      </c>
      <c r="AC472" s="14" t="str">
        <f t="shared" si="54"/>
        <v>20.00 + 15.00</v>
      </c>
      <c r="AD472" s="14" t="str">
        <f t="shared" si="55"/>
        <v xml:space="preserve"> - - +48.00</v>
      </c>
    </row>
    <row r="473" spans="5:30">
      <c r="E473" s="25"/>
      <c r="F473" s="8" t="s">
        <v>42</v>
      </c>
      <c r="G473" s="9" t="s">
        <v>43</v>
      </c>
      <c r="H473" s="23" t="s">
        <v>43</v>
      </c>
      <c r="I473" s="24"/>
      <c r="J473" s="22"/>
      <c r="K473" s="23" t="s">
        <v>43</v>
      </c>
      <c r="L473" s="22"/>
      <c r="M473" s="9" t="s">
        <v>43</v>
      </c>
      <c r="N473" s="9" t="s">
        <v>43</v>
      </c>
      <c r="O473" s="9" t="s">
        <v>43</v>
      </c>
      <c r="P473" s="9" t="s">
        <v>43</v>
      </c>
      <c r="Q473" s="23" t="s">
        <v>107</v>
      </c>
      <c r="R473" s="22"/>
      <c r="S473" s="8" t="s">
        <v>33</v>
      </c>
      <c r="U473" t="s">
        <v>51</v>
      </c>
      <c r="V473">
        <v>700</v>
      </c>
      <c r="W473" s="14" t="str">
        <f t="shared" si="48"/>
        <v xml:space="preserve"> - - + - - </v>
      </c>
      <c r="X473" s="14" t="str">
        <f t="shared" si="49"/>
        <v xml:space="preserve"> - - + - - </v>
      </c>
      <c r="Y473" s="14" t="str">
        <f t="shared" si="50"/>
        <v xml:space="preserve"> - - + - - </v>
      </c>
      <c r="Z473" s="14" t="str">
        <f t="shared" si="51"/>
        <v xml:space="preserve"> - - + - - </v>
      </c>
      <c r="AA473" s="14" t="str">
        <f t="shared" si="52"/>
        <v xml:space="preserve"> - - + - - </v>
      </c>
      <c r="AB473" s="14" t="str">
        <f t="shared" si="53"/>
        <v xml:space="preserve"> - - + - - </v>
      </c>
      <c r="AC473" s="14" t="str">
        <f t="shared" si="54"/>
        <v xml:space="preserve"> - - + - - </v>
      </c>
      <c r="AD473" s="14" t="str">
        <f t="shared" si="55"/>
        <v/>
      </c>
    </row>
    <row r="474" spans="5:30">
      <c r="E474" s="27"/>
      <c r="F474" s="8" t="s">
        <v>44</v>
      </c>
      <c r="G474" s="9" t="s">
        <v>33</v>
      </c>
      <c r="H474" s="23" t="s">
        <v>33</v>
      </c>
      <c r="I474" s="24"/>
      <c r="J474" s="22"/>
      <c r="K474" s="23" t="s">
        <v>33</v>
      </c>
      <c r="L474" s="22"/>
      <c r="M474" s="9" t="s">
        <v>33</v>
      </c>
      <c r="N474" s="9" t="s">
        <v>33</v>
      </c>
      <c r="O474" s="9" t="s">
        <v>33</v>
      </c>
      <c r="P474" s="9" t="s">
        <v>33</v>
      </c>
      <c r="Q474" s="23" t="s">
        <v>33</v>
      </c>
      <c r="R474" s="22"/>
      <c r="S474" s="8">
        <v>0</v>
      </c>
      <c r="U474" t="s">
        <v>53</v>
      </c>
      <c r="V474" t="s">
        <v>33</v>
      </c>
      <c r="W474" s="14" t="str">
        <f t="shared" si="48"/>
        <v/>
      </c>
      <c r="X474" s="14" t="str">
        <f t="shared" si="49"/>
        <v/>
      </c>
      <c r="Y474" s="14" t="str">
        <f t="shared" si="50"/>
        <v/>
      </c>
      <c r="Z474" s="14" t="str">
        <f t="shared" si="51"/>
        <v/>
      </c>
      <c r="AA474" s="14" t="str">
        <f t="shared" si="52"/>
        <v/>
      </c>
      <c r="AB474" s="14" t="str">
        <f t="shared" si="53"/>
        <v/>
      </c>
      <c r="AC474" s="14" t="str">
        <f t="shared" si="54"/>
        <v/>
      </c>
      <c r="AD474" s="14">
        <f t="shared" si="55"/>
        <v>2</v>
      </c>
    </row>
    <row r="475" spans="5:30">
      <c r="E475" s="29"/>
      <c r="F475" s="8" t="s">
        <v>45</v>
      </c>
      <c r="G475" s="9">
        <v>4</v>
      </c>
      <c r="H475" s="23">
        <v>4</v>
      </c>
      <c r="I475" s="24"/>
      <c r="J475" s="22"/>
      <c r="K475" s="23">
        <v>4</v>
      </c>
      <c r="L475" s="22"/>
      <c r="M475" s="9">
        <v>3</v>
      </c>
      <c r="N475" s="9">
        <v>3</v>
      </c>
      <c r="O475" s="9">
        <v>3</v>
      </c>
      <c r="P475" s="9">
        <v>2</v>
      </c>
      <c r="Q475" s="23">
        <v>2</v>
      </c>
      <c r="R475" s="22"/>
      <c r="S475" s="8">
        <v>25</v>
      </c>
      <c r="U475" t="s">
        <v>56</v>
      </c>
      <c r="V475" t="s">
        <v>33</v>
      </c>
      <c r="W475" s="14">
        <f t="shared" si="48"/>
        <v>4</v>
      </c>
      <c r="X475" s="14">
        <f t="shared" si="49"/>
        <v>4</v>
      </c>
      <c r="Y475" s="14">
        <f t="shared" si="50"/>
        <v>4</v>
      </c>
      <c r="Z475" s="14">
        <f t="shared" si="51"/>
        <v>3</v>
      </c>
      <c r="AA475" s="14">
        <f t="shared" si="52"/>
        <v>3</v>
      </c>
      <c r="AB475" s="14">
        <f t="shared" si="53"/>
        <v>3</v>
      </c>
      <c r="AC475" s="14">
        <f t="shared" si="54"/>
        <v>2</v>
      </c>
      <c r="AD475" s="14">
        <f t="shared" si="55"/>
        <v>10</v>
      </c>
    </row>
    <row r="476" spans="5:30">
      <c r="E476" s="6">
        <v>6.4</v>
      </c>
      <c r="F476" s="8" t="s">
        <v>47</v>
      </c>
      <c r="G476" s="9">
        <v>6.5</v>
      </c>
      <c r="H476" s="23">
        <v>5</v>
      </c>
      <c r="I476" s="24"/>
      <c r="J476" s="22"/>
      <c r="K476" s="23">
        <v>7</v>
      </c>
      <c r="L476" s="22"/>
      <c r="M476" s="9">
        <v>6</v>
      </c>
      <c r="N476" s="9">
        <v>6.5</v>
      </c>
      <c r="O476" s="9">
        <v>4.5</v>
      </c>
      <c r="P476" s="9">
        <v>7.5</v>
      </c>
      <c r="Q476" s="23">
        <v>10</v>
      </c>
      <c r="R476" s="22"/>
      <c r="S476" s="8" t="s">
        <v>33</v>
      </c>
      <c r="U476" t="s">
        <v>33</v>
      </c>
      <c r="V476" t="s">
        <v>33</v>
      </c>
      <c r="W476" s="14">
        <f t="shared" si="48"/>
        <v>6.5</v>
      </c>
      <c r="X476" s="14">
        <f t="shared" si="49"/>
        <v>5</v>
      </c>
      <c r="Y476" s="14">
        <f t="shared" si="50"/>
        <v>7</v>
      </c>
      <c r="Z476" s="14">
        <f t="shared" si="51"/>
        <v>6</v>
      </c>
      <c r="AA476" s="14">
        <f t="shared" si="52"/>
        <v>6.5</v>
      </c>
      <c r="AB476" s="14">
        <f t="shared" si="53"/>
        <v>4.5</v>
      </c>
      <c r="AC476" s="14">
        <f t="shared" si="54"/>
        <v>7.5</v>
      </c>
      <c r="AD476" s="14">
        <f t="shared" si="55"/>
        <v>20</v>
      </c>
    </row>
    <row r="477" spans="5:30">
      <c r="E477" s="10">
        <v>6.49</v>
      </c>
      <c r="F477" s="8" t="s">
        <v>49</v>
      </c>
      <c r="G477" s="9">
        <v>26</v>
      </c>
      <c r="H477" s="23">
        <v>20</v>
      </c>
      <c r="I477" s="24"/>
      <c r="J477" s="22"/>
      <c r="K477" s="23">
        <v>28</v>
      </c>
      <c r="L477" s="22"/>
      <c r="M477" s="9">
        <v>18</v>
      </c>
      <c r="N477" s="9">
        <v>19.5</v>
      </c>
      <c r="O477" s="9">
        <v>13.5</v>
      </c>
      <c r="P477" s="9">
        <v>15</v>
      </c>
      <c r="Q477" s="23">
        <v>20</v>
      </c>
      <c r="R477" s="22"/>
      <c r="S477" s="8">
        <v>160</v>
      </c>
      <c r="U477">
        <v>0</v>
      </c>
      <c r="V477">
        <v>0</v>
      </c>
      <c r="W477" s="14">
        <f t="shared" si="48"/>
        <v>26</v>
      </c>
      <c r="X477" s="14">
        <f t="shared" si="49"/>
        <v>20</v>
      </c>
      <c r="Y477" s="14">
        <f t="shared" si="50"/>
        <v>28</v>
      </c>
      <c r="Z477" s="14">
        <f t="shared" si="51"/>
        <v>18</v>
      </c>
      <c r="AA477" s="14">
        <f t="shared" si="52"/>
        <v>19.5</v>
      </c>
      <c r="AB477" s="14">
        <f t="shared" si="53"/>
        <v>13.5</v>
      </c>
      <c r="AC477" s="14">
        <f t="shared" si="54"/>
        <v>15</v>
      </c>
      <c r="AD477" s="14">
        <f t="shared" si="55"/>
        <v>48</v>
      </c>
    </row>
    <row r="478" spans="5:30">
      <c r="E478" s="4"/>
      <c r="F478" s="8" t="s">
        <v>36</v>
      </c>
      <c r="G478" s="9">
        <v>61</v>
      </c>
      <c r="H478" s="23">
        <v>49</v>
      </c>
      <c r="I478" s="24"/>
      <c r="J478" s="22"/>
      <c r="K478" s="23">
        <v>68</v>
      </c>
      <c r="L478" s="22"/>
      <c r="M478" s="9">
        <v>59</v>
      </c>
      <c r="N478" s="9">
        <v>62</v>
      </c>
      <c r="O478" s="9">
        <v>41</v>
      </c>
      <c r="P478" s="9">
        <v>35</v>
      </c>
      <c r="Q478" s="23">
        <v>48</v>
      </c>
      <c r="R478" s="22"/>
      <c r="S478" s="8">
        <v>423</v>
      </c>
      <c r="U478">
        <v>0</v>
      </c>
      <c r="V478">
        <v>0</v>
      </c>
      <c r="W478" s="14">
        <f t="shared" si="48"/>
        <v>61</v>
      </c>
      <c r="X478" s="14">
        <f t="shared" si="49"/>
        <v>49</v>
      </c>
      <c r="Y478" s="14">
        <f t="shared" si="50"/>
        <v>68</v>
      </c>
      <c r="Z478" s="14">
        <f t="shared" si="51"/>
        <v>59</v>
      </c>
      <c r="AA478" s="14">
        <f t="shared" si="52"/>
        <v>62</v>
      </c>
      <c r="AB478" s="14">
        <f t="shared" si="53"/>
        <v>41</v>
      </c>
      <c r="AC478" s="14">
        <f t="shared" si="54"/>
        <v>35</v>
      </c>
      <c r="AD478" s="14">
        <f t="shared" si="55"/>
        <v>50</v>
      </c>
    </row>
    <row r="479" spans="5:30">
      <c r="E479" s="6"/>
      <c r="F479" s="8" t="s">
        <v>52</v>
      </c>
      <c r="G479" s="9">
        <v>100</v>
      </c>
      <c r="H479" s="23">
        <v>100</v>
      </c>
      <c r="I479" s="24"/>
      <c r="J479" s="22"/>
      <c r="K479" s="23">
        <v>100</v>
      </c>
      <c r="L479" s="22"/>
      <c r="M479" s="9">
        <v>100</v>
      </c>
      <c r="N479" s="9">
        <v>100</v>
      </c>
      <c r="O479" s="9">
        <v>100</v>
      </c>
      <c r="P479" s="9">
        <v>50</v>
      </c>
      <c r="Q479" s="23">
        <v>50</v>
      </c>
      <c r="R479" s="22"/>
      <c r="S479" s="8">
        <v>700</v>
      </c>
      <c r="U479" t="s">
        <v>31</v>
      </c>
      <c r="V479" t="s">
        <v>33</v>
      </c>
      <c r="W479" s="14">
        <f t="shared" si="48"/>
        <v>100</v>
      </c>
      <c r="X479" s="14">
        <f t="shared" si="49"/>
        <v>100</v>
      </c>
      <c r="Y479" s="14">
        <f t="shared" si="50"/>
        <v>100</v>
      </c>
      <c r="Z479" s="14">
        <f t="shared" si="51"/>
        <v>100</v>
      </c>
      <c r="AA479" s="14">
        <f t="shared" si="52"/>
        <v>100</v>
      </c>
      <c r="AB479" s="14">
        <f t="shared" si="53"/>
        <v>100</v>
      </c>
      <c r="AC479" s="14">
        <f t="shared" si="54"/>
        <v>50</v>
      </c>
      <c r="AD479" s="14" t="str">
        <f t="shared" si="55"/>
        <v>OO+</v>
      </c>
    </row>
    <row r="480" spans="5:30">
      <c r="E480" s="4"/>
      <c r="F480" s="8" t="s">
        <v>54</v>
      </c>
      <c r="G480" s="9" t="s">
        <v>76</v>
      </c>
      <c r="H480" s="23" t="s">
        <v>55</v>
      </c>
      <c r="I480" s="24"/>
      <c r="J480" s="22"/>
      <c r="K480" s="23" t="s">
        <v>109</v>
      </c>
      <c r="L480" s="22"/>
      <c r="M480" s="9" t="s">
        <v>147</v>
      </c>
      <c r="N480" s="9" t="s">
        <v>76</v>
      </c>
      <c r="O480" s="9" t="s">
        <v>75</v>
      </c>
      <c r="P480" s="9" t="s">
        <v>108</v>
      </c>
      <c r="Q480" s="23" t="s">
        <v>93</v>
      </c>
      <c r="R480" s="22"/>
      <c r="S480" s="8" t="s">
        <v>33</v>
      </c>
      <c r="U480" t="s">
        <v>372</v>
      </c>
      <c r="V480" t="s">
        <v>36</v>
      </c>
      <c r="W480" s="14" t="str">
        <f t="shared" si="48"/>
        <v>AB</v>
      </c>
      <c r="X480" s="14" t="str">
        <f t="shared" si="49"/>
        <v>BC</v>
      </c>
      <c r="Y480" s="14" t="str">
        <f t="shared" si="50"/>
        <v>AB+</v>
      </c>
      <c r="Z480" s="14" t="str">
        <f t="shared" si="51"/>
        <v>BB+</v>
      </c>
      <c r="AA480" s="14" t="str">
        <f t="shared" si="52"/>
        <v>AB</v>
      </c>
      <c r="AB480" s="14" t="str">
        <f t="shared" si="53"/>
        <v>PP</v>
      </c>
      <c r="AC480" s="14" t="str">
        <f t="shared" si="54"/>
        <v>AA</v>
      </c>
      <c r="AD480" s="14" t="str">
        <f t="shared" si="55"/>
        <v>Pass</v>
      </c>
    </row>
    <row r="481" spans="5:30">
      <c r="E481" s="11" t="s">
        <v>371</v>
      </c>
      <c r="F481" s="8" t="s">
        <v>58</v>
      </c>
      <c r="G481" s="9" t="s">
        <v>59</v>
      </c>
      <c r="H481" s="23" t="s">
        <v>59</v>
      </c>
      <c r="I481" s="24"/>
      <c r="J481" s="22"/>
      <c r="K481" s="23" t="s">
        <v>59</v>
      </c>
      <c r="L481" s="22"/>
      <c r="M481" s="9" t="s">
        <v>59</v>
      </c>
      <c r="N481" s="9" t="s">
        <v>59</v>
      </c>
      <c r="O481" s="9" t="s">
        <v>59</v>
      </c>
      <c r="P481" s="9" t="s">
        <v>59</v>
      </c>
      <c r="Q481" s="23" t="s">
        <v>59</v>
      </c>
      <c r="R481" s="22"/>
      <c r="S481" s="8" t="s">
        <v>33</v>
      </c>
      <c r="U481" t="s">
        <v>37</v>
      </c>
      <c r="V481" t="s">
        <v>33</v>
      </c>
      <c r="W481" s="14" t="str">
        <f t="shared" si="48"/>
        <v>Pass</v>
      </c>
      <c r="X481" s="14" t="str">
        <f t="shared" si="49"/>
        <v>Pass</v>
      </c>
      <c r="Y481" s="14" t="str">
        <f t="shared" si="50"/>
        <v>Pass</v>
      </c>
      <c r="Z481" s="14" t="str">
        <f t="shared" si="51"/>
        <v>Pass</v>
      </c>
      <c r="AA481" s="14" t="str">
        <f t="shared" si="52"/>
        <v>Pass</v>
      </c>
      <c r="AB481" s="14" t="str">
        <f t="shared" si="53"/>
        <v>Pass</v>
      </c>
      <c r="AC481" s="14" t="str">
        <f t="shared" si="54"/>
        <v>Pass</v>
      </c>
      <c r="AD481" s="14" t="str">
        <f t="shared" si="55"/>
        <v/>
      </c>
    </row>
    <row r="482" spans="5:30">
      <c r="E482" s="12" t="s">
        <v>33</v>
      </c>
      <c r="F482" s="12" t="s">
        <v>33</v>
      </c>
      <c r="G482" s="13" t="s">
        <v>33</v>
      </c>
      <c r="H482" s="20" t="s">
        <v>33</v>
      </c>
      <c r="I482" s="18"/>
      <c r="J482" s="18"/>
      <c r="K482" s="20" t="s">
        <v>33</v>
      </c>
      <c r="L482" s="18"/>
      <c r="M482" s="13" t="s">
        <v>33</v>
      </c>
      <c r="N482" s="13" t="s">
        <v>33</v>
      </c>
      <c r="O482" s="13" t="s">
        <v>33</v>
      </c>
      <c r="P482" s="13" t="s">
        <v>33</v>
      </c>
      <c r="Q482" s="20" t="s">
        <v>33</v>
      </c>
      <c r="R482" s="18"/>
      <c r="S482" s="13" t="s">
        <v>33</v>
      </c>
      <c r="U482" t="s">
        <v>379</v>
      </c>
      <c r="V482" t="s">
        <v>33</v>
      </c>
      <c r="W482" s="14" t="str">
        <f t="shared" si="48"/>
        <v/>
      </c>
      <c r="X482" s="14" t="str">
        <f t="shared" si="49"/>
        <v/>
      </c>
      <c r="Y482" s="14" t="str">
        <f t="shared" si="50"/>
        <v/>
      </c>
      <c r="Z482" s="14" t="str">
        <f t="shared" si="51"/>
        <v/>
      </c>
      <c r="AA482" s="14" t="str">
        <f t="shared" si="52"/>
        <v/>
      </c>
      <c r="AB482" s="14" t="str">
        <f t="shared" si="53"/>
        <v/>
      </c>
      <c r="AC482" s="14" t="str">
        <f t="shared" si="54"/>
        <v/>
      </c>
      <c r="AD482" s="14">
        <f t="shared" si="55"/>
        <v>0</v>
      </c>
    </row>
    <row r="483" spans="5:30" ht="0" hidden="1" customHeight="1">
      <c r="U483">
        <v>0</v>
      </c>
      <c r="V483">
        <v>2</v>
      </c>
      <c r="W483" s="14">
        <f t="shared" si="48"/>
        <v>0</v>
      </c>
      <c r="X483" s="14">
        <f t="shared" si="49"/>
        <v>0</v>
      </c>
      <c r="Y483" s="14">
        <f t="shared" si="50"/>
        <v>0</v>
      </c>
      <c r="Z483" s="14">
        <f t="shared" si="51"/>
        <v>0</v>
      </c>
      <c r="AA483" s="14">
        <f t="shared" si="52"/>
        <v>0</v>
      </c>
      <c r="AB483" s="14">
        <f t="shared" si="53"/>
        <v>0</v>
      </c>
      <c r="AC483" s="14">
        <f t="shared" si="54"/>
        <v>0</v>
      </c>
      <c r="AD483" s="14">
        <f t="shared" si="55"/>
        <v>0</v>
      </c>
    </row>
    <row r="484" spans="5:30" ht="0.6" customHeight="1">
      <c r="U484">
        <v>0</v>
      </c>
      <c r="V484">
        <v>25</v>
      </c>
      <c r="W484" s="14">
        <f t="shared" si="48"/>
        <v>0</v>
      </c>
      <c r="X484" s="14">
        <f t="shared" si="49"/>
        <v>0</v>
      </c>
      <c r="Y484" s="14">
        <f t="shared" si="50"/>
        <v>0</v>
      </c>
      <c r="Z484" s="14">
        <f t="shared" si="51"/>
        <v>0</v>
      </c>
      <c r="AA484" s="14">
        <f t="shared" si="52"/>
        <v>0</v>
      </c>
      <c r="AB484" s="14">
        <f t="shared" si="53"/>
        <v>0</v>
      </c>
      <c r="AC484" s="14">
        <f t="shared" si="54"/>
        <v>0</v>
      </c>
      <c r="AD484" s="14" t="str">
        <f t="shared" si="55"/>
        <v/>
      </c>
    </row>
    <row r="485" spans="5:30">
      <c r="E485" s="4"/>
      <c r="F485" s="3" t="s">
        <v>32</v>
      </c>
      <c r="G485" s="5" t="s">
        <v>33</v>
      </c>
      <c r="H485" s="32" t="s">
        <v>33</v>
      </c>
      <c r="I485" s="18"/>
      <c r="J485" s="18"/>
      <c r="K485" s="32" t="s">
        <v>33</v>
      </c>
      <c r="L485" s="18"/>
      <c r="M485" s="5" t="s">
        <v>33</v>
      </c>
      <c r="N485" s="5" t="s">
        <v>33</v>
      </c>
      <c r="O485" s="5" t="s">
        <v>33</v>
      </c>
      <c r="P485" s="5" t="s">
        <v>33</v>
      </c>
      <c r="Q485" s="32" t="s">
        <v>33</v>
      </c>
      <c r="R485" s="18"/>
      <c r="S485" s="5" t="s">
        <v>33</v>
      </c>
      <c r="U485" t="s">
        <v>46</v>
      </c>
      <c r="V485" t="s">
        <v>33</v>
      </c>
      <c r="W485" s="14" t="str">
        <f t="shared" si="48"/>
        <v/>
      </c>
      <c r="X485" s="14" t="str">
        <f t="shared" si="49"/>
        <v/>
      </c>
      <c r="Y485" s="14" t="str">
        <f t="shared" si="50"/>
        <v/>
      </c>
      <c r="Z485" s="14" t="str">
        <f t="shared" si="51"/>
        <v/>
      </c>
      <c r="AA485" s="14" t="str">
        <f t="shared" si="52"/>
        <v/>
      </c>
      <c r="AB485" s="14" t="str">
        <f t="shared" si="53"/>
        <v/>
      </c>
      <c r="AC485" s="14" t="str">
        <f t="shared" si="54"/>
        <v/>
      </c>
      <c r="AD485" s="14" t="str">
        <f t="shared" si="55"/>
        <v>COMNSSN302</v>
      </c>
    </row>
    <row r="486" spans="5:30" ht="21">
      <c r="E486" s="4"/>
      <c r="F486" s="7" t="s">
        <v>35</v>
      </c>
      <c r="G486" s="7" t="s">
        <v>5</v>
      </c>
      <c r="H486" s="30" t="s">
        <v>7</v>
      </c>
      <c r="I486" s="24"/>
      <c r="J486" s="22"/>
      <c r="K486" s="30" t="s">
        <v>9</v>
      </c>
      <c r="L486" s="22"/>
      <c r="M486" s="7" t="s">
        <v>11</v>
      </c>
      <c r="N486" s="7" t="s">
        <v>15</v>
      </c>
      <c r="O486" s="7" t="s">
        <v>17</v>
      </c>
      <c r="P486" s="7" t="s">
        <v>21</v>
      </c>
      <c r="Q486" s="30" t="s">
        <v>25</v>
      </c>
      <c r="R486" s="22"/>
      <c r="S486" s="7" t="s">
        <v>36</v>
      </c>
      <c r="U486" t="s">
        <v>48</v>
      </c>
      <c r="V486">
        <v>157</v>
      </c>
      <c r="W486" s="14" t="str">
        <f t="shared" si="48"/>
        <v>BBABMCN301</v>
      </c>
      <c r="X486" s="14" t="str">
        <f t="shared" si="49"/>
        <v>BBABMCN302</v>
      </c>
      <c r="Y486" s="14" t="str">
        <f t="shared" si="50"/>
        <v>BBABMCN303</v>
      </c>
      <c r="Z486" s="14" t="str">
        <f t="shared" si="51"/>
        <v>BBAENLN301</v>
      </c>
      <c r="AA486" s="14" t="str">
        <f t="shared" si="52"/>
        <v>BBAKALN302</v>
      </c>
      <c r="AB486" s="14" t="str">
        <f t="shared" si="53"/>
        <v>BCACAEN302</v>
      </c>
      <c r="AC486" s="14" t="str">
        <f t="shared" si="54"/>
        <v>COMFISN301</v>
      </c>
      <c r="AD486" s="14" t="str">
        <f t="shared" si="55"/>
        <v xml:space="preserve"> - - + - - </v>
      </c>
    </row>
    <row r="487" spans="5:30" ht="22.5">
      <c r="E487" s="6" t="s">
        <v>373</v>
      </c>
      <c r="F487" s="8" t="s">
        <v>39</v>
      </c>
      <c r="G487" s="9" t="s">
        <v>374</v>
      </c>
      <c r="H487" s="23" t="s">
        <v>375</v>
      </c>
      <c r="I487" s="24"/>
      <c r="J487" s="22"/>
      <c r="K487" s="23" t="s">
        <v>376</v>
      </c>
      <c r="L487" s="22"/>
      <c r="M487" s="9" t="s">
        <v>264</v>
      </c>
      <c r="N487" s="9" t="s">
        <v>238</v>
      </c>
      <c r="O487" s="9" t="s">
        <v>377</v>
      </c>
      <c r="P487" s="9" t="s">
        <v>378</v>
      </c>
      <c r="Q487" s="23" t="s">
        <v>43</v>
      </c>
      <c r="R487" s="22"/>
      <c r="S487" s="8" t="s">
        <v>33</v>
      </c>
      <c r="U487" t="s">
        <v>50</v>
      </c>
      <c r="V487">
        <v>416</v>
      </c>
      <c r="W487" s="14" t="str">
        <f t="shared" si="48"/>
        <v>34.00 + 20.00</v>
      </c>
      <c r="X487" s="14" t="str">
        <f t="shared" si="49"/>
        <v>27.00 + 22.00</v>
      </c>
      <c r="Y487" s="14" t="str">
        <f t="shared" si="50"/>
        <v>42.00 + 26.00</v>
      </c>
      <c r="Z487" s="14" t="str">
        <f t="shared" si="51"/>
        <v>37.00 + 18.00</v>
      </c>
      <c r="AA487" s="14" t="str">
        <f t="shared" si="52"/>
        <v>37.00 + 33.00</v>
      </c>
      <c r="AB487" s="14" t="str">
        <f t="shared" si="53"/>
        <v>23.00 + 15.00</v>
      </c>
      <c r="AC487" s="14" t="str">
        <f t="shared" si="54"/>
        <v>19.00 + 13.00</v>
      </c>
      <c r="AD487" s="14" t="str">
        <f t="shared" si="55"/>
        <v xml:space="preserve"> - - +48.00</v>
      </c>
    </row>
    <row r="488" spans="5:30">
      <c r="E488" s="25"/>
      <c r="F488" s="8" t="s">
        <v>42</v>
      </c>
      <c r="G488" s="9" t="s">
        <v>43</v>
      </c>
      <c r="H488" s="23" t="s">
        <v>43</v>
      </c>
      <c r="I488" s="24"/>
      <c r="J488" s="22"/>
      <c r="K488" s="23" t="s">
        <v>43</v>
      </c>
      <c r="L488" s="22"/>
      <c r="M488" s="9" t="s">
        <v>43</v>
      </c>
      <c r="N488" s="9" t="s">
        <v>43</v>
      </c>
      <c r="O488" s="9" t="s">
        <v>43</v>
      </c>
      <c r="P488" s="9" t="s">
        <v>43</v>
      </c>
      <c r="Q488" s="23" t="s">
        <v>107</v>
      </c>
      <c r="R488" s="22"/>
      <c r="S488" s="8" t="s">
        <v>33</v>
      </c>
      <c r="U488" t="s">
        <v>51</v>
      </c>
      <c r="V488">
        <v>700</v>
      </c>
      <c r="W488" s="14" t="str">
        <f t="shared" si="48"/>
        <v xml:space="preserve"> - - + - - </v>
      </c>
      <c r="X488" s="14" t="str">
        <f t="shared" si="49"/>
        <v xml:space="preserve"> - - + - - </v>
      </c>
      <c r="Y488" s="14" t="str">
        <f t="shared" si="50"/>
        <v xml:space="preserve"> - - + - - </v>
      </c>
      <c r="Z488" s="14" t="str">
        <f t="shared" si="51"/>
        <v xml:space="preserve"> - - + - - </v>
      </c>
      <c r="AA488" s="14" t="str">
        <f t="shared" si="52"/>
        <v xml:space="preserve"> - - + - - </v>
      </c>
      <c r="AB488" s="14" t="str">
        <f t="shared" si="53"/>
        <v xml:space="preserve"> - - + - - </v>
      </c>
      <c r="AC488" s="14" t="str">
        <f t="shared" si="54"/>
        <v xml:space="preserve"> - - + - - </v>
      </c>
      <c r="AD488" s="14" t="str">
        <f t="shared" si="55"/>
        <v/>
      </c>
    </row>
    <row r="489" spans="5:30">
      <c r="E489" s="27"/>
      <c r="F489" s="8" t="s">
        <v>44</v>
      </c>
      <c r="G489" s="9" t="s">
        <v>33</v>
      </c>
      <c r="H489" s="23" t="s">
        <v>33</v>
      </c>
      <c r="I489" s="24"/>
      <c r="J489" s="22"/>
      <c r="K489" s="23" t="s">
        <v>33</v>
      </c>
      <c r="L489" s="22"/>
      <c r="M489" s="9" t="s">
        <v>33</v>
      </c>
      <c r="N489" s="9" t="s">
        <v>33</v>
      </c>
      <c r="O489" s="9">
        <v>2</v>
      </c>
      <c r="P489" s="9" t="s">
        <v>33</v>
      </c>
      <c r="Q489" s="23" t="s">
        <v>33</v>
      </c>
      <c r="R489" s="22"/>
      <c r="S489" s="8">
        <v>2</v>
      </c>
      <c r="U489" t="s">
        <v>53</v>
      </c>
      <c r="V489" t="s">
        <v>33</v>
      </c>
      <c r="W489" s="14" t="str">
        <f t="shared" si="48"/>
        <v/>
      </c>
      <c r="X489" s="14" t="str">
        <f t="shared" si="49"/>
        <v/>
      </c>
      <c r="Y489" s="14" t="str">
        <f t="shared" si="50"/>
        <v/>
      </c>
      <c r="Z489" s="14" t="str">
        <f t="shared" si="51"/>
        <v/>
      </c>
      <c r="AA489" s="14" t="str">
        <f t="shared" si="52"/>
        <v/>
      </c>
      <c r="AB489" s="14">
        <f t="shared" si="53"/>
        <v>2</v>
      </c>
      <c r="AC489" s="14" t="str">
        <f t="shared" si="54"/>
        <v/>
      </c>
      <c r="AD489" s="14">
        <f t="shared" si="55"/>
        <v>2</v>
      </c>
    </row>
    <row r="490" spans="5:30">
      <c r="E490" s="29"/>
      <c r="F490" s="8" t="s">
        <v>45</v>
      </c>
      <c r="G490" s="9">
        <v>4</v>
      </c>
      <c r="H490" s="23">
        <v>4</v>
      </c>
      <c r="I490" s="24"/>
      <c r="J490" s="22"/>
      <c r="K490" s="23">
        <v>4</v>
      </c>
      <c r="L490" s="22"/>
      <c r="M490" s="9">
        <v>3</v>
      </c>
      <c r="N490" s="9">
        <v>3</v>
      </c>
      <c r="O490" s="9">
        <v>3</v>
      </c>
      <c r="P490" s="9">
        <v>2</v>
      </c>
      <c r="Q490" s="23">
        <v>2</v>
      </c>
      <c r="R490" s="22"/>
      <c r="S490" s="8">
        <v>25</v>
      </c>
      <c r="U490" t="s">
        <v>56</v>
      </c>
      <c r="V490" t="s">
        <v>33</v>
      </c>
      <c r="W490" s="14">
        <f t="shared" si="48"/>
        <v>4</v>
      </c>
      <c r="X490" s="14">
        <f t="shared" si="49"/>
        <v>4</v>
      </c>
      <c r="Y490" s="14">
        <f t="shared" si="50"/>
        <v>4</v>
      </c>
      <c r="Z490" s="14">
        <f t="shared" si="51"/>
        <v>3</v>
      </c>
      <c r="AA490" s="14">
        <f t="shared" si="52"/>
        <v>3</v>
      </c>
      <c r="AB490" s="14">
        <f t="shared" si="53"/>
        <v>3</v>
      </c>
      <c r="AC490" s="14">
        <f t="shared" si="54"/>
        <v>2</v>
      </c>
      <c r="AD490" s="14">
        <f t="shared" si="55"/>
        <v>10</v>
      </c>
    </row>
    <row r="491" spans="5:30">
      <c r="E491" s="6">
        <v>6.28</v>
      </c>
      <c r="F491" s="8" t="s">
        <v>47</v>
      </c>
      <c r="G491" s="9">
        <v>5.5</v>
      </c>
      <c r="H491" s="23">
        <v>5</v>
      </c>
      <c r="I491" s="24"/>
      <c r="J491" s="22"/>
      <c r="K491" s="23">
        <v>7</v>
      </c>
      <c r="L491" s="22"/>
      <c r="M491" s="9">
        <v>6</v>
      </c>
      <c r="N491" s="9">
        <v>7.5</v>
      </c>
      <c r="O491" s="9">
        <v>4.5</v>
      </c>
      <c r="P491" s="9">
        <v>6.5</v>
      </c>
      <c r="Q491" s="23">
        <v>10</v>
      </c>
      <c r="R491" s="22"/>
      <c r="S491" s="8" t="s">
        <v>33</v>
      </c>
      <c r="U491" t="s">
        <v>33</v>
      </c>
      <c r="V491" t="s">
        <v>33</v>
      </c>
      <c r="W491" s="14">
        <f t="shared" si="48"/>
        <v>5.5</v>
      </c>
      <c r="X491" s="14">
        <f t="shared" si="49"/>
        <v>5</v>
      </c>
      <c r="Y491" s="14">
        <f t="shared" si="50"/>
        <v>7</v>
      </c>
      <c r="Z491" s="14">
        <f t="shared" si="51"/>
        <v>6</v>
      </c>
      <c r="AA491" s="14">
        <f t="shared" si="52"/>
        <v>7.5</v>
      </c>
      <c r="AB491" s="14">
        <f t="shared" si="53"/>
        <v>4.5</v>
      </c>
      <c r="AC491" s="14">
        <f t="shared" si="54"/>
        <v>6.5</v>
      </c>
      <c r="AD491" s="14">
        <f t="shared" si="55"/>
        <v>20</v>
      </c>
    </row>
    <row r="492" spans="5:30">
      <c r="E492" s="10">
        <v>6.59</v>
      </c>
      <c r="F492" s="8" t="s">
        <v>49</v>
      </c>
      <c r="G492" s="9">
        <v>22</v>
      </c>
      <c r="H492" s="23">
        <v>20</v>
      </c>
      <c r="I492" s="24"/>
      <c r="J492" s="22"/>
      <c r="K492" s="23">
        <v>28</v>
      </c>
      <c r="L492" s="22"/>
      <c r="M492" s="9">
        <v>18</v>
      </c>
      <c r="N492" s="9">
        <v>22.5</v>
      </c>
      <c r="O492" s="9">
        <v>13.5</v>
      </c>
      <c r="P492" s="9">
        <v>13</v>
      </c>
      <c r="Q492" s="23">
        <v>20</v>
      </c>
      <c r="R492" s="22"/>
      <c r="S492" s="8">
        <v>157</v>
      </c>
      <c r="U492">
        <v>0</v>
      </c>
      <c r="V492">
        <v>0</v>
      </c>
      <c r="W492" s="14">
        <f t="shared" si="48"/>
        <v>22</v>
      </c>
      <c r="X492" s="14">
        <f t="shared" si="49"/>
        <v>20</v>
      </c>
      <c r="Y492" s="14">
        <f t="shared" si="50"/>
        <v>28</v>
      </c>
      <c r="Z492" s="14">
        <f t="shared" si="51"/>
        <v>18</v>
      </c>
      <c r="AA492" s="14">
        <f t="shared" si="52"/>
        <v>22.5</v>
      </c>
      <c r="AB492" s="14">
        <f t="shared" si="53"/>
        <v>13.5</v>
      </c>
      <c r="AC492" s="14">
        <f t="shared" si="54"/>
        <v>13</v>
      </c>
      <c r="AD492" s="14">
        <f t="shared" si="55"/>
        <v>48</v>
      </c>
    </row>
    <row r="493" spans="5:30">
      <c r="E493" s="4"/>
      <c r="F493" s="8" t="s">
        <v>36</v>
      </c>
      <c r="G493" s="9">
        <v>54</v>
      </c>
      <c r="H493" s="23">
        <v>49</v>
      </c>
      <c r="I493" s="24"/>
      <c r="J493" s="22"/>
      <c r="K493" s="23">
        <v>68</v>
      </c>
      <c r="L493" s="22"/>
      <c r="M493" s="9">
        <v>55</v>
      </c>
      <c r="N493" s="9">
        <v>70</v>
      </c>
      <c r="O493" s="9">
        <v>40</v>
      </c>
      <c r="P493" s="9">
        <v>32</v>
      </c>
      <c r="Q493" s="23">
        <v>48</v>
      </c>
      <c r="R493" s="22"/>
      <c r="S493" s="8">
        <v>416</v>
      </c>
      <c r="U493">
        <v>0</v>
      </c>
      <c r="V493">
        <v>0</v>
      </c>
      <c r="W493" s="14">
        <f t="shared" si="48"/>
        <v>54</v>
      </c>
      <c r="X493" s="14">
        <f t="shared" si="49"/>
        <v>49</v>
      </c>
      <c r="Y493" s="14">
        <f t="shared" si="50"/>
        <v>68</v>
      </c>
      <c r="Z493" s="14">
        <f t="shared" si="51"/>
        <v>55</v>
      </c>
      <c r="AA493" s="14">
        <f t="shared" si="52"/>
        <v>70</v>
      </c>
      <c r="AB493" s="14">
        <f t="shared" si="53"/>
        <v>40</v>
      </c>
      <c r="AC493" s="14">
        <f t="shared" si="54"/>
        <v>32</v>
      </c>
      <c r="AD493" s="14">
        <f t="shared" si="55"/>
        <v>50</v>
      </c>
    </row>
    <row r="494" spans="5:30">
      <c r="E494" s="6"/>
      <c r="F494" s="8" t="s">
        <v>52</v>
      </c>
      <c r="G494" s="9">
        <v>100</v>
      </c>
      <c r="H494" s="23">
        <v>100</v>
      </c>
      <c r="I494" s="24"/>
      <c r="J494" s="22"/>
      <c r="K494" s="23">
        <v>100</v>
      </c>
      <c r="L494" s="22"/>
      <c r="M494" s="9">
        <v>100</v>
      </c>
      <c r="N494" s="9">
        <v>100</v>
      </c>
      <c r="O494" s="9">
        <v>100</v>
      </c>
      <c r="P494" s="9">
        <v>50</v>
      </c>
      <c r="Q494" s="23">
        <v>50</v>
      </c>
      <c r="R494" s="22"/>
      <c r="S494" s="8">
        <v>700</v>
      </c>
      <c r="U494" t="s">
        <v>31</v>
      </c>
      <c r="V494" t="s">
        <v>33</v>
      </c>
      <c r="W494" s="14">
        <f t="shared" si="48"/>
        <v>100</v>
      </c>
      <c r="X494" s="14">
        <f t="shared" si="49"/>
        <v>100</v>
      </c>
      <c r="Y494" s="14">
        <f t="shared" si="50"/>
        <v>100</v>
      </c>
      <c r="Z494" s="14">
        <f t="shared" si="51"/>
        <v>100</v>
      </c>
      <c r="AA494" s="14">
        <f t="shared" si="52"/>
        <v>100</v>
      </c>
      <c r="AB494" s="14">
        <f t="shared" si="53"/>
        <v>100</v>
      </c>
      <c r="AC494" s="14">
        <f t="shared" si="54"/>
        <v>50</v>
      </c>
      <c r="AD494" s="14" t="str">
        <f t="shared" si="55"/>
        <v>OO+</v>
      </c>
    </row>
    <row r="495" spans="5:30">
      <c r="E495" s="4"/>
      <c r="F495" s="8" t="s">
        <v>54</v>
      </c>
      <c r="G495" s="9" t="s">
        <v>123</v>
      </c>
      <c r="H495" s="23" t="s">
        <v>55</v>
      </c>
      <c r="I495" s="24"/>
      <c r="J495" s="22"/>
      <c r="K495" s="23" t="s">
        <v>109</v>
      </c>
      <c r="L495" s="22"/>
      <c r="M495" s="9" t="s">
        <v>147</v>
      </c>
      <c r="N495" s="9" t="s">
        <v>108</v>
      </c>
      <c r="O495" s="9" t="s">
        <v>75</v>
      </c>
      <c r="P495" s="9" t="s">
        <v>76</v>
      </c>
      <c r="Q495" s="23" t="s">
        <v>93</v>
      </c>
      <c r="R495" s="22"/>
      <c r="S495" s="8" t="s">
        <v>33</v>
      </c>
      <c r="U495" t="s">
        <v>381</v>
      </c>
      <c r="V495" t="s">
        <v>36</v>
      </c>
      <c r="W495" s="14" t="str">
        <f t="shared" si="48"/>
        <v>BB</v>
      </c>
      <c r="X495" s="14" t="str">
        <f t="shared" si="49"/>
        <v>BC</v>
      </c>
      <c r="Y495" s="14" t="str">
        <f t="shared" si="50"/>
        <v>AB+</v>
      </c>
      <c r="Z495" s="14" t="str">
        <f t="shared" si="51"/>
        <v>BB+</v>
      </c>
      <c r="AA495" s="14" t="str">
        <f t="shared" si="52"/>
        <v>AA</v>
      </c>
      <c r="AB495" s="14" t="str">
        <f t="shared" si="53"/>
        <v>PP</v>
      </c>
      <c r="AC495" s="14" t="str">
        <f t="shared" si="54"/>
        <v>AB</v>
      </c>
      <c r="AD495" s="14" t="str">
        <f t="shared" si="55"/>
        <v>Pass</v>
      </c>
    </row>
    <row r="496" spans="5:30">
      <c r="E496" s="11" t="s">
        <v>380</v>
      </c>
      <c r="F496" s="8" t="s">
        <v>58</v>
      </c>
      <c r="G496" s="9" t="s">
        <v>59</v>
      </c>
      <c r="H496" s="23" t="s">
        <v>59</v>
      </c>
      <c r="I496" s="24"/>
      <c r="J496" s="22"/>
      <c r="K496" s="23" t="s">
        <v>59</v>
      </c>
      <c r="L496" s="22"/>
      <c r="M496" s="9" t="s">
        <v>59</v>
      </c>
      <c r="N496" s="9" t="s">
        <v>59</v>
      </c>
      <c r="O496" s="9" t="s">
        <v>59</v>
      </c>
      <c r="P496" s="9" t="s">
        <v>59</v>
      </c>
      <c r="Q496" s="23" t="s">
        <v>59</v>
      </c>
      <c r="R496" s="22"/>
      <c r="S496" s="8" t="s">
        <v>33</v>
      </c>
      <c r="U496" t="s">
        <v>37</v>
      </c>
      <c r="V496" t="s">
        <v>33</v>
      </c>
      <c r="W496" s="14" t="str">
        <f t="shared" si="48"/>
        <v>Pass</v>
      </c>
      <c r="X496" s="14" t="str">
        <f t="shared" si="49"/>
        <v>Pass</v>
      </c>
      <c r="Y496" s="14" t="str">
        <f t="shared" si="50"/>
        <v>Pass</v>
      </c>
      <c r="Z496" s="14" t="str">
        <f t="shared" si="51"/>
        <v>Pass</v>
      </c>
      <c r="AA496" s="14" t="str">
        <f t="shared" si="52"/>
        <v>Pass</v>
      </c>
      <c r="AB496" s="14" t="str">
        <f t="shared" si="53"/>
        <v>Pass</v>
      </c>
      <c r="AC496" s="14" t="str">
        <f t="shared" si="54"/>
        <v>Pass</v>
      </c>
      <c r="AD496" s="14" t="str">
        <f t="shared" si="55"/>
        <v/>
      </c>
    </row>
    <row r="497" spans="5:30">
      <c r="E497" s="12" t="s">
        <v>33</v>
      </c>
      <c r="F497" s="12" t="s">
        <v>33</v>
      </c>
      <c r="G497" s="13" t="s">
        <v>33</v>
      </c>
      <c r="H497" s="20" t="s">
        <v>33</v>
      </c>
      <c r="I497" s="18"/>
      <c r="J497" s="18"/>
      <c r="K497" s="20" t="s">
        <v>33</v>
      </c>
      <c r="L497" s="18"/>
      <c r="M497" s="13" t="s">
        <v>33</v>
      </c>
      <c r="N497" s="13" t="s">
        <v>33</v>
      </c>
      <c r="O497" s="13" t="s">
        <v>33</v>
      </c>
      <c r="P497" s="13" t="s">
        <v>33</v>
      </c>
      <c r="Q497" s="20" t="s">
        <v>33</v>
      </c>
      <c r="R497" s="18"/>
      <c r="S497" s="13" t="s">
        <v>33</v>
      </c>
      <c r="U497" t="s">
        <v>385</v>
      </c>
      <c r="V497" t="s">
        <v>33</v>
      </c>
      <c r="W497" s="14" t="str">
        <f t="shared" si="48"/>
        <v/>
      </c>
      <c r="X497" s="14" t="str">
        <f t="shared" si="49"/>
        <v/>
      </c>
      <c r="Y497" s="14" t="str">
        <f t="shared" si="50"/>
        <v/>
      </c>
      <c r="Z497" s="14" t="str">
        <f t="shared" si="51"/>
        <v/>
      </c>
      <c r="AA497" s="14" t="str">
        <f t="shared" si="52"/>
        <v/>
      </c>
      <c r="AB497" s="14" t="str">
        <f t="shared" si="53"/>
        <v/>
      </c>
      <c r="AC497" s="14" t="str">
        <f t="shared" si="54"/>
        <v/>
      </c>
      <c r="AD497" s="14">
        <f t="shared" si="55"/>
        <v>0</v>
      </c>
    </row>
    <row r="498" spans="5:30" ht="0" hidden="1" customHeight="1">
      <c r="U498">
        <v>0</v>
      </c>
      <c r="V498">
        <v>0</v>
      </c>
      <c r="W498" s="14">
        <f t="shared" si="48"/>
        <v>0</v>
      </c>
      <c r="X498" s="14">
        <f t="shared" si="49"/>
        <v>0</v>
      </c>
      <c r="Y498" s="14">
        <f t="shared" si="50"/>
        <v>0</v>
      </c>
      <c r="Z498" s="14">
        <f t="shared" si="51"/>
        <v>0</v>
      </c>
      <c r="AA498" s="14">
        <f t="shared" si="52"/>
        <v>0</v>
      </c>
      <c r="AB498" s="14">
        <f t="shared" si="53"/>
        <v>0</v>
      </c>
      <c r="AC498" s="14">
        <f t="shared" si="54"/>
        <v>0</v>
      </c>
      <c r="AD498" s="14">
        <f t="shared" si="55"/>
        <v>0</v>
      </c>
    </row>
    <row r="499" spans="5:30" ht="0.6" customHeight="1">
      <c r="U499">
        <v>0</v>
      </c>
      <c r="V499">
        <v>25</v>
      </c>
      <c r="W499" s="14">
        <f t="shared" si="48"/>
        <v>0</v>
      </c>
      <c r="X499" s="14">
        <f t="shared" si="49"/>
        <v>0</v>
      </c>
      <c r="Y499" s="14">
        <f t="shared" si="50"/>
        <v>0</v>
      </c>
      <c r="Z499" s="14">
        <f t="shared" si="51"/>
        <v>0</v>
      </c>
      <c r="AA499" s="14">
        <f t="shared" si="52"/>
        <v>0</v>
      </c>
      <c r="AB499" s="14">
        <f t="shared" si="53"/>
        <v>0</v>
      </c>
      <c r="AC499" s="14">
        <f t="shared" si="54"/>
        <v>0</v>
      </c>
      <c r="AD499" s="14" t="str">
        <f t="shared" si="55"/>
        <v/>
      </c>
    </row>
    <row r="500" spans="5:30">
      <c r="E500" s="4"/>
      <c r="F500" s="3" t="s">
        <v>32</v>
      </c>
      <c r="G500" s="5" t="s">
        <v>33</v>
      </c>
      <c r="H500" s="32" t="s">
        <v>33</v>
      </c>
      <c r="I500" s="18"/>
      <c r="J500" s="18"/>
      <c r="K500" s="32" t="s">
        <v>33</v>
      </c>
      <c r="L500" s="18"/>
      <c r="M500" s="5" t="s">
        <v>33</v>
      </c>
      <c r="N500" s="5" t="s">
        <v>33</v>
      </c>
      <c r="O500" s="5" t="s">
        <v>33</v>
      </c>
      <c r="P500" s="5" t="s">
        <v>33</v>
      </c>
      <c r="Q500" s="32" t="s">
        <v>33</v>
      </c>
      <c r="R500" s="18"/>
      <c r="S500" s="5" t="s">
        <v>33</v>
      </c>
      <c r="U500" t="s">
        <v>46</v>
      </c>
      <c r="V500" t="s">
        <v>33</v>
      </c>
      <c r="W500" s="14" t="str">
        <f t="shared" si="48"/>
        <v/>
      </c>
      <c r="X500" s="14" t="str">
        <f t="shared" si="49"/>
        <v/>
      </c>
      <c r="Y500" s="14" t="str">
        <f t="shared" si="50"/>
        <v/>
      </c>
      <c r="Z500" s="14" t="str">
        <f t="shared" si="51"/>
        <v/>
      </c>
      <c r="AA500" s="14" t="str">
        <f t="shared" si="52"/>
        <v/>
      </c>
      <c r="AB500" s="14" t="str">
        <f t="shared" si="53"/>
        <v/>
      </c>
      <c r="AC500" s="14" t="str">
        <f t="shared" si="54"/>
        <v/>
      </c>
      <c r="AD500" s="14" t="str">
        <f t="shared" si="55"/>
        <v>COMRRSN302</v>
      </c>
    </row>
    <row r="501" spans="5:30" ht="21">
      <c r="E501" s="4"/>
      <c r="F501" s="7" t="s">
        <v>35</v>
      </c>
      <c r="G501" s="7" t="s">
        <v>5</v>
      </c>
      <c r="H501" s="30" t="s">
        <v>7</v>
      </c>
      <c r="I501" s="24"/>
      <c r="J501" s="22"/>
      <c r="K501" s="30" t="s">
        <v>9</v>
      </c>
      <c r="L501" s="22"/>
      <c r="M501" s="7" t="s">
        <v>11</v>
      </c>
      <c r="N501" s="7" t="s">
        <v>15</v>
      </c>
      <c r="O501" s="7" t="s">
        <v>17</v>
      </c>
      <c r="P501" s="7" t="s">
        <v>21</v>
      </c>
      <c r="Q501" s="30" t="s">
        <v>27</v>
      </c>
      <c r="R501" s="22"/>
      <c r="S501" s="7" t="s">
        <v>36</v>
      </c>
      <c r="U501" t="s">
        <v>48</v>
      </c>
      <c r="V501">
        <v>244</v>
      </c>
      <c r="W501" s="14" t="str">
        <f t="shared" si="48"/>
        <v>BBABMCN301</v>
      </c>
      <c r="X501" s="14" t="str">
        <f t="shared" si="49"/>
        <v>BBABMCN302</v>
      </c>
      <c r="Y501" s="14" t="str">
        <f t="shared" si="50"/>
        <v>BBABMCN303</v>
      </c>
      <c r="Z501" s="14" t="str">
        <f t="shared" si="51"/>
        <v>BBAENLN301</v>
      </c>
      <c r="AA501" s="14" t="str">
        <f t="shared" si="52"/>
        <v>BBAKALN302</v>
      </c>
      <c r="AB501" s="14" t="str">
        <f t="shared" si="53"/>
        <v>BCACAEN302</v>
      </c>
      <c r="AC501" s="14" t="str">
        <f t="shared" si="54"/>
        <v>COMFISN301</v>
      </c>
      <c r="AD501" s="14" t="str">
        <f t="shared" si="55"/>
        <v xml:space="preserve"> - - + - - </v>
      </c>
    </row>
    <row r="502" spans="5:30" ht="22.5">
      <c r="E502" s="6" t="s">
        <v>382</v>
      </c>
      <c r="F502" s="8" t="s">
        <v>39</v>
      </c>
      <c r="G502" s="9" t="s">
        <v>85</v>
      </c>
      <c r="H502" s="23" t="s">
        <v>187</v>
      </c>
      <c r="I502" s="24"/>
      <c r="J502" s="22"/>
      <c r="K502" s="23" t="s">
        <v>88</v>
      </c>
      <c r="L502" s="22"/>
      <c r="M502" s="9" t="s">
        <v>383</v>
      </c>
      <c r="N502" s="9" t="s">
        <v>309</v>
      </c>
      <c r="O502" s="9" t="s">
        <v>384</v>
      </c>
      <c r="P502" s="9" t="s">
        <v>89</v>
      </c>
      <c r="Q502" s="23" t="s">
        <v>43</v>
      </c>
      <c r="R502" s="22"/>
      <c r="S502" s="8" t="s">
        <v>33</v>
      </c>
      <c r="U502" t="s">
        <v>50</v>
      </c>
      <c r="V502">
        <v>667</v>
      </c>
      <c r="W502" s="14" t="str">
        <f t="shared" si="48"/>
        <v>59.00 + 40.00</v>
      </c>
      <c r="X502" s="14" t="str">
        <f t="shared" si="49"/>
        <v>58.00 + 40.00</v>
      </c>
      <c r="Y502" s="14" t="str">
        <f t="shared" si="50"/>
        <v>60.00 + 40.00</v>
      </c>
      <c r="Z502" s="14" t="str">
        <f t="shared" si="51"/>
        <v>43.00 + 40.00</v>
      </c>
      <c r="AA502" s="14" t="str">
        <f t="shared" si="52"/>
        <v>55.00 + 40.00</v>
      </c>
      <c r="AB502" s="14" t="str">
        <f t="shared" si="53"/>
        <v>52.00 + 40.00</v>
      </c>
      <c r="AC502" s="14" t="str">
        <f t="shared" si="54"/>
        <v>30.00 + 20.00</v>
      </c>
      <c r="AD502" s="14" t="str">
        <f t="shared" si="55"/>
        <v xml:space="preserve"> - - +50.00</v>
      </c>
    </row>
    <row r="503" spans="5:30">
      <c r="E503" s="25"/>
      <c r="F503" s="8" t="s">
        <v>42</v>
      </c>
      <c r="G503" s="9" t="s">
        <v>43</v>
      </c>
      <c r="H503" s="23" t="s">
        <v>43</v>
      </c>
      <c r="I503" s="24"/>
      <c r="J503" s="22"/>
      <c r="K503" s="23" t="s">
        <v>43</v>
      </c>
      <c r="L503" s="22"/>
      <c r="M503" s="9" t="s">
        <v>43</v>
      </c>
      <c r="N503" s="9" t="s">
        <v>43</v>
      </c>
      <c r="O503" s="9" t="s">
        <v>43</v>
      </c>
      <c r="P503" s="9" t="s">
        <v>43</v>
      </c>
      <c r="Q503" s="23" t="s">
        <v>91</v>
      </c>
      <c r="R503" s="22"/>
      <c r="S503" s="8" t="s">
        <v>33</v>
      </c>
      <c r="U503" t="s">
        <v>51</v>
      </c>
      <c r="V503">
        <v>700</v>
      </c>
      <c r="W503" s="14" t="str">
        <f t="shared" si="48"/>
        <v xml:space="preserve"> - - + - - </v>
      </c>
      <c r="X503" s="14" t="str">
        <f t="shared" si="49"/>
        <v xml:space="preserve"> - - + - - </v>
      </c>
      <c r="Y503" s="14" t="str">
        <f t="shared" si="50"/>
        <v xml:space="preserve"> - - + - - </v>
      </c>
      <c r="Z503" s="14" t="str">
        <f t="shared" si="51"/>
        <v xml:space="preserve"> - - + - - </v>
      </c>
      <c r="AA503" s="14" t="str">
        <f t="shared" si="52"/>
        <v xml:space="preserve"> - - + - - </v>
      </c>
      <c r="AB503" s="14" t="str">
        <f t="shared" si="53"/>
        <v xml:space="preserve"> - - + - - </v>
      </c>
      <c r="AC503" s="14" t="str">
        <f t="shared" si="54"/>
        <v xml:space="preserve"> - - + - - </v>
      </c>
      <c r="AD503" s="14" t="str">
        <f t="shared" si="55"/>
        <v/>
      </c>
    </row>
    <row r="504" spans="5:30">
      <c r="E504" s="27"/>
      <c r="F504" s="8" t="s">
        <v>44</v>
      </c>
      <c r="G504" s="9" t="s">
        <v>33</v>
      </c>
      <c r="H504" s="23" t="s">
        <v>33</v>
      </c>
      <c r="I504" s="24"/>
      <c r="J504" s="22"/>
      <c r="K504" s="23" t="s">
        <v>33</v>
      </c>
      <c r="L504" s="22"/>
      <c r="M504" s="9" t="s">
        <v>33</v>
      </c>
      <c r="N504" s="9" t="s">
        <v>33</v>
      </c>
      <c r="O504" s="9" t="s">
        <v>33</v>
      </c>
      <c r="P504" s="9" t="s">
        <v>33</v>
      </c>
      <c r="Q504" s="23" t="s">
        <v>33</v>
      </c>
      <c r="R504" s="22"/>
      <c r="S504" s="8">
        <v>0</v>
      </c>
      <c r="U504" t="s">
        <v>92</v>
      </c>
      <c r="V504" t="s">
        <v>33</v>
      </c>
      <c r="W504" s="14" t="str">
        <f t="shared" si="48"/>
        <v/>
      </c>
      <c r="X504" s="14" t="str">
        <f t="shared" si="49"/>
        <v/>
      </c>
      <c r="Y504" s="14" t="str">
        <f t="shared" si="50"/>
        <v/>
      </c>
      <c r="Z504" s="14" t="str">
        <f t="shared" si="51"/>
        <v/>
      </c>
      <c r="AA504" s="14" t="str">
        <f t="shared" si="52"/>
        <v/>
      </c>
      <c r="AB504" s="14" t="str">
        <f t="shared" si="53"/>
        <v/>
      </c>
      <c r="AC504" s="14" t="str">
        <f t="shared" si="54"/>
        <v/>
      </c>
      <c r="AD504" s="14">
        <f t="shared" si="55"/>
        <v>2</v>
      </c>
    </row>
    <row r="505" spans="5:30">
      <c r="E505" s="29"/>
      <c r="F505" s="8" t="s">
        <v>45</v>
      </c>
      <c r="G505" s="9">
        <v>4</v>
      </c>
      <c r="H505" s="23">
        <v>4</v>
      </c>
      <c r="I505" s="24"/>
      <c r="J505" s="22"/>
      <c r="K505" s="23">
        <v>4</v>
      </c>
      <c r="L505" s="22"/>
      <c r="M505" s="9">
        <v>3</v>
      </c>
      <c r="N505" s="9">
        <v>3</v>
      </c>
      <c r="O505" s="9">
        <v>3</v>
      </c>
      <c r="P505" s="9">
        <v>2</v>
      </c>
      <c r="Q505" s="23">
        <v>2</v>
      </c>
      <c r="R505" s="22"/>
      <c r="S505" s="8">
        <v>25</v>
      </c>
      <c r="U505" t="s">
        <v>56</v>
      </c>
      <c r="V505" t="s">
        <v>33</v>
      </c>
      <c r="W505" s="14">
        <f t="shared" si="48"/>
        <v>4</v>
      </c>
      <c r="X505" s="14">
        <f t="shared" si="49"/>
        <v>4</v>
      </c>
      <c r="Y505" s="14">
        <f t="shared" si="50"/>
        <v>4</v>
      </c>
      <c r="Z505" s="14">
        <f t="shared" si="51"/>
        <v>3</v>
      </c>
      <c r="AA505" s="14">
        <f t="shared" si="52"/>
        <v>3</v>
      </c>
      <c r="AB505" s="14">
        <f t="shared" si="53"/>
        <v>3</v>
      </c>
      <c r="AC505" s="14">
        <f t="shared" si="54"/>
        <v>2</v>
      </c>
      <c r="AD505" s="14">
        <f t="shared" si="55"/>
        <v>10</v>
      </c>
    </row>
    <row r="506" spans="5:30">
      <c r="E506" s="6">
        <v>9.76</v>
      </c>
      <c r="F506" s="8" t="s">
        <v>47</v>
      </c>
      <c r="G506" s="9">
        <v>10</v>
      </c>
      <c r="H506" s="23">
        <v>10</v>
      </c>
      <c r="I506" s="24"/>
      <c r="J506" s="22"/>
      <c r="K506" s="23">
        <v>10</v>
      </c>
      <c r="L506" s="22"/>
      <c r="M506" s="9">
        <v>8.5</v>
      </c>
      <c r="N506" s="9">
        <v>10</v>
      </c>
      <c r="O506" s="9">
        <v>9.5</v>
      </c>
      <c r="P506" s="9">
        <v>10</v>
      </c>
      <c r="Q506" s="23">
        <v>10</v>
      </c>
      <c r="R506" s="22"/>
      <c r="S506" s="8" t="s">
        <v>33</v>
      </c>
      <c r="U506" t="s">
        <v>33</v>
      </c>
      <c r="V506" t="s">
        <v>33</v>
      </c>
      <c r="W506" s="14">
        <f t="shared" si="48"/>
        <v>10</v>
      </c>
      <c r="X506" s="14">
        <f t="shared" si="49"/>
        <v>10</v>
      </c>
      <c r="Y506" s="14">
        <f t="shared" si="50"/>
        <v>10</v>
      </c>
      <c r="Z506" s="14">
        <f t="shared" si="51"/>
        <v>8.5</v>
      </c>
      <c r="AA506" s="14">
        <f t="shared" si="52"/>
        <v>10</v>
      </c>
      <c r="AB506" s="14">
        <f t="shared" si="53"/>
        <v>9.5</v>
      </c>
      <c r="AC506" s="14">
        <f t="shared" si="54"/>
        <v>10</v>
      </c>
      <c r="AD506" s="14">
        <f t="shared" si="55"/>
        <v>20</v>
      </c>
    </row>
    <row r="507" spans="5:30">
      <c r="E507" s="10">
        <v>9.66</v>
      </c>
      <c r="F507" s="8" t="s">
        <v>49</v>
      </c>
      <c r="G507" s="9">
        <v>40</v>
      </c>
      <c r="H507" s="23">
        <v>40</v>
      </c>
      <c r="I507" s="24"/>
      <c r="J507" s="22"/>
      <c r="K507" s="23">
        <v>40</v>
      </c>
      <c r="L507" s="22"/>
      <c r="M507" s="9">
        <v>25.5</v>
      </c>
      <c r="N507" s="9">
        <v>30</v>
      </c>
      <c r="O507" s="9">
        <v>28.5</v>
      </c>
      <c r="P507" s="9">
        <v>20</v>
      </c>
      <c r="Q507" s="23">
        <v>20</v>
      </c>
      <c r="R507" s="22"/>
      <c r="S507" s="8">
        <v>244</v>
      </c>
      <c r="U507">
        <v>0</v>
      </c>
      <c r="V507">
        <v>0</v>
      </c>
      <c r="W507" s="14">
        <f t="shared" si="48"/>
        <v>40</v>
      </c>
      <c r="X507" s="14">
        <f t="shared" si="49"/>
        <v>40</v>
      </c>
      <c r="Y507" s="14">
        <f t="shared" si="50"/>
        <v>40</v>
      </c>
      <c r="Z507" s="14">
        <f t="shared" si="51"/>
        <v>25.5</v>
      </c>
      <c r="AA507" s="14">
        <f t="shared" si="52"/>
        <v>30</v>
      </c>
      <c r="AB507" s="14">
        <f t="shared" si="53"/>
        <v>28.5</v>
      </c>
      <c r="AC507" s="14">
        <f t="shared" si="54"/>
        <v>20</v>
      </c>
      <c r="AD507" s="14">
        <f t="shared" si="55"/>
        <v>50</v>
      </c>
    </row>
    <row r="508" spans="5:30">
      <c r="E508" s="4"/>
      <c r="F508" s="8" t="s">
        <v>36</v>
      </c>
      <c r="G508" s="9">
        <v>99</v>
      </c>
      <c r="H508" s="23">
        <v>98</v>
      </c>
      <c r="I508" s="24"/>
      <c r="J508" s="22"/>
      <c r="K508" s="23">
        <v>100</v>
      </c>
      <c r="L508" s="22"/>
      <c r="M508" s="9">
        <v>83</v>
      </c>
      <c r="N508" s="9">
        <v>95</v>
      </c>
      <c r="O508" s="9">
        <v>92</v>
      </c>
      <c r="P508" s="9">
        <v>50</v>
      </c>
      <c r="Q508" s="23">
        <v>50</v>
      </c>
      <c r="R508" s="22"/>
      <c r="S508" s="8">
        <v>667</v>
      </c>
      <c r="U508">
        <v>0</v>
      </c>
      <c r="V508">
        <v>0</v>
      </c>
      <c r="W508" s="14">
        <f t="shared" si="48"/>
        <v>99</v>
      </c>
      <c r="X508" s="14">
        <f t="shared" si="49"/>
        <v>98</v>
      </c>
      <c r="Y508" s="14">
        <f t="shared" si="50"/>
        <v>100</v>
      </c>
      <c r="Z508" s="14">
        <f t="shared" si="51"/>
        <v>83</v>
      </c>
      <c r="AA508" s="14">
        <f t="shared" si="52"/>
        <v>95</v>
      </c>
      <c r="AB508" s="14">
        <f t="shared" si="53"/>
        <v>92</v>
      </c>
      <c r="AC508" s="14">
        <f t="shared" si="54"/>
        <v>50</v>
      </c>
      <c r="AD508" s="14">
        <f t="shared" si="55"/>
        <v>50</v>
      </c>
    </row>
    <row r="509" spans="5:30">
      <c r="E509" s="6"/>
      <c r="F509" s="8" t="s">
        <v>52</v>
      </c>
      <c r="G509" s="9">
        <v>100</v>
      </c>
      <c r="H509" s="23">
        <v>100</v>
      </c>
      <c r="I509" s="24"/>
      <c r="J509" s="22"/>
      <c r="K509" s="23">
        <v>100</v>
      </c>
      <c r="L509" s="22"/>
      <c r="M509" s="9">
        <v>100</v>
      </c>
      <c r="N509" s="9">
        <v>100</v>
      </c>
      <c r="O509" s="9">
        <v>100</v>
      </c>
      <c r="P509" s="9">
        <v>50</v>
      </c>
      <c r="Q509" s="23">
        <v>50</v>
      </c>
      <c r="R509" s="22"/>
      <c r="S509" s="8">
        <v>700</v>
      </c>
      <c r="U509" t="s">
        <v>31</v>
      </c>
      <c r="V509" t="s">
        <v>33</v>
      </c>
      <c r="W509" s="14">
        <f t="shared" si="48"/>
        <v>100</v>
      </c>
      <c r="X509" s="14">
        <f t="shared" si="49"/>
        <v>100</v>
      </c>
      <c r="Y509" s="14">
        <f t="shared" si="50"/>
        <v>100</v>
      </c>
      <c r="Z509" s="14">
        <f t="shared" si="51"/>
        <v>100</v>
      </c>
      <c r="AA509" s="14">
        <f t="shared" si="52"/>
        <v>100</v>
      </c>
      <c r="AB509" s="14">
        <f t="shared" si="53"/>
        <v>100</v>
      </c>
      <c r="AC509" s="14">
        <f t="shared" si="54"/>
        <v>50</v>
      </c>
      <c r="AD509" s="14" t="str">
        <f t="shared" si="55"/>
        <v>OO+</v>
      </c>
    </row>
    <row r="510" spans="5:30">
      <c r="E510" s="4"/>
      <c r="F510" s="8" t="s">
        <v>54</v>
      </c>
      <c r="G510" s="9" t="s">
        <v>93</v>
      </c>
      <c r="H510" s="23" t="s">
        <v>93</v>
      </c>
      <c r="I510" s="24"/>
      <c r="J510" s="22"/>
      <c r="K510" s="23" t="s">
        <v>93</v>
      </c>
      <c r="L510" s="22"/>
      <c r="M510" s="9" t="s">
        <v>95</v>
      </c>
      <c r="N510" s="9" t="s">
        <v>93</v>
      </c>
      <c r="O510" s="9" t="s">
        <v>94</v>
      </c>
      <c r="P510" s="9" t="s">
        <v>93</v>
      </c>
      <c r="Q510" s="23" t="s">
        <v>93</v>
      </c>
      <c r="R510" s="22"/>
      <c r="S510" s="8" t="s">
        <v>33</v>
      </c>
      <c r="U510" t="s">
        <v>387</v>
      </c>
      <c r="V510" t="s">
        <v>36</v>
      </c>
      <c r="W510" s="14" t="str">
        <f t="shared" si="48"/>
        <v>OO+</v>
      </c>
      <c r="X510" s="14" t="str">
        <f t="shared" si="49"/>
        <v>OO+</v>
      </c>
      <c r="Y510" s="14" t="str">
        <f t="shared" si="50"/>
        <v>OO+</v>
      </c>
      <c r="Z510" s="14" t="str">
        <f t="shared" si="51"/>
        <v>OA</v>
      </c>
      <c r="AA510" s="14" t="str">
        <f t="shared" si="52"/>
        <v>OO+</v>
      </c>
      <c r="AB510" s="14" t="str">
        <f t="shared" si="53"/>
        <v>OO</v>
      </c>
      <c r="AC510" s="14" t="str">
        <f t="shared" si="54"/>
        <v>OO+</v>
      </c>
      <c r="AD510" s="14" t="str">
        <f t="shared" si="55"/>
        <v>Pass</v>
      </c>
    </row>
    <row r="511" spans="5:30">
      <c r="E511" s="11" t="s">
        <v>386</v>
      </c>
      <c r="F511" s="8" t="s">
        <v>58</v>
      </c>
      <c r="G511" s="9" t="s">
        <v>59</v>
      </c>
      <c r="H511" s="23" t="s">
        <v>59</v>
      </c>
      <c r="I511" s="24"/>
      <c r="J511" s="22"/>
      <c r="K511" s="23" t="s">
        <v>59</v>
      </c>
      <c r="L511" s="22"/>
      <c r="M511" s="9" t="s">
        <v>59</v>
      </c>
      <c r="N511" s="9" t="s">
        <v>59</v>
      </c>
      <c r="O511" s="9" t="s">
        <v>59</v>
      </c>
      <c r="P511" s="9" t="s">
        <v>59</v>
      </c>
      <c r="Q511" s="23" t="s">
        <v>59</v>
      </c>
      <c r="R511" s="22"/>
      <c r="S511" s="8" t="s">
        <v>33</v>
      </c>
      <c r="U511" t="s">
        <v>37</v>
      </c>
      <c r="V511" t="s">
        <v>33</v>
      </c>
      <c r="W511" s="14" t="str">
        <f t="shared" si="48"/>
        <v>Pass</v>
      </c>
      <c r="X511" s="14" t="str">
        <f t="shared" si="49"/>
        <v>Pass</v>
      </c>
      <c r="Y511" s="14" t="str">
        <f t="shared" si="50"/>
        <v>Pass</v>
      </c>
      <c r="Z511" s="14" t="str">
        <f t="shared" si="51"/>
        <v>Pass</v>
      </c>
      <c r="AA511" s="14" t="str">
        <f t="shared" si="52"/>
        <v>Pass</v>
      </c>
      <c r="AB511" s="14" t="str">
        <f t="shared" si="53"/>
        <v>Pass</v>
      </c>
      <c r="AC511" s="14" t="str">
        <f t="shared" si="54"/>
        <v>Pass</v>
      </c>
      <c r="AD511" s="14" t="str">
        <f t="shared" si="55"/>
        <v/>
      </c>
    </row>
    <row r="512" spans="5:30">
      <c r="E512" s="12" t="s">
        <v>33</v>
      </c>
      <c r="F512" s="12" t="s">
        <v>33</v>
      </c>
      <c r="G512" s="13" t="s">
        <v>33</v>
      </c>
      <c r="H512" s="20" t="s">
        <v>33</v>
      </c>
      <c r="I512" s="18"/>
      <c r="J512" s="18"/>
      <c r="K512" s="20" t="s">
        <v>33</v>
      </c>
      <c r="L512" s="18"/>
      <c r="M512" s="13" t="s">
        <v>33</v>
      </c>
      <c r="N512" s="13" t="s">
        <v>33</v>
      </c>
      <c r="O512" s="13" t="s">
        <v>33</v>
      </c>
      <c r="P512" s="13" t="s">
        <v>33</v>
      </c>
      <c r="Q512" s="20" t="s">
        <v>33</v>
      </c>
      <c r="R512" s="18"/>
      <c r="S512" s="13" t="s">
        <v>33</v>
      </c>
      <c r="U512" t="s">
        <v>394</v>
      </c>
      <c r="V512" t="s">
        <v>33</v>
      </c>
      <c r="W512" s="14" t="str">
        <f t="shared" si="48"/>
        <v/>
      </c>
      <c r="X512" s="14" t="str">
        <f t="shared" si="49"/>
        <v/>
      </c>
      <c r="Y512" s="14" t="str">
        <f t="shared" si="50"/>
        <v/>
      </c>
      <c r="Z512" s="14" t="str">
        <f t="shared" si="51"/>
        <v/>
      </c>
      <c r="AA512" s="14" t="str">
        <f t="shared" si="52"/>
        <v/>
      </c>
      <c r="AB512" s="14" t="str">
        <f t="shared" si="53"/>
        <v/>
      </c>
      <c r="AC512" s="14" t="str">
        <f t="shared" si="54"/>
        <v/>
      </c>
      <c r="AD512" s="14">
        <f t="shared" si="55"/>
        <v>0</v>
      </c>
    </row>
    <row r="513" spans="5:30" ht="0" hidden="1" customHeight="1">
      <c r="U513">
        <v>0</v>
      </c>
      <c r="V513">
        <v>0</v>
      </c>
      <c r="W513" s="14">
        <f t="shared" si="48"/>
        <v>0</v>
      </c>
      <c r="X513" s="14">
        <f t="shared" si="49"/>
        <v>0</v>
      </c>
      <c r="Y513" s="14">
        <f t="shared" si="50"/>
        <v>0</v>
      </c>
      <c r="Z513" s="14">
        <f t="shared" si="51"/>
        <v>0</v>
      </c>
      <c r="AA513" s="14">
        <f t="shared" si="52"/>
        <v>0</v>
      </c>
      <c r="AB513" s="14">
        <f t="shared" si="53"/>
        <v>0</v>
      </c>
      <c r="AC513" s="14">
        <f t="shared" si="54"/>
        <v>0</v>
      </c>
      <c r="AD513" s="14">
        <f t="shared" si="55"/>
        <v>0</v>
      </c>
    </row>
    <row r="514" spans="5:30" ht="0.6" customHeight="1">
      <c r="U514">
        <v>0</v>
      </c>
      <c r="V514">
        <v>18</v>
      </c>
      <c r="W514" s="14">
        <f t="shared" si="48"/>
        <v>0</v>
      </c>
      <c r="X514" s="14">
        <f t="shared" si="49"/>
        <v>0</v>
      </c>
      <c r="Y514" s="14">
        <f t="shared" si="50"/>
        <v>0</v>
      </c>
      <c r="Z514" s="14">
        <f t="shared" si="51"/>
        <v>0</v>
      </c>
      <c r="AA514" s="14">
        <f t="shared" si="52"/>
        <v>0</v>
      </c>
      <c r="AB514" s="14">
        <f t="shared" si="53"/>
        <v>0</v>
      </c>
      <c r="AC514" s="14">
        <f t="shared" si="54"/>
        <v>0</v>
      </c>
      <c r="AD514" s="14" t="str">
        <f t="shared" si="55"/>
        <v/>
      </c>
    </row>
    <row r="515" spans="5:30">
      <c r="E515" s="4"/>
      <c r="F515" s="3" t="s">
        <v>32</v>
      </c>
      <c r="G515" s="5" t="s">
        <v>33</v>
      </c>
      <c r="H515" s="32" t="s">
        <v>33</v>
      </c>
      <c r="I515" s="18"/>
      <c r="J515" s="18"/>
      <c r="K515" s="32" t="s">
        <v>33</v>
      </c>
      <c r="L515" s="18"/>
      <c r="M515" s="5" t="s">
        <v>33</v>
      </c>
      <c r="N515" s="5" t="s">
        <v>33</v>
      </c>
      <c r="O515" s="5" t="s">
        <v>33</v>
      </c>
      <c r="P515" s="5" t="s">
        <v>33</v>
      </c>
      <c r="Q515" s="32" t="s">
        <v>33</v>
      </c>
      <c r="R515" s="18"/>
      <c r="S515" s="5" t="s">
        <v>33</v>
      </c>
      <c r="U515" t="s">
        <v>46</v>
      </c>
      <c r="V515" t="s">
        <v>33</v>
      </c>
      <c r="W515" s="14" t="str">
        <f t="shared" si="48"/>
        <v/>
      </c>
      <c r="X515" s="14" t="str">
        <f t="shared" si="49"/>
        <v/>
      </c>
      <c r="Y515" s="14" t="str">
        <f t="shared" si="50"/>
        <v/>
      </c>
      <c r="Z515" s="14" t="str">
        <f t="shared" si="51"/>
        <v/>
      </c>
      <c r="AA515" s="14" t="str">
        <f t="shared" si="52"/>
        <v/>
      </c>
      <c r="AB515" s="14" t="str">
        <f t="shared" si="53"/>
        <v/>
      </c>
      <c r="AC515" s="14" t="str">
        <f t="shared" si="54"/>
        <v/>
      </c>
      <c r="AD515" s="14" t="str">
        <f t="shared" si="55"/>
        <v>COMRRSN302</v>
      </c>
    </row>
    <row r="516" spans="5:30" ht="21">
      <c r="E516" s="4"/>
      <c r="F516" s="7" t="s">
        <v>35</v>
      </c>
      <c r="G516" s="7" t="s">
        <v>5</v>
      </c>
      <c r="H516" s="30" t="s">
        <v>7</v>
      </c>
      <c r="I516" s="24"/>
      <c r="J516" s="22"/>
      <c r="K516" s="30" t="s">
        <v>9</v>
      </c>
      <c r="L516" s="22"/>
      <c r="M516" s="7" t="s">
        <v>11</v>
      </c>
      <c r="N516" s="7" t="s">
        <v>15</v>
      </c>
      <c r="O516" s="7" t="s">
        <v>17</v>
      </c>
      <c r="P516" s="7" t="s">
        <v>21</v>
      </c>
      <c r="Q516" s="30" t="s">
        <v>27</v>
      </c>
      <c r="R516" s="22"/>
      <c r="S516" s="7" t="s">
        <v>36</v>
      </c>
      <c r="U516" t="s">
        <v>48</v>
      </c>
      <c r="V516">
        <v>125.5</v>
      </c>
      <c r="W516" s="14" t="str">
        <f t="shared" si="48"/>
        <v>BBABMCN301</v>
      </c>
      <c r="X516" s="14" t="str">
        <f t="shared" si="49"/>
        <v>BBABMCN302</v>
      </c>
      <c r="Y516" s="14" t="str">
        <f t="shared" si="50"/>
        <v>BBABMCN303</v>
      </c>
      <c r="Z516" s="14" t="str">
        <f t="shared" si="51"/>
        <v>BBAENLN301</v>
      </c>
      <c r="AA516" s="14" t="str">
        <f t="shared" si="52"/>
        <v>BBAKALN302</v>
      </c>
      <c r="AB516" s="14" t="str">
        <f t="shared" si="53"/>
        <v>BCACAEN302</v>
      </c>
      <c r="AC516" s="14" t="str">
        <f t="shared" si="54"/>
        <v>COMFISN301</v>
      </c>
      <c r="AD516" s="14" t="str">
        <f t="shared" si="55"/>
        <v xml:space="preserve"> - - + - - </v>
      </c>
    </row>
    <row r="517" spans="5:30" ht="22.5">
      <c r="E517" s="6" t="s">
        <v>388</v>
      </c>
      <c r="F517" s="8" t="s">
        <v>39</v>
      </c>
      <c r="G517" s="9" t="s">
        <v>389</v>
      </c>
      <c r="H517" s="23" t="s">
        <v>316</v>
      </c>
      <c r="I517" s="24"/>
      <c r="J517" s="22"/>
      <c r="K517" s="23" t="s">
        <v>254</v>
      </c>
      <c r="L517" s="22"/>
      <c r="M517" s="9" t="s">
        <v>390</v>
      </c>
      <c r="N517" s="9" t="s">
        <v>391</v>
      </c>
      <c r="O517" s="9" t="s">
        <v>392</v>
      </c>
      <c r="P517" s="9" t="s">
        <v>393</v>
      </c>
      <c r="Q517" s="23" t="s">
        <v>43</v>
      </c>
      <c r="R517" s="22"/>
      <c r="S517" s="8" t="s">
        <v>33</v>
      </c>
      <c r="U517" t="s">
        <v>65</v>
      </c>
      <c r="V517">
        <v>391</v>
      </c>
      <c r="W517" s="14" t="str">
        <f t="shared" si="48"/>
        <v>16.00 + 22.00</v>
      </c>
      <c r="X517" s="14" t="str">
        <f t="shared" si="49"/>
        <v>24.00 + 22.00</v>
      </c>
      <c r="Y517" s="14" t="str">
        <f t="shared" si="50"/>
        <v>42.00 + 33.00</v>
      </c>
      <c r="Z517" s="14" t="str">
        <f t="shared" si="51"/>
        <v>40.00 + 26.00</v>
      </c>
      <c r="AA517" s="14" t="str">
        <f t="shared" si="52"/>
        <v>27.00 + 23.00</v>
      </c>
      <c r="AB517" s="14" t="str">
        <f t="shared" si="53"/>
        <v>9.00 + 21.00</v>
      </c>
      <c r="AC517" s="14" t="str">
        <f t="shared" si="54"/>
        <v>25.00 + 13.00</v>
      </c>
      <c r="AD517" s="14" t="str">
        <f t="shared" si="55"/>
        <v xml:space="preserve"> - - +48.00</v>
      </c>
    </row>
    <row r="518" spans="5:30">
      <c r="E518" s="25"/>
      <c r="F518" s="8" t="s">
        <v>42</v>
      </c>
      <c r="G518" s="9" t="s">
        <v>43</v>
      </c>
      <c r="H518" s="23" t="s">
        <v>43</v>
      </c>
      <c r="I518" s="24"/>
      <c r="J518" s="22"/>
      <c r="K518" s="23" t="s">
        <v>43</v>
      </c>
      <c r="L518" s="22"/>
      <c r="M518" s="9" t="s">
        <v>43</v>
      </c>
      <c r="N518" s="9" t="s">
        <v>43</v>
      </c>
      <c r="O518" s="9" t="s">
        <v>43</v>
      </c>
      <c r="P518" s="9" t="s">
        <v>43</v>
      </c>
      <c r="Q518" s="23" t="s">
        <v>107</v>
      </c>
      <c r="R518" s="22"/>
      <c r="S518" s="8" t="s">
        <v>33</v>
      </c>
      <c r="U518" t="s">
        <v>51</v>
      </c>
      <c r="V518">
        <v>700</v>
      </c>
      <c r="W518" s="14" t="str">
        <f t="shared" si="48"/>
        <v xml:space="preserve"> - - + - - </v>
      </c>
      <c r="X518" s="14" t="str">
        <f t="shared" si="49"/>
        <v xml:space="preserve"> - - + - - </v>
      </c>
      <c r="Y518" s="14" t="str">
        <f t="shared" si="50"/>
        <v xml:space="preserve"> - - + - - </v>
      </c>
      <c r="Z518" s="14" t="str">
        <f t="shared" si="51"/>
        <v xml:space="preserve"> - - + - - </v>
      </c>
      <c r="AA518" s="14" t="str">
        <f t="shared" si="52"/>
        <v xml:space="preserve"> - - + - - </v>
      </c>
      <c r="AB518" s="14" t="str">
        <f t="shared" si="53"/>
        <v xml:space="preserve"> - - + - - </v>
      </c>
      <c r="AC518" s="14" t="str">
        <f t="shared" si="54"/>
        <v xml:space="preserve"> - - + - - </v>
      </c>
      <c r="AD518" s="14" t="str">
        <f t="shared" si="55"/>
        <v/>
      </c>
    </row>
    <row r="519" spans="5:30">
      <c r="E519" s="27"/>
      <c r="F519" s="8" t="s">
        <v>44</v>
      </c>
      <c r="G519" s="9" t="s">
        <v>33</v>
      </c>
      <c r="H519" s="23" t="s">
        <v>33</v>
      </c>
      <c r="I519" s="24"/>
      <c r="J519" s="22"/>
      <c r="K519" s="23" t="s">
        <v>33</v>
      </c>
      <c r="L519" s="22"/>
      <c r="M519" s="9" t="s">
        <v>33</v>
      </c>
      <c r="N519" s="9" t="s">
        <v>33</v>
      </c>
      <c r="O519" s="9" t="s">
        <v>33</v>
      </c>
      <c r="P519" s="9" t="s">
        <v>33</v>
      </c>
      <c r="Q519" s="23" t="s">
        <v>33</v>
      </c>
      <c r="R519" s="22"/>
      <c r="S519" s="8">
        <v>0</v>
      </c>
      <c r="U519" t="s">
        <v>66</v>
      </c>
      <c r="V519" t="s">
        <v>33</v>
      </c>
      <c r="W519" s="14" t="str">
        <f t="shared" ref="W519:W582" si="56">$G519</f>
        <v/>
      </c>
      <c r="X519" s="14" t="str">
        <f t="shared" ref="X519:X582" si="57">$H519</f>
        <v/>
      </c>
      <c r="Y519" s="14" t="str">
        <f t="shared" ref="Y519:Y582" si="58">$K519</f>
        <v/>
      </c>
      <c r="Z519" s="14" t="str">
        <f t="shared" ref="Z519:Z582" si="59">$M519</f>
        <v/>
      </c>
      <c r="AA519" s="14" t="str">
        <f t="shared" ref="AA519:AA582" si="60">$N519</f>
        <v/>
      </c>
      <c r="AB519" s="14" t="str">
        <f t="shared" ref="AB519:AB582" si="61">$O519</f>
        <v/>
      </c>
      <c r="AC519" s="14" t="str">
        <f t="shared" ref="AC519:AC582" si="62">$P519</f>
        <v/>
      </c>
      <c r="AD519" s="14">
        <f t="shared" ref="AD519:AD582" si="63">$Q520</f>
        <v>2</v>
      </c>
    </row>
    <row r="520" spans="5:30">
      <c r="E520" s="29"/>
      <c r="F520" s="8" t="s">
        <v>45</v>
      </c>
      <c r="G520" s="9">
        <v>4</v>
      </c>
      <c r="H520" s="23">
        <v>4</v>
      </c>
      <c r="I520" s="24"/>
      <c r="J520" s="22"/>
      <c r="K520" s="23">
        <v>4</v>
      </c>
      <c r="L520" s="22"/>
      <c r="M520" s="9">
        <v>3</v>
      </c>
      <c r="N520" s="9">
        <v>3</v>
      </c>
      <c r="O520" s="9">
        <v>3</v>
      </c>
      <c r="P520" s="9">
        <v>2</v>
      </c>
      <c r="Q520" s="23">
        <v>2</v>
      </c>
      <c r="R520" s="22"/>
      <c r="S520" s="8">
        <v>18</v>
      </c>
      <c r="U520" t="s">
        <v>56</v>
      </c>
      <c r="V520" t="s">
        <v>33</v>
      </c>
      <c r="W520" s="14">
        <f t="shared" si="56"/>
        <v>4</v>
      </c>
      <c r="X520" s="14">
        <f t="shared" si="57"/>
        <v>4</v>
      </c>
      <c r="Y520" s="14">
        <f t="shared" si="58"/>
        <v>4</v>
      </c>
      <c r="Z520" s="14">
        <f t="shared" si="59"/>
        <v>3</v>
      </c>
      <c r="AA520" s="14">
        <f t="shared" si="60"/>
        <v>3</v>
      </c>
      <c r="AB520" s="14">
        <f t="shared" si="61"/>
        <v>3</v>
      </c>
      <c r="AC520" s="14">
        <f t="shared" si="62"/>
        <v>2</v>
      </c>
      <c r="AD520" s="14">
        <f t="shared" si="63"/>
        <v>10</v>
      </c>
    </row>
    <row r="521" spans="5:30">
      <c r="E521" s="6"/>
      <c r="F521" s="8" t="s">
        <v>47</v>
      </c>
      <c r="G521" s="9"/>
      <c r="H521" s="23">
        <v>5</v>
      </c>
      <c r="I521" s="24"/>
      <c r="J521" s="22"/>
      <c r="K521" s="23">
        <v>8</v>
      </c>
      <c r="L521" s="22"/>
      <c r="M521" s="9">
        <v>7</v>
      </c>
      <c r="N521" s="9">
        <v>5.5</v>
      </c>
      <c r="O521" s="9"/>
      <c r="P521" s="9">
        <v>8</v>
      </c>
      <c r="Q521" s="23">
        <v>10</v>
      </c>
      <c r="R521" s="22"/>
      <c r="S521" s="8" t="s">
        <v>33</v>
      </c>
      <c r="U521" t="s">
        <v>33</v>
      </c>
      <c r="V521" t="s">
        <v>33</v>
      </c>
      <c r="W521" s="14">
        <f t="shared" si="56"/>
        <v>0</v>
      </c>
      <c r="X521" s="14">
        <f t="shared" si="57"/>
        <v>5</v>
      </c>
      <c r="Y521" s="14">
        <f t="shared" si="58"/>
        <v>8</v>
      </c>
      <c r="Z521" s="14">
        <f t="shared" si="59"/>
        <v>7</v>
      </c>
      <c r="AA521" s="14">
        <f t="shared" si="60"/>
        <v>5.5</v>
      </c>
      <c r="AB521" s="14">
        <f t="shared" si="61"/>
        <v>0</v>
      </c>
      <c r="AC521" s="14">
        <f t="shared" si="62"/>
        <v>8</v>
      </c>
      <c r="AD521" s="14">
        <f t="shared" si="63"/>
        <v>20</v>
      </c>
    </row>
    <row r="522" spans="5:30">
      <c r="E522" s="6"/>
      <c r="F522" s="8" t="s">
        <v>49</v>
      </c>
      <c r="G522" s="9"/>
      <c r="H522" s="23">
        <v>20</v>
      </c>
      <c r="I522" s="24"/>
      <c r="J522" s="22"/>
      <c r="K522" s="23">
        <v>32</v>
      </c>
      <c r="L522" s="22"/>
      <c r="M522" s="9">
        <v>21</v>
      </c>
      <c r="N522" s="9">
        <v>16.5</v>
      </c>
      <c r="O522" s="9"/>
      <c r="P522" s="9">
        <v>16</v>
      </c>
      <c r="Q522" s="23">
        <v>20</v>
      </c>
      <c r="R522" s="22"/>
      <c r="S522" s="8">
        <v>125.5</v>
      </c>
      <c r="U522">
        <v>0</v>
      </c>
      <c r="V522">
        <v>0</v>
      </c>
      <c r="W522" s="14">
        <f t="shared" si="56"/>
        <v>0</v>
      </c>
      <c r="X522" s="14">
        <f t="shared" si="57"/>
        <v>20</v>
      </c>
      <c r="Y522" s="14">
        <f t="shared" si="58"/>
        <v>32</v>
      </c>
      <c r="Z522" s="14">
        <f t="shared" si="59"/>
        <v>21</v>
      </c>
      <c r="AA522" s="14">
        <f t="shared" si="60"/>
        <v>16.5</v>
      </c>
      <c r="AB522" s="14">
        <f t="shared" si="61"/>
        <v>0</v>
      </c>
      <c r="AC522" s="14">
        <f t="shared" si="62"/>
        <v>16</v>
      </c>
      <c r="AD522" s="14">
        <f t="shared" si="63"/>
        <v>48</v>
      </c>
    </row>
    <row r="523" spans="5:30">
      <c r="E523" s="4"/>
      <c r="F523" s="8" t="s">
        <v>36</v>
      </c>
      <c r="G523" s="9">
        <v>38</v>
      </c>
      <c r="H523" s="23">
        <v>46</v>
      </c>
      <c r="I523" s="24"/>
      <c r="J523" s="22"/>
      <c r="K523" s="23">
        <v>75</v>
      </c>
      <c r="L523" s="22"/>
      <c r="M523" s="9">
        <v>66</v>
      </c>
      <c r="N523" s="9">
        <v>50</v>
      </c>
      <c r="O523" s="9">
        <v>30</v>
      </c>
      <c r="P523" s="9">
        <v>38</v>
      </c>
      <c r="Q523" s="23">
        <v>48</v>
      </c>
      <c r="R523" s="22"/>
      <c r="S523" s="8">
        <v>391</v>
      </c>
      <c r="U523">
        <v>0</v>
      </c>
      <c r="V523">
        <v>0</v>
      </c>
      <c r="W523" s="14">
        <f t="shared" si="56"/>
        <v>38</v>
      </c>
      <c r="X523" s="14">
        <f t="shared" si="57"/>
        <v>46</v>
      </c>
      <c r="Y523" s="14">
        <f t="shared" si="58"/>
        <v>75</v>
      </c>
      <c r="Z523" s="14">
        <f t="shared" si="59"/>
        <v>66</v>
      </c>
      <c r="AA523" s="14">
        <f t="shared" si="60"/>
        <v>50</v>
      </c>
      <c r="AB523" s="14">
        <f t="shared" si="61"/>
        <v>30</v>
      </c>
      <c r="AC523" s="14">
        <f t="shared" si="62"/>
        <v>38</v>
      </c>
      <c r="AD523" s="14">
        <f t="shared" si="63"/>
        <v>50</v>
      </c>
    </row>
    <row r="524" spans="5:30">
      <c r="E524" s="6"/>
      <c r="F524" s="8" t="s">
        <v>52</v>
      </c>
      <c r="G524" s="9">
        <v>100</v>
      </c>
      <c r="H524" s="23">
        <v>100</v>
      </c>
      <c r="I524" s="24"/>
      <c r="J524" s="22"/>
      <c r="K524" s="23">
        <v>100</v>
      </c>
      <c r="L524" s="22"/>
      <c r="M524" s="9">
        <v>100</v>
      </c>
      <c r="N524" s="9">
        <v>100</v>
      </c>
      <c r="O524" s="9">
        <v>100</v>
      </c>
      <c r="P524" s="9">
        <v>50</v>
      </c>
      <c r="Q524" s="23">
        <v>50</v>
      </c>
      <c r="R524" s="22"/>
      <c r="S524" s="8">
        <v>700</v>
      </c>
      <c r="U524" t="s">
        <v>31</v>
      </c>
      <c r="V524" t="s">
        <v>33</v>
      </c>
      <c r="W524" s="14">
        <f t="shared" si="56"/>
        <v>100</v>
      </c>
      <c r="X524" s="14">
        <f t="shared" si="57"/>
        <v>100</v>
      </c>
      <c r="Y524" s="14">
        <f t="shared" si="58"/>
        <v>100</v>
      </c>
      <c r="Z524" s="14">
        <f t="shared" si="59"/>
        <v>100</v>
      </c>
      <c r="AA524" s="14">
        <f t="shared" si="60"/>
        <v>100</v>
      </c>
      <c r="AB524" s="14">
        <f t="shared" si="61"/>
        <v>100</v>
      </c>
      <c r="AC524" s="14">
        <f t="shared" si="62"/>
        <v>50</v>
      </c>
      <c r="AD524" s="14" t="str">
        <f t="shared" si="63"/>
        <v>OO+</v>
      </c>
    </row>
    <row r="525" spans="5:30">
      <c r="E525" s="4"/>
      <c r="F525" s="8" t="s">
        <v>54</v>
      </c>
      <c r="G525" s="9"/>
      <c r="H525" s="23" t="s">
        <v>55</v>
      </c>
      <c r="I525" s="24"/>
      <c r="J525" s="22"/>
      <c r="K525" s="23" t="s">
        <v>135</v>
      </c>
      <c r="L525" s="22"/>
      <c r="M525" s="9" t="s">
        <v>109</v>
      </c>
      <c r="N525" s="9" t="s">
        <v>123</v>
      </c>
      <c r="O525" s="9"/>
      <c r="P525" s="9" t="s">
        <v>135</v>
      </c>
      <c r="Q525" s="23" t="s">
        <v>93</v>
      </c>
      <c r="R525" s="22"/>
      <c r="S525" s="8" t="s">
        <v>33</v>
      </c>
      <c r="U525" t="s">
        <v>396</v>
      </c>
      <c r="V525" t="s">
        <v>36</v>
      </c>
      <c r="W525" s="14">
        <f t="shared" si="56"/>
        <v>0</v>
      </c>
      <c r="X525" s="14" t="str">
        <f t="shared" si="57"/>
        <v>BC</v>
      </c>
      <c r="Y525" s="14" t="str">
        <f t="shared" si="58"/>
        <v>AA+</v>
      </c>
      <c r="Z525" s="14" t="str">
        <f t="shared" si="59"/>
        <v>AB+</v>
      </c>
      <c r="AA525" s="14" t="str">
        <f t="shared" si="60"/>
        <v>BB</v>
      </c>
      <c r="AB525" s="14">
        <f t="shared" si="61"/>
        <v>0</v>
      </c>
      <c r="AC525" s="14" t="str">
        <f t="shared" si="62"/>
        <v>AA+</v>
      </c>
      <c r="AD525" s="14" t="str">
        <f t="shared" si="63"/>
        <v>Pass</v>
      </c>
    </row>
    <row r="526" spans="5:30">
      <c r="E526" s="11" t="s">
        <v>395</v>
      </c>
      <c r="F526" s="8" t="s">
        <v>58</v>
      </c>
      <c r="G526" s="9" t="s">
        <v>68</v>
      </c>
      <c r="H526" s="23" t="s">
        <v>59</v>
      </c>
      <c r="I526" s="24"/>
      <c r="J526" s="22"/>
      <c r="K526" s="23" t="s">
        <v>59</v>
      </c>
      <c r="L526" s="22"/>
      <c r="M526" s="9" t="s">
        <v>59</v>
      </c>
      <c r="N526" s="9" t="s">
        <v>59</v>
      </c>
      <c r="O526" s="9" t="s">
        <v>68</v>
      </c>
      <c r="P526" s="9" t="s">
        <v>59</v>
      </c>
      <c r="Q526" s="23" t="s">
        <v>59</v>
      </c>
      <c r="R526" s="22"/>
      <c r="S526" s="8" t="s">
        <v>33</v>
      </c>
      <c r="U526" t="s">
        <v>37</v>
      </c>
      <c r="V526" t="s">
        <v>33</v>
      </c>
      <c r="W526" s="14" t="str">
        <f t="shared" si="56"/>
        <v>Fail</v>
      </c>
      <c r="X526" s="14" t="str">
        <f t="shared" si="57"/>
        <v>Pass</v>
      </c>
      <c r="Y526" s="14" t="str">
        <f t="shared" si="58"/>
        <v>Pass</v>
      </c>
      <c r="Z526" s="14" t="str">
        <f t="shared" si="59"/>
        <v>Pass</v>
      </c>
      <c r="AA526" s="14" t="str">
        <f t="shared" si="60"/>
        <v>Pass</v>
      </c>
      <c r="AB526" s="14" t="str">
        <f t="shared" si="61"/>
        <v>Fail</v>
      </c>
      <c r="AC526" s="14" t="str">
        <f t="shared" si="62"/>
        <v>Pass</v>
      </c>
      <c r="AD526" s="14" t="str">
        <f t="shared" si="63"/>
        <v/>
      </c>
    </row>
    <row r="527" spans="5:30">
      <c r="E527" s="12" t="s">
        <v>33</v>
      </c>
      <c r="F527" s="12" t="s">
        <v>33</v>
      </c>
      <c r="G527" s="13" t="s">
        <v>33</v>
      </c>
      <c r="H527" s="20" t="s">
        <v>33</v>
      </c>
      <c r="I527" s="18"/>
      <c r="J527" s="18"/>
      <c r="K527" s="20" t="s">
        <v>33</v>
      </c>
      <c r="L527" s="18"/>
      <c r="M527" s="13" t="s">
        <v>33</v>
      </c>
      <c r="N527" s="13" t="s">
        <v>33</v>
      </c>
      <c r="O527" s="13" t="s">
        <v>33</v>
      </c>
      <c r="P527" s="13" t="s">
        <v>33</v>
      </c>
      <c r="Q527" s="20" t="s">
        <v>33</v>
      </c>
      <c r="R527" s="18"/>
      <c r="S527" s="13" t="s">
        <v>33</v>
      </c>
      <c r="U527" t="s">
        <v>402</v>
      </c>
      <c r="V527" t="s">
        <v>33</v>
      </c>
      <c r="W527" s="14" t="str">
        <f t="shared" si="56"/>
        <v/>
      </c>
      <c r="X527" s="14" t="str">
        <f t="shared" si="57"/>
        <v/>
      </c>
      <c r="Y527" s="14" t="str">
        <f t="shared" si="58"/>
        <v/>
      </c>
      <c r="Z527" s="14" t="str">
        <f t="shared" si="59"/>
        <v/>
      </c>
      <c r="AA527" s="14" t="str">
        <f t="shared" si="60"/>
        <v/>
      </c>
      <c r="AB527" s="14" t="str">
        <f t="shared" si="61"/>
        <v/>
      </c>
      <c r="AC527" s="14" t="str">
        <f t="shared" si="62"/>
        <v/>
      </c>
      <c r="AD527" s="14">
        <f t="shared" si="63"/>
        <v>0</v>
      </c>
    </row>
    <row r="528" spans="5:30" ht="0" hidden="1" customHeight="1">
      <c r="U528">
        <v>0</v>
      </c>
      <c r="V528">
        <v>0</v>
      </c>
      <c r="W528" s="14">
        <f t="shared" si="56"/>
        <v>0</v>
      </c>
      <c r="X528" s="14">
        <f t="shared" si="57"/>
        <v>0</v>
      </c>
      <c r="Y528" s="14">
        <f t="shared" si="58"/>
        <v>0</v>
      </c>
      <c r="Z528" s="14">
        <f t="shared" si="59"/>
        <v>0</v>
      </c>
      <c r="AA528" s="14">
        <f t="shared" si="60"/>
        <v>0</v>
      </c>
      <c r="AB528" s="14">
        <f t="shared" si="61"/>
        <v>0</v>
      </c>
      <c r="AC528" s="14">
        <f t="shared" si="62"/>
        <v>0</v>
      </c>
      <c r="AD528" s="14">
        <f t="shared" si="63"/>
        <v>0</v>
      </c>
    </row>
    <row r="529" spans="5:30" ht="0.6" customHeight="1">
      <c r="U529">
        <v>0</v>
      </c>
      <c r="V529">
        <v>22</v>
      </c>
      <c r="W529" s="14">
        <f t="shared" si="56"/>
        <v>0</v>
      </c>
      <c r="X529" s="14">
        <f t="shared" si="57"/>
        <v>0</v>
      </c>
      <c r="Y529" s="14">
        <f t="shared" si="58"/>
        <v>0</v>
      </c>
      <c r="Z529" s="14">
        <f t="shared" si="59"/>
        <v>0</v>
      </c>
      <c r="AA529" s="14">
        <f t="shared" si="60"/>
        <v>0</v>
      </c>
      <c r="AB529" s="14">
        <f t="shared" si="61"/>
        <v>0</v>
      </c>
      <c r="AC529" s="14">
        <f t="shared" si="62"/>
        <v>0</v>
      </c>
      <c r="AD529" s="14" t="str">
        <f t="shared" si="63"/>
        <v/>
      </c>
    </row>
    <row r="530" spans="5:30">
      <c r="E530" s="4"/>
      <c r="F530" s="3" t="s">
        <v>32</v>
      </c>
      <c r="G530" s="5" t="s">
        <v>33</v>
      </c>
      <c r="H530" s="32" t="s">
        <v>33</v>
      </c>
      <c r="I530" s="18"/>
      <c r="J530" s="18"/>
      <c r="K530" s="32" t="s">
        <v>33</v>
      </c>
      <c r="L530" s="18"/>
      <c r="M530" s="5" t="s">
        <v>33</v>
      </c>
      <c r="N530" s="5" t="s">
        <v>33</v>
      </c>
      <c r="O530" s="5" t="s">
        <v>33</v>
      </c>
      <c r="P530" s="5" t="s">
        <v>33</v>
      </c>
      <c r="Q530" s="32" t="s">
        <v>33</v>
      </c>
      <c r="R530" s="18"/>
      <c r="S530" s="5" t="s">
        <v>33</v>
      </c>
      <c r="U530" t="s">
        <v>46</v>
      </c>
      <c r="V530" t="s">
        <v>33</v>
      </c>
      <c r="W530" s="14" t="str">
        <f t="shared" si="56"/>
        <v/>
      </c>
      <c r="X530" s="14" t="str">
        <f t="shared" si="57"/>
        <v/>
      </c>
      <c r="Y530" s="14" t="str">
        <f t="shared" si="58"/>
        <v/>
      </c>
      <c r="Z530" s="14" t="str">
        <f t="shared" si="59"/>
        <v/>
      </c>
      <c r="AA530" s="14" t="str">
        <f t="shared" si="60"/>
        <v/>
      </c>
      <c r="AB530" s="14" t="str">
        <f t="shared" si="61"/>
        <v/>
      </c>
      <c r="AC530" s="14" t="str">
        <f t="shared" si="62"/>
        <v/>
      </c>
      <c r="AD530" s="14" t="str">
        <f t="shared" si="63"/>
        <v>COMRRSN302</v>
      </c>
    </row>
    <row r="531" spans="5:30" ht="21">
      <c r="E531" s="4"/>
      <c r="F531" s="7" t="s">
        <v>35</v>
      </c>
      <c r="G531" s="7" t="s">
        <v>5</v>
      </c>
      <c r="H531" s="30" t="s">
        <v>7</v>
      </c>
      <c r="I531" s="24"/>
      <c r="J531" s="22"/>
      <c r="K531" s="30" t="s">
        <v>9</v>
      </c>
      <c r="L531" s="22"/>
      <c r="M531" s="7" t="s">
        <v>11</v>
      </c>
      <c r="N531" s="7" t="s">
        <v>15</v>
      </c>
      <c r="O531" s="7" t="s">
        <v>17</v>
      </c>
      <c r="P531" s="7" t="s">
        <v>21</v>
      </c>
      <c r="Q531" s="30" t="s">
        <v>27</v>
      </c>
      <c r="R531" s="22"/>
      <c r="S531" s="7" t="s">
        <v>36</v>
      </c>
      <c r="U531" t="s">
        <v>48</v>
      </c>
      <c r="V531">
        <v>140.5</v>
      </c>
      <c r="W531" s="14" t="str">
        <f t="shared" si="56"/>
        <v>BBABMCN301</v>
      </c>
      <c r="X531" s="14" t="str">
        <f t="shared" si="57"/>
        <v>BBABMCN302</v>
      </c>
      <c r="Y531" s="14" t="str">
        <f t="shared" si="58"/>
        <v>BBABMCN303</v>
      </c>
      <c r="Z531" s="14" t="str">
        <f t="shared" si="59"/>
        <v>BBAENLN301</v>
      </c>
      <c r="AA531" s="14" t="str">
        <f t="shared" si="60"/>
        <v>BBAKALN302</v>
      </c>
      <c r="AB531" s="14" t="str">
        <f t="shared" si="61"/>
        <v>BCACAEN302</v>
      </c>
      <c r="AC531" s="14" t="str">
        <f t="shared" si="62"/>
        <v>COMFISN301</v>
      </c>
      <c r="AD531" s="14" t="str">
        <f t="shared" si="63"/>
        <v xml:space="preserve"> - - + - - </v>
      </c>
    </row>
    <row r="532" spans="5:30" ht="22.5">
      <c r="E532" s="6" t="s">
        <v>397</v>
      </c>
      <c r="F532" s="8" t="s">
        <v>39</v>
      </c>
      <c r="G532" s="9" t="s">
        <v>398</v>
      </c>
      <c r="H532" s="23" t="s">
        <v>191</v>
      </c>
      <c r="I532" s="24"/>
      <c r="J532" s="22"/>
      <c r="K532" s="23" t="s">
        <v>163</v>
      </c>
      <c r="L532" s="22"/>
      <c r="M532" s="9" t="s">
        <v>399</v>
      </c>
      <c r="N532" s="9" t="s">
        <v>174</v>
      </c>
      <c r="O532" s="9" t="s">
        <v>400</v>
      </c>
      <c r="P532" s="9" t="s">
        <v>401</v>
      </c>
      <c r="Q532" s="23" t="s">
        <v>43</v>
      </c>
      <c r="R532" s="22"/>
      <c r="S532" s="8" t="s">
        <v>33</v>
      </c>
      <c r="U532" t="s">
        <v>65</v>
      </c>
      <c r="V532">
        <v>389</v>
      </c>
      <c r="W532" s="14" t="str">
        <f t="shared" si="56"/>
        <v>25.00 + 25.00</v>
      </c>
      <c r="X532" s="14" t="str">
        <f t="shared" si="57"/>
        <v>24.00 + 19.00</v>
      </c>
      <c r="Y532" s="14" t="str">
        <f t="shared" si="58"/>
        <v>47.00 + 34.00</v>
      </c>
      <c r="Z532" s="14" t="str">
        <f t="shared" si="59"/>
        <v>31.00 + 25.00</v>
      </c>
      <c r="AA532" s="14" t="str">
        <f t="shared" si="60"/>
        <v>42.00 + 28.00</v>
      </c>
      <c r="AB532" s="14" t="str">
        <f t="shared" si="61"/>
        <v>8.00 + 21.00</v>
      </c>
      <c r="AC532" s="14" t="str">
        <f t="shared" si="62"/>
        <v>14.00 + 11.00</v>
      </c>
      <c r="AD532" s="14" t="str">
        <f t="shared" si="63"/>
        <v xml:space="preserve"> - - +35.00</v>
      </c>
    </row>
    <row r="533" spans="5:30">
      <c r="E533" s="25"/>
      <c r="F533" s="8" t="s">
        <v>42</v>
      </c>
      <c r="G533" s="9" t="s">
        <v>43</v>
      </c>
      <c r="H533" s="23" t="s">
        <v>43</v>
      </c>
      <c r="I533" s="24"/>
      <c r="J533" s="22"/>
      <c r="K533" s="23" t="s">
        <v>43</v>
      </c>
      <c r="L533" s="22"/>
      <c r="M533" s="9" t="s">
        <v>43</v>
      </c>
      <c r="N533" s="9" t="s">
        <v>43</v>
      </c>
      <c r="O533" s="9" t="s">
        <v>43</v>
      </c>
      <c r="P533" s="9" t="s">
        <v>43</v>
      </c>
      <c r="Q533" s="23" t="s">
        <v>403</v>
      </c>
      <c r="R533" s="22"/>
      <c r="S533" s="8" t="s">
        <v>33</v>
      </c>
      <c r="U533" t="s">
        <v>51</v>
      </c>
      <c r="V533">
        <v>700</v>
      </c>
      <c r="W533" s="14" t="str">
        <f t="shared" si="56"/>
        <v xml:space="preserve"> - - + - - </v>
      </c>
      <c r="X533" s="14" t="str">
        <f t="shared" si="57"/>
        <v xml:space="preserve"> - - + - - </v>
      </c>
      <c r="Y533" s="14" t="str">
        <f t="shared" si="58"/>
        <v xml:space="preserve"> - - + - - </v>
      </c>
      <c r="Z533" s="14" t="str">
        <f t="shared" si="59"/>
        <v xml:space="preserve"> - - + - - </v>
      </c>
      <c r="AA533" s="14" t="str">
        <f t="shared" si="60"/>
        <v xml:space="preserve"> - - + - - </v>
      </c>
      <c r="AB533" s="14" t="str">
        <f t="shared" si="61"/>
        <v xml:space="preserve"> - - + - - </v>
      </c>
      <c r="AC533" s="14" t="str">
        <f t="shared" si="62"/>
        <v xml:space="preserve"> - - + - - </v>
      </c>
      <c r="AD533" s="14" t="str">
        <f t="shared" si="63"/>
        <v/>
      </c>
    </row>
    <row r="534" spans="5:30">
      <c r="E534" s="27"/>
      <c r="F534" s="8" t="s">
        <v>44</v>
      </c>
      <c r="G534" s="9" t="s">
        <v>33</v>
      </c>
      <c r="H534" s="23" t="s">
        <v>33</v>
      </c>
      <c r="I534" s="24"/>
      <c r="J534" s="22"/>
      <c r="K534" s="23" t="s">
        <v>33</v>
      </c>
      <c r="L534" s="22"/>
      <c r="M534" s="9" t="s">
        <v>33</v>
      </c>
      <c r="N534" s="9" t="s">
        <v>33</v>
      </c>
      <c r="O534" s="9" t="s">
        <v>33</v>
      </c>
      <c r="P534" s="9" t="s">
        <v>33</v>
      </c>
      <c r="Q534" s="23" t="s">
        <v>33</v>
      </c>
      <c r="R534" s="22"/>
      <c r="S534" s="8">
        <v>0</v>
      </c>
      <c r="U534" t="s">
        <v>66</v>
      </c>
      <c r="V534" t="s">
        <v>33</v>
      </c>
      <c r="W534" s="14" t="str">
        <f t="shared" si="56"/>
        <v/>
      </c>
      <c r="X534" s="14" t="str">
        <f t="shared" si="57"/>
        <v/>
      </c>
      <c r="Y534" s="14" t="str">
        <f t="shared" si="58"/>
        <v/>
      </c>
      <c r="Z534" s="14" t="str">
        <f t="shared" si="59"/>
        <v/>
      </c>
      <c r="AA534" s="14" t="str">
        <f t="shared" si="60"/>
        <v/>
      </c>
      <c r="AB534" s="14" t="str">
        <f t="shared" si="61"/>
        <v/>
      </c>
      <c r="AC534" s="14" t="str">
        <f t="shared" si="62"/>
        <v/>
      </c>
      <c r="AD534" s="14">
        <f t="shared" si="63"/>
        <v>2</v>
      </c>
    </row>
    <row r="535" spans="5:30">
      <c r="E535" s="29"/>
      <c r="F535" s="8" t="s">
        <v>45</v>
      </c>
      <c r="G535" s="9">
        <v>4</v>
      </c>
      <c r="H535" s="23">
        <v>4</v>
      </c>
      <c r="I535" s="24"/>
      <c r="J535" s="22"/>
      <c r="K535" s="23">
        <v>4</v>
      </c>
      <c r="L535" s="22"/>
      <c r="M535" s="9">
        <v>3</v>
      </c>
      <c r="N535" s="9">
        <v>3</v>
      </c>
      <c r="O535" s="9">
        <v>3</v>
      </c>
      <c r="P535" s="9">
        <v>2</v>
      </c>
      <c r="Q535" s="23">
        <v>2</v>
      </c>
      <c r="R535" s="22"/>
      <c r="S535" s="8">
        <v>22</v>
      </c>
      <c r="U535" t="s">
        <v>56</v>
      </c>
      <c r="V535" t="s">
        <v>33</v>
      </c>
      <c r="W535" s="14">
        <f t="shared" si="56"/>
        <v>4</v>
      </c>
      <c r="X535" s="14">
        <f t="shared" si="57"/>
        <v>4</v>
      </c>
      <c r="Y535" s="14">
        <f t="shared" si="58"/>
        <v>4</v>
      </c>
      <c r="Z535" s="14">
        <f t="shared" si="59"/>
        <v>3</v>
      </c>
      <c r="AA535" s="14">
        <f t="shared" si="60"/>
        <v>3</v>
      </c>
      <c r="AB535" s="14">
        <f t="shared" si="61"/>
        <v>3</v>
      </c>
      <c r="AC535" s="14">
        <f t="shared" si="62"/>
        <v>2</v>
      </c>
      <c r="AD535" s="14">
        <f t="shared" si="63"/>
        <v>7.5</v>
      </c>
    </row>
    <row r="536" spans="5:30">
      <c r="E536" s="6"/>
      <c r="F536" s="8" t="s">
        <v>47</v>
      </c>
      <c r="G536" s="9">
        <v>5.5</v>
      </c>
      <c r="H536" s="23">
        <v>4.5</v>
      </c>
      <c r="I536" s="24"/>
      <c r="J536" s="22"/>
      <c r="K536" s="23">
        <v>8.5</v>
      </c>
      <c r="L536" s="22"/>
      <c r="M536" s="9">
        <v>6</v>
      </c>
      <c r="N536" s="9">
        <v>7.5</v>
      </c>
      <c r="O536" s="9"/>
      <c r="P536" s="9">
        <v>5.5</v>
      </c>
      <c r="Q536" s="23">
        <v>7.5</v>
      </c>
      <c r="R536" s="22"/>
      <c r="S536" s="8" t="s">
        <v>33</v>
      </c>
      <c r="U536" t="s">
        <v>33</v>
      </c>
      <c r="V536" t="s">
        <v>33</v>
      </c>
      <c r="W536" s="14">
        <f t="shared" si="56"/>
        <v>5.5</v>
      </c>
      <c r="X536" s="14">
        <f t="shared" si="57"/>
        <v>4.5</v>
      </c>
      <c r="Y536" s="14">
        <f t="shared" si="58"/>
        <v>8.5</v>
      </c>
      <c r="Z536" s="14">
        <f t="shared" si="59"/>
        <v>6</v>
      </c>
      <c r="AA536" s="14">
        <f t="shared" si="60"/>
        <v>7.5</v>
      </c>
      <c r="AB536" s="14">
        <f t="shared" si="61"/>
        <v>0</v>
      </c>
      <c r="AC536" s="14">
        <f t="shared" si="62"/>
        <v>5.5</v>
      </c>
      <c r="AD536" s="14">
        <f t="shared" si="63"/>
        <v>15</v>
      </c>
    </row>
    <row r="537" spans="5:30">
      <c r="E537" s="6"/>
      <c r="F537" s="8" t="s">
        <v>49</v>
      </c>
      <c r="G537" s="9">
        <v>22</v>
      </c>
      <c r="H537" s="23">
        <v>18</v>
      </c>
      <c r="I537" s="24"/>
      <c r="J537" s="22"/>
      <c r="K537" s="23">
        <v>34</v>
      </c>
      <c r="L537" s="22"/>
      <c r="M537" s="9">
        <v>18</v>
      </c>
      <c r="N537" s="9">
        <v>22.5</v>
      </c>
      <c r="O537" s="9"/>
      <c r="P537" s="9">
        <v>11</v>
      </c>
      <c r="Q537" s="23">
        <v>15</v>
      </c>
      <c r="R537" s="22"/>
      <c r="S537" s="8">
        <v>140.5</v>
      </c>
      <c r="U537">
        <v>0</v>
      </c>
      <c r="V537">
        <v>0</v>
      </c>
      <c r="W537" s="14">
        <f t="shared" si="56"/>
        <v>22</v>
      </c>
      <c r="X537" s="14">
        <f t="shared" si="57"/>
        <v>18</v>
      </c>
      <c r="Y537" s="14">
        <f t="shared" si="58"/>
        <v>34</v>
      </c>
      <c r="Z537" s="14">
        <f t="shared" si="59"/>
        <v>18</v>
      </c>
      <c r="AA537" s="14">
        <f t="shared" si="60"/>
        <v>22.5</v>
      </c>
      <c r="AB537" s="14">
        <f t="shared" si="61"/>
        <v>0</v>
      </c>
      <c r="AC537" s="14">
        <f t="shared" si="62"/>
        <v>11</v>
      </c>
      <c r="AD537" s="14">
        <f t="shared" si="63"/>
        <v>35</v>
      </c>
    </row>
    <row r="538" spans="5:30">
      <c r="E538" s="4"/>
      <c r="F538" s="8" t="s">
        <v>36</v>
      </c>
      <c r="G538" s="9">
        <v>50</v>
      </c>
      <c r="H538" s="23">
        <v>43</v>
      </c>
      <c r="I538" s="24"/>
      <c r="J538" s="22"/>
      <c r="K538" s="23">
        <v>81</v>
      </c>
      <c r="L538" s="22"/>
      <c r="M538" s="9">
        <v>56</v>
      </c>
      <c r="N538" s="9">
        <v>70</v>
      </c>
      <c r="O538" s="9">
        <v>29</v>
      </c>
      <c r="P538" s="9">
        <v>25</v>
      </c>
      <c r="Q538" s="23">
        <v>35</v>
      </c>
      <c r="R538" s="22"/>
      <c r="S538" s="8">
        <v>389</v>
      </c>
      <c r="U538">
        <v>0</v>
      </c>
      <c r="V538">
        <v>0</v>
      </c>
      <c r="W538" s="14">
        <f t="shared" si="56"/>
        <v>50</v>
      </c>
      <c r="X538" s="14">
        <f t="shared" si="57"/>
        <v>43</v>
      </c>
      <c r="Y538" s="14">
        <f t="shared" si="58"/>
        <v>81</v>
      </c>
      <c r="Z538" s="14">
        <f t="shared" si="59"/>
        <v>56</v>
      </c>
      <c r="AA538" s="14">
        <f t="shared" si="60"/>
        <v>70</v>
      </c>
      <c r="AB538" s="14">
        <f t="shared" si="61"/>
        <v>29</v>
      </c>
      <c r="AC538" s="14">
        <f t="shared" si="62"/>
        <v>25</v>
      </c>
      <c r="AD538" s="14">
        <f t="shared" si="63"/>
        <v>50</v>
      </c>
    </row>
    <row r="539" spans="5:30">
      <c r="E539" s="6"/>
      <c r="F539" s="8" t="s">
        <v>52</v>
      </c>
      <c r="G539" s="9">
        <v>100</v>
      </c>
      <c r="H539" s="23">
        <v>100</v>
      </c>
      <c r="I539" s="24"/>
      <c r="J539" s="22"/>
      <c r="K539" s="23">
        <v>100</v>
      </c>
      <c r="L539" s="22"/>
      <c r="M539" s="9">
        <v>100</v>
      </c>
      <c r="N539" s="9">
        <v>100</v>
      </c>
      <c r="O539" s="9">
        <v>100</v>
      </c>
      <c r="P539" s="9">
        <v>50</v>
      </c>
      <c r="Q539" s="23">
        <v>50</v>
      </c>
      <c r="R539" s="22"/>
      <c r="S539" s="8">
        <v>700</v>
      </c>
      <c r="U539" t="s">
        <v>31</v>
      </c>
      <c r="V539" t="s">
        <v>33</v>
      </c>
      <c r="W539" s="14">
        <f t="shared" si="56"/>
        <v>100</v>
      </c>
      <c r="X539" s="14">
        <f t="shared" si="57"/>
        <v>100</v>
      </c>
      <c r="Y539" s="14">
        <f t="shared" si="58"/>
        <v>100</v>
      </c>
      <c r="Z539" s="14">
        <f t="shared" si="59"/>
        <v>100</v>
      </c>
      <c r="AA539" s="14">
        <f t="shared" si="60"/>
        <v>100</v>
      </c>
      <c r="AB539" s="14">
        <f t="shared" si="61"/>
        <v>100</v>
      </c>
      <c r="AC539" s="14">
        <f t="shared" si="62"/>
        <v>50</v>
      </c>
      <c r="AD539" s="14" t="str">
        <f t="shared" si="63"/>
        <v>AA</v>
      </c>
    </row>
    <row r="540" spans="5:30">
      <c r="E540" s="4"/>
      <c r="F540" s="8" t="s">
        <v>54</v>
      </c>
      <c r="G540" s="9" t="s">
        <v>123</v>
      </c>
      <c r="H540" s="23" t="s">
        <v>75</v>
      </c>
      <c r="I540" s="24"/>
      <c r="J540" s="22"/>
      <c r="K540" s="23" t="s">
        <v>95</v>
      </c>
      <c r="L540" s="22"/>
      <c r="M540" s="9" t="s">
        <v>147</v>
      </c>
      <c r="N540" s="9" t="s">
        <v>108</v>
      </c>
      <c r="O540" s="9"/>
      <c r="P540" s="9" t="s">
        <v>123</v>
      </c>
      <c r="Q540" s="23" t="s">
        <v>108</v>
      </c>
      <c r="R540" s="22"/>
      <c r="S540" s="8" t="s">
        <v>33</v>
      </c>
      <c r="U540" t="s">
        <v>405</v>
      </c>
      <c r="V540" t="s">
        <v>36</v>
      </c>
      <c r="W540" s="14" t="str">
        <f t="shared" si="56"/>
        <v>BB</v>
      </c>
      <c r="X540" s="14" t="str">
        <f t="shared" si="57"/>
        <v>PP</v>
      </c>
      <c r="Y540" s="14" t="str">
        <f t="shared" si="58"/>
        <v>OA</v>
      </c>
      <c r="Z540" s="14" t="str">
        <f t="shared" si="59"/>
        <v>BB+</v>
      </c>
      <c r="AA540" s="14" t="str">
        <f t="shared" si="60"/>
        <v>AA</v>
      </c>
      <c r="AB540" s="14">
        <f t="shared" si="61"/>
        <v>0</v>
      </c>
      <c r="AC540" s="14" t="str">
        <f t="shared" si="62"/>
        <v>BB</v>
      </c>
      <c r="AD540" s="14" t="str">
        <f t="shared" si="63"/>
        <v>Pass</v>
      </c>
    </row>
    <row r="541" spans="5:30">
      <c r="E541" s="11" t="s">
        <v>404</v>
      </c>
      <c r="F541" s="8" t="s">
        <v>58</v>
      </c>
      <c r="G541" s="9" t="s">
        <v>59</v>
      </c>
      <c r="H541" s="23" t="s">
        <v>59</v>
      </c>
      <c r="I541" s="24"/>
      <c r="J541" s="22"/>
      <c r="K541" s="23" t="s">
        <v>59</v>
      </c>
      <c r="L541" s="22"/>
      <c r="M541" s="9" t="s">
        <v>59</v>
      </c>
      <c r="N541" s="9" t="s">
        <v>59</v>
      </c>
      <c r="O541" s="9" t="s">
        <v>68</v>
      </c>
      <c r="P541" s="9" t="s">
        <v>59</v>
      </c>
      <c r="Q541" s="23" t="s">
        <v>59</v>
      </c>
      <c r="R541" s="22"/>
      <c r="S541" s="8" t="s">
        <v>33</v>
      </c>
      <c r="U541" t="s">
        <v>37</v>
      </c>
      <c r="V541" t="s">
        <v>33</v>
      </c>
      <c r="W541" s="14" t="str">
        <f t="shared" si="56"/>
        <v>Pass</v>
      </c>
      <c r="X541" s="14" t="str">
        <f t="shared" si="57"/>
        <v>Pass</v>
      </c>
      <c r="Y541" s="14" t="str">
        <f t="shared" si="58"/>
        <v>Pass</v>
      </c>
      <c r="Z541" s="14" t="str">
        <f t="shared" si="59"/>
        <v>Pass</v>
      </c>
      <c r="AA541" s="14" t="str">
        <f t="shared" si="60"/>
        <v>Pass</v>
      </c>
      <c r="AB541" s="14" t="str">
        <f t="shared" si="61"/>
        <v>Fail</v>
      </c>
      <c r="AC541" s="14" t="str">
        <f t="shared" si="62"/>
        <v>Pass</v>
      </c>
      <c r="AD541" s="14" t="str">
        <f t="shared" si="63"/>
        <v/>
      </c>
    </row>
    <row r="542" spans="5:30">
      <c r="E542" s="12" t="s">
        <v>33</v>
      </c>
      <c r="F542" s="12" t="s">
        <v>33</v>
      </c>
      <c r="G542" s="13" t="s">
        <v>33</v>
      </c>
      <c r="H542" s="20" t="s">
        <v>33</v>
      </c>
      <c r="I542" s="18"/>
      <c r="J542" s="18"/>
      <c r="K542" s="20" t="s">
        <v>33</v>
      </c>
      <c r="L542" s="18"/>
      <c r="M542" s="13" t="s">
        <v>33</v>
      </c>
      <c r="N542" s="13" t="s">
        <v>33</v>
      </c>
      <c r="O542" s="13" t="s">
        <v>33</v>
      </c>
      <c r="P542" s="13" t="s">
        <v>33</v>
      </c>
      <c r="Q542" s="20" t="s">
        <v>33</v>
      </c>
      <c r="R542" s="18"/>
      <c r="S542" s="13" t="s">
        <v>33</v>
      </c>
      <c r="U542" t="s">
        <v>410</v>
      </c>
      <c r="V542" t="s">
        <v>33</v>
      </c>
      <c r="W542" s="14" t="str">
        <f t="shared" si="56"/>
        <v/>
      </c>
      <c r="X542" s="14" t="str">
        <f t="shared" si="57"/>
        <v/>
      </c>
      <c r="Y542" s="14" t="str">
        <f t="shared" si="58"/>
        <v/>
      </c>
      <c r="Z542" s="14" t="str">
        <f t="shared" si="59"/>
        <v/>
      </c>
      <c r="AA542" s="14" t="str">
        <f t="shared" si="60"/>
        <v/>
      </c>
      <c r="AB542" s="14" t="str">
        <f t="shared" si="61"/>
        <v/>
      </c>
      <c r="AC542" s="14" t="str">
        <f t="shared" si="62"/>
        <v/>
      </c>
      <c r="AD542" s="14">
        <f t="shared" si="63"/>
        <v>0</v>
      </c>
    </row>
    <row r="543" spans="5:30" ht="0" hidden="1" customHeight="1">
      <c r="U543">
        <v>0</v>
      </c>
      <c r="V543">
        <v>0</v>
      </c>
      <c r="W543" s="14">
        <f t="shared" si="56"/>
        <v>0</v>
      </c>
      <c r="X543" s="14">
        <f t="shared" si="57"/>
        <v>0</v>
      </c>
      <c r="Y543" s="14">
        <f t="shared" si="58"/>
        <v>0</v>
      </c>
      <c r="Z543" s="14">
        <f t="shared" si="59"/>
        <v>0</v>
      </c>
      <c r="AA543" s="14">
        <f t="shared" si="60"/>
        <v>0</v>
      </c>
      <c r="AB543" s="14">
        <f t="shared" si="61"/>
        <v>0</v>
      </c>
      <c r="AC543" s="14">
        <f t="shared" si="62"/>
        <v>0</v>
      </c>
      <c r="AD543" s="14">
        <f t="shared" si="63"/>
        <v>0</v>
      </c>
    </row>
    <row r="544" spans="5:30" ht="0.6" customHeight="1">
      <c r="U544">
        <v>0</v>
      </c>
      <c r="V544">
        <v>25</v>
      </c>
      <c r="W544" s="14">
        <f t="shared" si="56"/>
        <v>0</v>
      </c>
      <c r="X544" s="14">
        <f t="shared" si="57"/>
        <v>0</v>
      </c>
      <c r="Y544" s="14">
        <f t="shared" si="58"/>
        <v>0</v>
      </c>
      <c r="Z544" s="14">
        <f t="shared" si="59"/>
        <v>0</v>
      </c>
      <c r="AA544" s="14">
        <f t="shared" si="60"/>
        <v>0</v>
      </c>
      <c r="AB544" s="14">
        <f t="shared" si="61"/>
        <v>0</v>
      </c>
      <c r="AC544" s="14">
        <f t="shared" si="62"/>
        <v>0</v>
      </c>
      <c r="AD544" s="14" t="str">
        <f t="shared" si="63"/>
        <v/>
      </c>
    </row>
    <row r="545" spans="5:30">
      <c r="E545" s="4"/>
      <c r="F545" s="3" t="s">
        <v>32</v>
      </c>
      <c r="G545" s="5" t="s">
        <v>33</v>
      </c>
      <c r="H545" s="32" t="s">
        <v>33</v>
      </c>
      <c r="I545" s="18"/>
      <c r="J545" s="18"/>
      <c r="K545" s="32" t="s">
        <v>33</v>
      </c>
      <c r="L545" s="18"/>
      <c r="M545" s="5" t="s">
        <v>33</v>
      </c>
      <c r="N545" s="5" t="s">
        <v>33</v>
      </c>
      <c r="O545" s="5" t="s">
        <v>33</v>
      </c>
      <c r="P545" s="5" t="s">
        <v>33</v>
      </c>
      <c r="Q545" s="32" t="s">
        <v>33</v>
      </c>
      <c r="R545" s="18"/>
      <c r="S545" s="5" t="s">
        <v>33</v>
      </c>
      <c r="U545" t="s">
        <v>46</v>
      </c>
      <c r="V545" t="s">
        <v>33</v>
      </c>
      <c r="W545" s="14" t="str">
        <f t="shared" si="56"/>
        <v/>
      </c>
      <c r="X545" s="14" t="str">
        <f t="shared" si="57"/>
        <v/>
      </c>
      <c r="Y545" s="14" t="str">
        <f t="shared" si="58"/>
        <v/>
      </c>
      <c r="Z545" s="14" t="str">
        <f t="shared" si="59"/>
        <v/>
      </c>
      <c r="AA545" s="14" t="str">
        <f t="shared" si="60"/>
        <v/>
      </c>
      <c r="AB545" s="14" t="str">
        <f t="shared" si="61"/>
        <v/>
      </c>
      <c r="AC545" s="14" t="str">
        <f t="shared" si="62"/>
        <v/>
      </c>
      <c r="AD545" s="14" t="str">
        <f t="shared" si="63"/>
        <v>COMNSSN302</v>
      </c>
    </row>
    <row r="546" spans="5:30" ht="21">
      <c r="E546" s="4"/>
      <c r="F546" s="7" t="s">
        <v>35</v>
      </c>
      <c r="G546" s="7" t="s">
        <v>5</v>
      </c>
      <c r="H546" s="30" t="s">
        <v>7</v>
      </c>
      <c r="I546" s="24"/>
      <c r="J546" s="22"/>
      <c r="K546" s="30" t="s">
        <v>9</v>
      </c>
      <c r="L546" s="22"/>
      <c r="M546" s="7" t="s">
        <v>11</v>
      </c>
      <c r="N546" s="7" t="s">
        <v>15</v>
      </c>
      <c r="O546" s="7" t="s">
        <v>17</v>
      </c>
      <c r="P546" s="7" t="s">
        <v>21</v>
      </c>
      <c r="Q546" s="30" t="s">
        <v>25</v>
      </c>
      <c r="R546" s="22"/>
      <c r="S546" s="7" t="s">
        <v>36</v>
      </c>
      <c r="U546" t="s">
        <v>48</v>
      </c>
      <c r="V546">
        <v>229</v>
      </c>
      <c r="W546" s="14" t="str">
        <f t="shared" si="56"/>
        <v>BBABMCN301</v>
      </c>
      <c r="X546" s="14" t="str">
        <f t="shared" si="57"/>
        <v>BBABMCN302</v>
      </c>
      <c r="Y546" s="14" t="str">
        <f t="shared" si="58"/>
        <v>BBABMCN303</v>
      </c>
      <c r="Z546" s="14" t="str">
        <f t="shared" si="59"/>
        <v>BBAENLN301</v>
      </c>
      <c r="AA546" s="14" t="str">
        <f t="shared" si="60"/>
        <v>BBAKALN302</v>
      </c>
      <c r="AB546" s="14" t="str">
        <f t="shared" si="61"/>
        <v>BCACAEN302</v>
      </c>
      <c r="AC546" s="14" t="str">
        <f t="shared" si="62"/>
        <v>COMFISN301</v>
      </c>
      <c r="AD546" s="14" t="str">
        <f t="shared" si="63"/>
        <v xml:space="preserve"> - - + - - </v>
      </c>
    </row>
    <row r="547" spans="5:30" ht="22.5">
      <c r="E547" s="6" t="s">
        <v>406</v>
      </c>
      <c r="F547" s="8" t="s">
        <v>39</v>
      </c>
      <c r="G547" s="9" t="s">
        <v>407</v>
      </c>
      <c r="H547" s="23" t="s">
        <v>408</v>
      </c>
      <c r="I547" s="24"/>
      <c r="J547" s="22"/>
      <c r="K547" s="23" t="s">
        <v>88</v>
      </c>
      <c r="L547" s="22"/>
      <c r="M547" s="9" t="s">
        <v>310</v>
      </c>
      <c r="N547" s="9" t="s">
        <v>409</v>
      </c>
      <c r="O547" s="9" t="s">
        <v>131</v>
      </c>
      <c r="P547" s="9" t="s">
        <v>201</v>
      </c>
      <c r="Q547" s="23" t="s">
        <v>43</v>
      </c>
      <c r="R547" s="22"/>
      <c r="S547" s="8" t="s">
        <v>33</v>
      </c>
      <c r="U547" t="s">
        <v>50</v>
      </c>
      <c r="V547">
        <v>617</v>
      </c>
      <c r="W547" s="14" t="str">
        <f t="shared" si="56"/>
        <v>52.00 + 34.00</v>
      </c>
      <c r="X547" s="14" t="str">
        <f t="shared" si="57"/>
        <v>51.00 + 40.00</v>
      </c>
      <c r="Y547" s="14" t="str">
        <f t="shared" si="58"/>
        <v>60.00 + 40.00</v>
      </c>
      <c r="Z547" s="14" t="str">
        <f t="shared" si="59"/>
        <v>40.00 + 40.00</v>
      </c>
      <c r="AA547" s="14" t="str">
        <f t="shared" si="60"/>
        <v>49.00 + 40.00</v>
      </c>
      <c r="AB547" s="14" t="str">
        <f t="shared" si="61"/>
        <v>42.00 + 32.00</v>
      </c>
      <c r="AC547" s="14" t="str">
        <f t="shared" si="62"/>
        <v>29.00 + 20.00</v>
      </c>
      <c r="AD547" s="14" t="str">
        <f t="shared" si="63"/>
        <v xml:space="preserve"> - - +48.00</v>
      </c>
    </row>
    <row r="548" spans="5:30">
      <c r="E548" s="25"/>
      <c r="F548" s="8" t="s">
        <v>42</v>
      </c>
      <c r="G548" s="9" t="s">
        <v>43</v>
      </c>
      <c r="H548" s="23" t="s">
        <v>43</v>
      </c>
      <c r="I548" s="24"/>
      <c r="J548" s="22"/>
      <c r="K548" s="23" t="s">
        <v>43</v>
      </c>
      <c r="L548" s="22"/>
      <c r="M548" s="9" t="s">
        <v>43</v>
      </c>
      <c r="N548" s="9" t="s">
        <v>43</v>
      </c>
      <c r="O548" s="9" t="s">
        <v>43</v>
      </c>
      <c r="P548" s="9" t="s">
        <v>43</v>
      </c>
      <c r="Q548" s="23" t="s">
        <v>107</v>
      </c>
      <c r="R548" s="22"/>
      <c r="S548" s="8" t="s">
        <v>33</v>
      </c>
      <c r="U548" t="s">
        <v>51</v>
      </c>
      <c r="V548">
        <v>700</v>
      </c>
      <c r="W548" s="14" t="str">
        <f t="shared" si="56"/>
        <v xml:space="preserve"> - - + - - </v>
      </c>
      <c r="X548" s="14" t="str">
        <f t="shared" si="57"/>
        <v xml:space="preserve"> - - + - - </v>
      </c>
      <c r="Y548" s="14" t="str">
        <f t="shared" si="58"/>
        <v xml:space="preserve"> - - + - - </v>
      </c>
      <c r="Z548" s="14" t="str">
        <f t="shared" si="59"/>
        <v xml:space="preserve"> - - + - - </v>
      </c>
      <c r="AA548" s="14" t="str">
        <f t="shared" si="60"/>
        <v xml:space="preserve"> - - + - - </v>
      </c>
      <c r="AB548" s="14" t="str">
        <f t="shared" si="61"/>
        <v xml:space="preserve"> - - + - - </v>
      </c>
      <c r="AC548" s="14" t="str">
        <f t="shared" si="62"/>
        <v xml:space="preserve"> - - + - - </v>
      </c>
      <c r="AD548" s="14" t="str">
        <f t="shared" si="63"/>
        <v/>
      </c>
    </row>
    <row r="549" spans="5:30">
      <c r="E549" s="27"/>
      <c r="F549" s="8" t="s">
        <v>44</v>
      </c>
      <c r="G549" s="9" t="s">
        <v>33</v>
      </c>
      <c r="H549" s="23" t="s">
        <v>33</v>
      </c>
      <c r="I549" s="24"/>
      <c r="J549" s="22"/>
      <c r="K549" s="23" t="s">
        <v>33</v>
      </c>
      <c r="L549" s="22"/>
      <c r="M549" s="9" t="s">
        <v>33</v>
      </c>
      <c r="N549" s="9" t="s">
        <v>33</v>
      </c>
      <c r="O549" s="9" t="s">
        <v>33</v>
      </c>
      <c r="P549" s="9" t="s">
        <v>33</v>
      </c>
      <c r="Q549" s="23" t="s">
        <v>33</v>
      </c>
      <c r="R549" s="22"/>
      <c r="S549" s="8">
        <v>0</v>
      </c>
      <c r="U549" t="s">
        <v>287</v>
      </c>
      <c r="V549" t="s">
        <v>33</v>
      </c>
      <c r="W549" s="14" t="str">
        <f t="shared" si="56"/>
        <v/>
      </c>
      <c r="X549" s="14" t="str">
        <f t="shared" si="57"/>
        <v/>
      </c>
      <c r="Y549" s="14" t="str">
        <f t="shared" si="58"/>
        <v/>
      </c>
      <c r="Z549" s="14" t="str">
        <f t="shared" si="59"/>
        <v/>
      </c>
      <c r="AA549" s="14" t="str">
        <f t="shared" si="60"/>
        <v/>
      </c>
      <c r="AB549" s="14" t="str">
        <f t="shared" si="61"/>
        <v/>
      </c>
      <c r="AC549" s="14" t="str">
        <f t="shared" si="62"/>
        <v/>
      </c>
      <c r="AD549" s="14">
        <f t="shared" si="63"/>
        <v>2</v>
      </c>
    </row>
    <row r="550" spans="5:30">
      <c r="E550" s="29"/>
      <c r="F550" s="8" t="s">
        <v>45</v>
      </c>
      <c r="G550" s="9">
        <v>4</v>
      </c>
      <c r="H550" s="23">
        <v>4</v>
      </c>
      <c r="I550" s="24"/>
      <c r="J550" s="22"/>
      <c r="K550" s="23">
        <v>4</v>
      </c>
      <c r="L550" s="22"/>
      <c r="M550" s="9">
        <v>3</v>
      </c>
      <c r="N550" s="9">
        <v>3</v>
      </c>
      <c r="O550" s="9">
        <v>3</v>
      </c>
      <c r="P550" s="9">
        <v>2</v>
      </c>
      <c r="Q550" s="23">
        <v>2</v>
      </c>
      <c r="R550" s="22"/>
      <c r="S550" s="8">
        <v>25</v>
      </c>
      <c r="U550" t="s">
        <v>56</v>
      </c>
      <c r="V550" t="s">
        <v>33</v>
      </c>
      <c r="W550" s="14">
        <f t="shared" si="56"/>
        <v>4</v>
      </c>
      <c r="X550" s="14">
        <f t="shared" si="57"/>
        <v>4</v>
      </c>
      <c r="Y550" s="14">
        <f t="shared" si="58"/>
        <v>4</v>
      </c>
      <c r="Z550" s="14">
        <f t="shared" si="59"/>
        <v>3</v>
      </c>
      <c r="AA550" s="14">
        <f t="shared" si="60"/>
        <v>3</v>
      </c>
      <c r="AB550" s="14">
        <f t="shared" si="61"/>
        <v>3</v>
      </c>
      <c r="AC550" s="14">
        <f t="shared" si="62"/>
        <v>2</v>
      </c>
      <c r="AD550" s="14">
        <f t="shared" si="63"/>
        <v>10</v>
      </c>
    </row>
    <row r="551" spans="5:30">
      <c r="E551" s="6">
        <v>9.16</v>
      </c>
      <c r="F551" s="8" t="s">
        <v>47</v>
      </c>
      <c r="G551" s="9">
        <v>9</v>
      </c>
      <c r="H551" s="23">
        <v>9.5</v>
      </c>
      <c r="I551" s="24"/>
      <c r="J551" s="22"/>
      <c r="K551" s="23">
        <v>10</v>
      </c>
      <c r="L551" s="22"/>
      <c r="M551" s="9">
        <v>8.5</v>
      </c>
      <c r="N551" s="9">
        <v>9</v>
      </c>
      <c r="O551" s="9">
        <v>7.5</v>
      </c>
      <c r="P551" s="9">
        <v>10</v>
      </c>
      <c r="Q551" s="23">
        <v>10</v>
      </c>
      <c r="R551" s="22"/>
      <c r="S551" s="8" t="s">
        <v>33</v>
      </c>
      <c r="U551" t="s">
        <v>33</v>
      </c>
      <c r="V551" t="s">
        <v>33</v>
      </c>
      <c r="W551" s="14">
        <f t="shared" si="56"/>
        <v>9</v>
      </c>
      <c r="X551" s="14">
        <f t="shared" si="57"/>
        <v>9.5</v>
      </c>
      <c r="Y551" s="14">
        <f t="shared" si="58"/>
        <v>10</v>
      </c>
      <c r="Z551" s="14">
        <f t="shared" si="59"/>
        <v>8.5</v>
      </c>
      <c r="AA551" s="14">
        <f t="shared" si="60"/>
        <v>9</v>
      </c>
      <c r="AB551" s="14">
        <f t="shared" si="61"/>
        <v>7.5</v>
      </c>
      <c r="AC551" s="14">
        <f t="shared" si="62"/>
        <v>10</v>
      </c>
      <c r="AD551" s="14">
        <f t="shared" si="63"/>
        <v>20</v>
      </c>
    </row>
    <row r="552" spans="5:30">
      <c r="E552" s="10">
        <v>8.66</v>
      </c>
      <c r="F552" s="8" t="s">
        <v>49</v>
      </c>
      <c r="G552" s="9">
        <v>36</v>
      </c>
      <c r="H552" s="23">
        <v>38</v>
      </c>
      <c r="I552" s="24"/>
      <c r="J552" s="22"/>
      <c r="K552" s="23">
        <v>40</v>
      </c>
      <c r="L552" s="22"/>
      <c r="M552" s="9">
        <v>25.5</v>
      </c>
      <c r="N552" s="9">
        <v>27</v>
      </c>
      <c r="O552" s="9">
        <v>22.5</v>
      </c>
      <c r="P552" s="9">
        <v>20</v>
      </c>
      <c r="Q552" s="23">
        <v>20</v>
      </c>
      <c r="R552" s="22"/>
      <c r="S552" s="8">
        <v>229</v>
      </c>
      <c r="U552">
        <v>0</v>
      </c>
      <c r="V552">
        <v>0</v>
      </c>
      <c r="W552" s="14">
        <f t="shared" si="56"/>
        <v>36</v>
      </c>
      <c r="X552" s="14">
        <f t="shared" si="57"/>
        <v>38</v>
      </c>
      <c r="Y552" s="14">
        <f t="shared" si="58"/>
        <v>40</v>
      </c>
      <c r="Z552" s="14">
        <f t="shared" si="59"/>
        <v>25.5</v>
      </c>
      <c r="AA552" s="14">
        <f t="shared" si="60"/>
        <v>27</v>
      </c>
      <c r="AB552" s="14">
        <f t="shared" si="61"/>
        <v>22.5</v>
      </c>
      <c r="AC552" s="14">
        <f t="shared" si="62"/>
        <v>20</v>
      </c>
      <c r="AD552" s="14">
        <f t="shared" si="63"/>
        <v>48</v>
      </c>
    </row>
    <row r="553" spans="5:30">
      <c r="E553" s="4"/>
      <c r="F553" s="8" t="s">
        <v>36</v>
      </c>
      <c r="G553" s="9">
        <v>86</v>
      </c>
      <c r="H553" s="23">
        <v>91</v>
      </c>
      <c r="I553" s="24"/>
      <c r="J553" s="22"/>
      <c r="K553" s="23">
        <v>100</v>
      </c>
      <c r="L553" s="22"/>
      <c r="M553" s="9">
        <v>80</v>
      </c>
      <c r="N553" s="9">
        <v>89</v>
      </c>
      <c r="O553" s="9">
        <v>74</v>
      </c>
      <c r="P553" s="9">
        <v>49</v>
      </c>
      <c r="Q553" s="23">
        <v>48</v>
      </c>
      <c r="R553" s="22"/>
      <c r="S553" s="8">
        <v>617</v>
      </c>
      <c r="U553">
        <v>0</v>
      </c>
      <c r="V553">
        <v>0</v>
      </c>
      <c r="W553" s="14">
        <f t="shared" si="56"/>
        <v>86</v>
      </c>
      <c r="X553" s="14">
        <f t="shared" si="57"/>
        <v>91</v>
      </c>
      <c r="Y553" s="14">
        <f t="shared" si="58"/>
        <v>100</v>
      </c>
      <c r="Z553" s="14">
        <f t="shared" si="59"/>
        <v>80</v>
      </c>
      <c r="AA553" s="14">
        <f t="shared" si="60"/>
        <v>89</v>
      </c>
      <c r="AB553" s="14">
        <f t="shared" si="61"/>
        <v>74</v>
      </c>
      <c r="AC553" s="14">
        <f t="shared" si="62"/>
        <v>49</v>
      </c>
      <c r="AD553" s="14">
        <f t="shared" si="63"/>
        <v>50</v>
      </c>
    </row>
    <row r="554" spans="5:30">
      <c r="E554" s="6"/>
      <c r="F554" s="8" t="s">
        <v>52</v>
      </c>
      <c r="G554" s="9">
        <v>100</v>
      </c>
      <c r="H554" s="23">
        <v>100</v>
      </c>
      <c r="I554" s="24"/>
      <c r="J554" s="22"/>
      <c r="K554" s="23">
        <v>100</v>
      </c>
      <c r="L554" s="22"/>
      <c r="M554" s="9">
        <v>100</v>
      </c>
      <c r="N554" s="9">
        <v>100</v>
      </c>
      <c r="O554" s="9">
        <v>100</v>
      </c>
      <c r="P554" s="9">
        <v>50</v>
      </c>
      <c r="Q554" s="23">
        <v>50</v>
      </c>
      <c r="R554" s="22"/>
      <c r="S554" s="8">
        <v>700</v>
      </c>
      <c r="U554" t="s">
        <v>31</v>
      </c>
      <c r="V554" t="s">
        <v>33</v>
      </c>
      <c r="W554" s="14">
        <f t="shared" si="56"/>
        <v>100</v>
      </c>
      <c r="X554" s="14">
        <f t="shared" si="57"/>
        <v>100</v>
      </c>
      <c r="Y554" s="14">
        <f t="shared" si="58"/>
        <v>100</v>
      </c>
      <c r="Z554" s="14">
        <f t="shared" si="59"/>
        <v>100</v>
      </c>
      <c r="AA554" s="14">
        <f t="shared" si="60"/>
        <v>100</v>
      </c>
      <c r="AB554" s="14">
        <f t="shared" si="61"/>
        <v>100</v>
      </c>
      <c r="AC554" s="14">
        <f t="shared" si="62"/>
        <v>50</v>
      </c>
      <c r="AD554" s="14" t="str">
        <f t="shared" si="63"/>
        <v>OO+</v>
      </c>
    </row>
    <row r="555" spans="5:30">
      <c r="E555" s="4"/>
      <c r="F555" s="8" t="s">
        <v>54</v>
      </c>
      <c r="G555" s="9" t="s">
        <v>122</v>
      </c>
      <c r="H555" s="23" t="s">
        <v>94</v>
      </c>
      <c r="I555" s="24"/>
      <c r="J555" s="22"/>
      <c r="K555" s="23" t="s">
        <v>93</v>
      </c>
      <c r="L555" s="22"/>
      <c r="M555" s="9" t="s">
        <v>95</v>
      </c>
      <c r="N555" s="9" t="s">
        <v>122</v>
      </c>
      <c r="O555" s="9" t="s">
        <v>108</v>
      </c>
      <c r="P555" s="9" t="s">
        <v>93</v>
      </c>
      <c r="Q555" s="23" t="s">
        <v>93</v>
      </c>
      <c r="R555" s="22"/>
      <c r="S555" s="8" t="s">
        <v>33</v>
      </c>
      <c r="U555" t="s">
        <v>412</v>
      </c>
      <c r="V555" t="s">
        <v>36</v>
      </c>
      <c r="W555" s="14" t="str">
        <f t="shared" si="56"/>
        <v>OA+</v>
      </c>
      <c r="X555" s="14" t="str">
        <f t="shared" si="57"/>
        <v>OO</v>
      </c>
      <c r="Y555" s="14" t="str">
        <f t="shared" si="58"/>
        <v>OO+</v>
      </c>
      <c r="Z555" s="14" t="str">
        <f t="shared" si="59"/>
        <v>OA</v>
      </c>
      <c r="AA555" s="14" t="str">
        <f t="shared" si="60"/>
        <v>OA+</v>
      </c>
      <c r="AB555" s="14" t="str">
        <f t="shared" si="61"/>
        <v>AA</v>
      </c>
      <c r="AC555" s="14" t="str">
        <f t="shared" si="62"/>
        <v>OO+</v>
      </c>
      <c r="AD555" s="14" t="str">
        <f t="shared" si="63"/>
        <v>Pass</v>
      </c>
    </row>
    <row r="556" spans="5:30">
      <c r="E556" s="11" t="s">
        <v>411</v>
      </c>
      <c r="F556" s="8" t="s">
        <v>58</v>
      </c>
      <c r="G556" s="9" t="s">
        <v>59</v>
      </c>
      <c r="H556" s="23" t="s">
        <v>59</v>
      </c>
      <c r="I556" s="24"/>
      <c r="J556" s="22"/>
      <c r="K556" s="23" t="s">
        <v>59</v>
      </c>
      <c r="L556" s="22"/>
      <c r="M556" s="9" t="s">
        <v>59</v>
      </c>
      <c r="N556" s="9" t="s">
        <v>59</v>
      </c>
      <c r="O556" s="9" t="s">
        <v>59</v>
      </c>
      <c r="P556" s="9" t="s">
        <v>59</v>
      </c>
      <c r="Q556" s="23" t="s">
        <v>59</v>
      </c>
      <c r="R556" s="22"/>
      <c r="S556" s="8" t="s">
        <v>33</v>
      </c>
      <c r="U556" t="s">
        <v>37</v>
      </c>
      <c r="V556" t="s">
        <v>33</v>
      </c>
      <c r="W556" s="14" t="str">
        <f t="shared" si="56"/>
        <v>Pass</v>
      </c>
      <c r="X556" s="14" t="str">
        <f t="shared" si="57"/>
        <v>Pass</v>
      </c>
      <c r="Y556" s="14" t="str">
        <f t="shared" si="58"/>
        <v>Pass</v>
      </c>
      <c r="Z556" s="14" t="str">
        <f t="shared" si="59"/>
        <v>Pass</v>
      </c>
      <c r="AA556" s="14" t="str">
        <f t="shared" si="60"/>
        <v>Pass</v>
      </c>
      <c r="AB556" s="14" t="str">
        <f t="shared" si="61"/>
        <v>Pass</v>
      </c>
      <c r="AC556" s="14" t="str">
        <f t="shared" si="62"/>
        <v>Pass</v>
      </c>
      <c r="AD556" s="14" t="str">
        <f t="shared" si="63"/>
        <v/>
      </c>
    </row>
    <row r="557" spans="5:30">
      <c r="E557" s="12" t="s">
        <v>33</v>
      </c>
      <c r="F557" s="12" t="s">
        <v>33</v>
      </c>
      <c r="G557" s="13" t="s">
        <v>33</v>
      </c>
      <c r="H557" s="20" t="s">
        <v>33</v>
      </c>
      <c r="I557" s="18"/>
      <c r="J557" s="18"/>
      <c r="K557" s="20" t="s">
        <v>33</v>
      </c>
      <c r="L557" s="18"/>
      <c r="M557" s="13" t="s">
        <v>33</v>
      </c>
      <c r="N557" s="13" t="s">
        <v>33</v>
      </c>
      <c r="O557" s="13" t="s">
        <v>33</v>
      </c>
      <c r="P557" s="13" t="s">
        <v>33</v>
      </c>
      <c r="Q557" s="20" t="s">
        <v>33</v>
      </c>
      <c r="R557" s="18"/>
      <c r="S557" s="13" t="s">
        <v>33</v>
      </c>
      <c r="U557" t="s">
        <v>418</v>
      </c>
      <c r="V557" t="s">
        <v>33</v>
      </c>
      <c r="W557" s="14" t="str">
        <f t="shared" si="56"/>
        <v/>
      </c>
      <c r="X557" s="14" t="str">
        <f t="shared" si="57"/>
        <v/>
      </c>
      <c r="Y557" s="14" t="str">
        <f t="shared" si="58"/>
        <v/>
      </c>
      <c r="Z557" s="14" t="str">
        <f t="shared" si="59"/>
        <v/>
      </c>
      <c r="AA557" s="14" t="str">
        <f t="shared" si="60"/>
        <v/>
      </c>
      <c r="AB557" s="14" t="str">
        <f t="shared" si="61"/>
        <v/>
      </c>
      <c r="AC557" s="14" t="str">
        <f t="shared" si="62"/>
        <v/>
      </c>
      <c r="AD557" s="14">
        <f t="shared" si="63"/>
        <v>0</v>
      </c>
    </row>
    <row r="558" spans="5:30" ht="0" hidden="1" customHeight="1">
      <c r="U558">
        <v>0</v>
      </c>
      <c r="V558">
        <v>0</v>
      </c>
      <c r="W558" s="14">
        <f t="shared" si="56"/>
        <v>0</v>
      </c>
      <c r="X558" s="14">
        <f t="shared" si="57"/>
        <v>0</v>
      </c>
      <c r="Y558" s="14">
        <f t="shared" si="58"/>
        <v>0</v>
      </c>
      <c r="Z558" s="14">
        <f t="shared" si="59"/>
        <v>0</v>
      </c>
      <c r="AA558" s="14">
        <f t="shared" si="60"/>
        <v>0</v>
      </c>
      <c r="AB558" s="14">
        <f t="shared" si="61"/>
        <v>0</v>
      </c>
      <c r="AC558" s="14">
        <f t="shared" si="62"/>
        <v>0</v>
      </c>
      <c r="AD558" s="14">
        <f t="shared" si="63"/>
        <v>0</v>
      </c>
    </row>
    <row r="559" spans="5:30" ht="0.6" customHeight="1">
      <c r="U559">
        <v>0</v>
      </c>
      <c r="V559">
        <v>25</v>
      </c>
      <c r="W559" s="14">
        <f t="shared" si="56"/>
        <v>0</v>
      </c>
      <c r="X559" s="14">
        <f t="shared" si="57"/>
        <v>0</v>
      </c>
      <c r="Y559" s="14">
        <f t="shared" si="58"/>
        <v>0</v>
      </c>
      <c r="Z559" s="14">
        <f t="shared" si="59"/>
        <v>0</v>
      </c>
      <c r="AA559" s="14">
        <f t="shared" si="60"/>
        <v>0</v>
      </c>
      <c r="AB559" s="14">
        <f t="shared" si="61"/>
        <v>0</v>
      </c>
      <c r="AC559" s="14">
        <f t="shared" si="62"/>
        <v>0</v>
      </c>
      <c r="AD559" s="14" t="str">
        <f t="shared" si="63"/>
        <v/>
      </c>
    </row>
    <row r="560" spans="5:30">
      <c r="E560" s="4"/>
      <c r="F560" s="3" t="s">
        <v>32</v>
      </c>
      <c r="G560" s="5" t="s">
        <v>33</v>
      </c>
      <c r="H560" s="32" t="s">
        <v>33</v>
      </c>
      <c r="I560" s="18"/>
      <c r="J560" s="18"/>
      <c r="K560" s="32" t="s">
        <v>33</v>
      </c>
      <c r="L560" s="18"/>
      <c r="M560" s="5" t="s">
        <v>33</v>
      </c>
      <c r="N560" s="5" t="s">
        <v>33</v>
      </c>
      <c r="O560" s="5" t="s">
        <v>33</v>
      </c>
      <c r="P560" s="5" t="s">
        <v>33</v>
      </c>
      <c r="Q560" s="32" t="s">
        <v>33</v>
      </c>
      <c r="R560" s="18"/>
      <c r="S560" s="5" t="s">
        <v>33</v>
      </c>
      <c r="U560" t="s">
        <v>46</v>
      </c>
      <c r="V560" t="s">
        <v>33</v>
      </c>
      <c r="W560" s="14" t="str">
        <f t="shared" si="56"/>
        <v/>
      </c>
      <c r="X560" s="14" t="str">
        <f t="shared" si="57"/>
        <v/>
      </c>
      <c r="Y560" s="14" t="str">
        <f t="shared" si="58"/>
        <v/>
      </c>
      <c r="Z560" s="14" t="str">
        <f t="shared" si="59"/>
        <v/>
      </c>
      <c r="AA560" s="14" t="str">
        <f t="shared" si="60"/>
        <v/>
      </c>
      <c r="AB560" s="14" t="str">
        <f t="shared" si="61"/>
        <v/>
      </c>
      <c r="AC560" s="14" t="str">
        <f t="shared" si="62"/>
        <v/>
      </c>
      <c r="AD560" s="14" t="str">
        <f t="shared" si="63"/>
        <v>COMRRSN302</v>
      </c>
    </row>
    <row r="561" spans="5:30" ht="21">
      <c r="E561" s="4"/>
      <c r="F561" s="7" t="s">
        <v>35</v>
      </c>
      <c r="G561" s="7" t="s">
        <v>5</v>
      </c>
      <c r="H561" s="30" t="s">
        <v>7</v>
      </c>
      <c r="I561" s="24"/>
      <c r="J561" s="22"/>
      <c r="K561" s="30" t="s">
        <v>9</v>
      </c>
      <c r="L561" s="22"/>
      <c r="M561" s="7" t="s">
        <v>11</v>
      </c>
      <c r="N561" s="7" t="s">
        <v>15</v>
      </c>
      <c r="O561" s="7" t="s">
        <v>17</v>
      </c>
      <c r="P561" s="7" t="s">
        <v>21</v>
      </c>
      <c r="Q561" s="30" t="s">
        <v>27</v>
      </c>
      <c r="R561" s="22"/>
      <c r="S561" s="7" t="s">
        <v>36</v>
      </c>
      <c r="U561" t="s">
        <v>48</v>
      </c>
      <c r="V561">
        <v>201</v>
      </c>
      <c r="W561" s="14" t="str">
        <f t="shared" si="56"/>
        <v>BBABMCN301</v>
      </c>
      <c r="X561" s="14" t="str">
        <f t="shared" si="57"/>
        <v>BBABMCN302</v>
      </c>
      <c r="Y561" s="14" t="str">
        <f t="shared" si="58"/>
        <v>BBABMCN303</v>
      </c>
      <c r="Z561" s="14" t="str">
        <f t="shared" si="59"/>
        <v>BBAENLN301</v>
      </c>
      <c r="AA561" s="14" t="str">
        <f t="shared" si="60"/>
        <v>BBAKALN302</v>
      </c>
      <c r="AB561" s="14" t="str">
        <f t="shared" si="61"/>
        <v>BCACAEN302</v>
      </c>
      <c r="AC561" s="14" t="str">
        <f t="shared" si="62"/>
        <v>COMFISN301</v>
      </c>
      <c r="AD561" s="14" t="str">
        <f t="shared" si="63"/>
        <v xml:space="preserve"> - - + - - </v>
      </c>
    </row>
    <row r="562" spans="5:30" ht="22.5">
      <c r="E562" s="6" t="s">
        <v>413</v>
      </c>
      <c r="F562" s="8" t="s">
        <v>39</v>
      </c>
      <c r="G562" s="9" t="s">
        <v>414</v>
      </c>
      <c r="H562" s="23" t="s">
        <v>415</v>
      </c>
      <c r="I562" s="24"/>
      <c r="J562" s="22"/>
      <c r="K562" s="23" t="s">
        <v>88</v>
      </c>
      <c r="L562" s="22"/>
      <c r="M562" s="9" t="s">
        <v>244</v>
      </c>
      <c r="N562" s="9" t="s">
        <v>416</v>
      </c>
      <c r="O562" s="9" t="s">
        <v>417</v>
      </c>
      <c r="P562" s="9" t="s">
        <v>89</v>
      </c>
      <c r="Q562" s="23" t="s">
        <v>43</v>
      </c>
      <c r="R562" s="22"/>
      <c r="S562" s="8" t="s">
        <v>33</v>
      </c>
      <c r="U562" t="s">
        <v>50</v>
      </c>
      <c r="V562">
        <v>543</v>
      </c>
      <c r="W562" s="14" t="str">
        <f t="shared" si="56"/>
        <v>28.00 + 29.00</v>
      </c>
      <c r="X562" s="14" t="str">
        <f t="shared" si="57"/>
        <v>32.00 + 34.00</v>
      </c>
      <c r="Y562" s="14" t="str">
        <f t="shared" si="58"/>
        <v>60.00 + 40.00</v>
      </c>
      <c r="Z562" s="14" t="str">
        <f t="shared" si="59"/>
        <v>37.00 + 31.00</v>
      </c>
      <c r="AA562" s="14" t="str">
        <f t="shared" si="60"/>
        <v>50.00 + 35.00</v>
      </c>
      <c r="AB562" s="14" t="str">
        <f t="shared" si="61"/>
        <v>42.00 + 27.00</v>
      </c>
      <c r="AC562" s="14" t="str">
        <f t="shared" si="62"/>
        <v>30.00 + 20.00</v>
      </c>
      <c r="AD562" s="14" t="str">
        <f t="shared" si="63"/>
        <v xml:space="preserve"> - - +48.00</v>
      </c>
    </row>
    <row r="563" spans="5:30">
      <c r="E563" s="25"/>
      <c r="F563" s="8" t="s">
        <v>42</v>
      </c>
      <c r="G563" s="9" t="s">
        <v>43</v>
      </c>
      <c r="H563" s="23" t="s">
        <v>43</v>
      </c>
      <c r="I563" s="24"/>
      <c r="J563" s="22"/>
      <c r="K563" s="23" t="s">
        <v>43</v>
      </c>
      <c r="L563" s="22"/>
      <c r="M563" s="9" t="s">
        <v>43</v>
      </c>
      <c r="N563" s="9" t="s">
        <v>43</v>
      </c>
      <c r="O563" s="9" t="s">
        <v>43</v>
      </c>
      <c r="P563" s="9" t="s">
        <v>43</v>
      </c>
      <c r="Q563" s="23" t="s">
        <v>107</v>
      </c>
      <c r="R563" s="22"/>
      <c r="S563" s="8" t="s">
        <v>33</v>
      </c>
      <c r="U563" t="s">
        <v>51</v>
      </c>
      <c r="V563">
        <v>700</v>
      </c>
      <c r="W563" s="14" t="str">
        <f t="shared" si="56"/>
        <v xml:space="preserve"> - - + - - </v>
      </c>
      <c r="X563" s="14" t="str">
        <f t="shared" si="57"/>
        <v xml:space="preserve"> - - + - - </v>
      </c>
      <c r="Y563" s="14" t="str">
        <f t="shared" si="58"/>
        <v xml:space="preserve"> - - + - - </v>
      </c>
      <c r="Z563" s="14" t="str">
        <f t="shared" si="59"/>
        <v xml:space="preserve"> - - + - - </v>
      </c>
      <c r="AA563" s="14" t="str">
        <f t="shared" si="60"/>
        <v xml:space="preserve"> - - + - - </v>
      </c>
      <c r="AB563" s="14" t="str">
        <f t="shared" si="61"/>
        <v xml:space="preserve"> - - + - - </v>
      </c>
      <c r="AC563" s="14" t="str">
        <f t="shared" si="62"/>
        <v xml:space="preserve"> - - + - - </v>
      </c>
      <c r="AD563" s="14" t="str">
        <f t="shared" si="63"/>
        <v/>
      </c>
    </row>
    <row r="564" spans="5:30">
      <c r="E564" s="27"/>
      <c r="F564" s="8" t="s">
        <v>44</v>
      </c>
      <c r="G564" s="9" t="s">
        <v>33</v>
      </c>
      <c r="H564" s="23" t="s">
        <v>33</v>
      </c>
      <c r="I564" s="24"/>
      <c r="J564" s="22"/>
      <c r="K564" s="23" t="s">
        <v>33</v>
      </c>
      <c r="L564" s="22"/>
      <c r="M564" s="9" t="s">
        <v>33</v>
      </c>
      <c r="N564" s="9" t="s">
        <v>33</v>
      </c>
      <c r="O564" s="9" t="s">
        <v>33</v>
      </c>
      <c r="P564" s="9" t="s">
        <v>33</v>
      </c>
      <c r="Q564" s="23" t="s">
        <v>33</v>
      </c>
      <c r="R564" s="22"/>
      <c r="S564" s="8">
        <v>0</v>
      </c>
      <c r="U564" t="s">
        <v>159</v>
      </c>
      <c r="V564" t="s">
        <v>33</v>
      </c>
      <c r="W564" s="14" t="str">
        <f t="shared" si="56"/>
        <v/>
      </c>
      <c r="X564" s="14" t="str">
        <f t="shared" si="57"/>
        <v/>
      </c>
      <c r="Y564" s="14" t="str">
        <f t="shared" si="58"/>
        <v/>
      </c>
      <c r="Z564" s="14" t="str">
        <f t="shared" si="59"/>
        <v/>
      </c>
      <c r="AA564" s="14" t="str">
        <f t="shared" si="60"/>
        <v/>
      </c>
      <c r="AB564" s="14" t="str">
        <f t="shared" si="61"/>
        <v/>
      </c>
      <c r="AC564" s="14" t="str">
        <f t="shared" si="62"/>
        <v/>
      </c>
      <c r="AD564" s="14">
        <f t="shared" si="63"/>
        <v>2</v>
      </c>
    </row>
    <row r="565" spans="5:30">
      <c r="E565" s="29"/>
      <c r="F565" s="8" t="s">
        <v>45</v>
      </c>
      <c r="G565" s="9">
        <v>4</v>
      </c>
      <c r="H565" s="23">
        <v>4</v>
      </c>
      <c r="I565" s="24"/>
      <c r="J565" s="22"/>
      <c r="K565" s="23">
        <v>4</v>
      </c>
      <c r="L565" s="22"/>
      <c r="M565" s="9">
        <v>3</v>
      </c>
      <c r="N565" s="9">
        <v>3</v>
      </c>
      <c r="O565" s="9">
        <v>3</v>
      </c>
      <c r="P565" s="9">
        <v>2</v>
      </c>
      <c r="Q565" s="23">
        <v>2</v>
      </c>
      <c r="R565" s="22"/>
      <c r="S565" s="8">
        <v>25</v>
      </c>
      <c r="U565" t="s">
        <v>56</v>
      </c>
      <c r="V565" t="s">
        <v>33</v>
      </c>
      <c r="W565" s="14">
        <f t="shared" si="56"/>
        <v>4</v>
      </c>
      <c r="X565" s="14">
        <f t="shared" si="57"/>
        <v>4</v>
      </c>
      <c r="Y565" s="14">
        <f t="shared" si="58"/>
        <v>4</v>
      </c>
      <c r="Z565" s="14">
        <f t="shared" si="59"/>
        <v>3</v>
      </c>
      <c r="AA565" s="14">
        <f t="shared" si="60"/>
        <v>3</v>
      </c>
      <c r="AB565" s="14">
        <f t="shared" si="61"/>
        <v>3</v>
      </c>
      <c r="AC565" s="14">
        <f t="shared" si="62"/>
        <v>2</v>
      </c>
      <c r="AD565" s="14">
        <f t="shared" si="63"/>
        <v>10</v>
      </c>
    </row>
    <row r="566" spans="5:30">
      <c r="E566" s="6">
        <v>8.0399999999999991</v>
      </c>
      <c r="F566" s="8" t="s">
        <v>47</v>
      </c>
      <c r="G566" s="9">
        <v>6</v>
      </c>
      <c r="H566" s="23">
        <v>7</v>
      </c>
      <c r="I566" s="24"/>
      <c r="J566" s="22"/>
      <c r="K566" s="23">
        <v>10</v>
      </c>
      <c r="L566" s="22"/>
      <c r="M566" s="9">
        <v>7</v>
      </c>
      <c r="N566" s="9">
        <v>9</v>
      </c>
      <c r="O566" s="9">
        <v>7</v>
      </c>
      <c r="P566" s="9">
        <v>10</v>
      </c>
      <c r="Q566" s="23">
        <v>10</v>
      </c>
      <c r="R566" s="22"/>
      <c r="S566" s="8" t="s">
        <v>33</v>
      </c>
      <c r="U566" t="s">
        <v>33</v>
      </c>
      <c r="V566" t="s">
        <v>33</v>
      </c>
      <c r="W566" s="14">
        <f t="shared" si="56"/>
        <v>6</v>
      </c>
      <c r="X566" s="14">
        <f t="shared" si="57"/>
        <v>7</v>
      </c>
      <c r="Y566" s="14">
        <f t="shared" si="58"/>
        <v>10</v>
      </c>
      <c r="Z566" s="14">
        <f t="shared" si="59"/>
        <v>7</v>
      </c>
      <c r="AA566" s="14">
        <f t="shared" si="60"/>
        <v>9</v>
      </c>
      <c r="AB566" s="14">
        <f t="shared" si="61"/>
        <v>7</v>
      </c>
      <c r="AC566" s="14">
        <f t="shared" si="62"/>
        <v>10</v>
      </c>
      <c r="AD566" s="14">
        <f t="shared" si="63"/>
        <v>20</v>
      </c>
    </row>
    <row r="567" spans="5:30">
      <c r="E567" s="10">
        <v>8.07</v>
      </c>
      <c r="F567" s="8" t="s">
        <v>49</v>
      </c>
      <c r="G567" s="9">
        <v>24</v>
      </c>
      <c r="H567" s="23">
        <v>28</v>
      </c>
      <c r="I567" s="24"/>
      <c r="J567" s="22"/>
      <c r="K567" s="23">
        <v>40</v>
      </c>
      <c r="L567" s="22"/>
      <c r="M567" s="9">
        <v>21</v>
      </c>
      <c r="N567" s="9">
        <v>27</v>
      </c>
      <c r="O567" s="9">
        <v>21</v>
      </c>
      <c r="P567" s="9">
        <v>20</v>
      </c>
      <c r="Q567" s="23">
        <v>20</v>
      </c>
      <c r="R567" s="22"/>
      <c r="S567" s="8">
        <v>201</v>
      </c>
      <c r="U567">
        <v>0</v>
      </c>
      <c r="V567">
        <v>0</v>
      </c>
      <c r="W567" s="14">
        <f t="shared" si="56"/>
        <v>24</v>
      </c>
      <c r="X567" s="14">
        <f t="shared" si="57"/>
        <v>28</v>
      </c>
      <c r="Y567" s="14">
        <f t="shared" si="58"/>
        <v>40</v>
      </c>
      <c r="Z567" s="14">
        <f t="shared" si="59"/>
        <v>21</v>
      </c>
      <c r="AA567" s="14">
        <f t="shared" si="60"/>
        <v>27</v>
      </c>
      <c r="AB567" s="14">
        <f t="shared" si="61"/>
        <v>21</v>
      </c>
      <c r="AC567" s="14">
        <f t="shared" si="62"/>
        <v>20</v>
      </c>
      <c r="AD567" s="14">
        <f t="shared" si="63"/>
        <v>48</v>
      </c>
    </row>
    <row r="568" spans="5:30">
      <c r="E568" s="4"/>
      <c r="F568" s="8" t="s">
        <v>36</v>
      </c>
      <c r="G568" s="9">
        <v>57</v>
      </c>
      <c r="H568" s="23">
        <v>66</v>
      </c>
      <c r="I568" s="24"/>
      <c r="J568" s="22"/>
      <c r="K568" s="23">
        <v>100</v>
      </c>
      <c r="L568" s="22"/>
      <c r="M568" s="9">
        <v>68</v>
      </c>
      <c r="N568" s="9">
        <v>85</v>
      </c>
      <c r="O568" s="9">
        <v>69</v>
      </c>
      <c r="P568" s="9">
        <v>50</v>
      </c>
      <c r="Q568" s="23">
        <v>48</v>
      </c>
      <c r="R568" s="22"/>
      <c r="S568" s="8">
        <v>543</v>
      </c>
      <c r="U568">
        <v>0</v>
      </c>
      <c r="V568">
        <v>0</v>
      </c>
      <c r="W568" s="14">
        <f t="shared" si="56"/>
        <v>57</v>
      </c>
      <c r="X568" s="14">
        <f t="shared" si="57"/>
        <v>66</v>
      </c>
      <c r="Y568" s="14">
        <f t="shared" si="58"/>
        <v>100</v>
      </c>
      <c r="Z568" s="14">
        <f t="shared" si="59"/>
        <v>68</v>
      </c>
      <c r="AA568" s="14">
        <f t="shared" si="60"/>
        <v>85</v>
      </c>
      <c r="AB568" s="14">
        <f t="shared" si="61"/>
        <v>69</v>
      </c>
      <c r="AC568" s="14">
        <f t="shared" si="62"/>
        <v>50</v>
      </c>
      <c r="AD568" s="14">
        <f t="shared" si="63"/>
        <v>50</v>
      </c>
    </row>
    <row r="569" spans="5:30">
      <c r="E569" s="6"/>
      <c r="F569" s="8" t="s">
        <v>52</v>
      </c>
      <c r="G569" s="9">
        <v>100</v>
      </c>
      <c r="H569" s="23">
        <v>100</v>
      </c>
      <c r="I569" s="24"/>
      <c r="J569" s="22"/>
      <c r="K569" s="23">
        <v>100</v>
      </c>
      <c r="L569" s="22"/>
      <c r="M569" s="9">
        <v>100</v>
      </c>
      <c r="N569" s="9">
        <v>100</v>
      </c>
      <c r="O569" s="9">
        <v>100</v>
      </c>
      <c r="P569" s="9">
        <v>50</v>
      </c>
      <c r="Q569" s="23">
        <v>50</v>
      </c>
      <c r="R569" s="22"/>
      <c r="S569" s="8">
        <v>700</v>
      </c>
      <c r="U569" t="s">
        <v>31</v>
      </c>
      <c r="V569" t="s">
        <v>33</v>
      </c>
      <c r="W569" s="14">
        <f t="shared" si="56"/>
        <v>100</v>
      </c>
      <c r="X569" s="14">
        <f t="shared" si="57"/>
        <v>100</v>
      </c>
      <c r="Y569" s="14">
        <f t="shared" si="58"/>
        <v>100</v>
      </c>
      <c r="Z569" s="14">
        <f t="shared" si="59"/>
        <v>100</v>
      </c>
      <c r="AA569" s="14">
        <f t="shared" si="60"/>
        <v>100</v>
      </c>
      <c r="AB569" s="14">
        <f t="shared" si="61"/>
        <v>100</v>
      </c>
      <c r="AC569" s="14">
        <f t="shared" si="62"/>
        <v>50</v>
      </c>
      <c r="AD569" s="14" t="str">
        <f t="shared" si="63"/>
        <v>OO+</v>
      </c>
    </row>
    <row r="570" spans="5:30">
      <c r="E570" s="4"/>
      <c r="F570" s="8" t="s">
        <v>54</v>
      </c>
      <c r="G570" s="9" t="s">
        <v>147</v>
      </c>
      <c r="H570" s="23" t="s">
        <v>109</v>
      </c>
      <c r="I570" s="24"/>
      <c r="J570" s="22"/>
      <c r="K570" s="23" t="s">
        <v>93</v>
      </c>
      <c r="L570" s="22"/>
      <c r="M570" s="9" t="s">
        <v>109</v>
      </c>
      <c r="N570" s="9" t="s">
        <v>122</v>
      </c>
      <c r="O570" s="9" t="s">
        <v>109</v>
      </c>
      <c r="P570" s="9" t="s">
        <v>93</v>
      </c>
      <c r="Q570" s="23" t="s">
        <v>93</v>
      </c>
      <c r="R570" s="22"/>
      <c r="S570" s="8" t="s">
        <v>33</v>
      </c>
      <c r="U570" t="s">
        <v>420</v>
      </c>
      <c r="V570" t="s">
        <v>36</v>
      </c>
      <c r="W570" s="14" t="str">
        <f t="shared" si="56"/>
        <v>BB+</v>
      </c>
      <c r="X570" s="14" t="str">
        <f t="shared" si="57"/>
        <v>AB+</v>
      </c>
      <c r="Y570" s="14" t="str">
        <f t="shared" si="58"/>
        <v>OO+</v>
      </c>
      <c r="Z570" s="14" t="str">
        <f t="shared" si="59"/>
        <v>AB+</v>
      </c>
      <c r="AA570" s="14" t="str">
        <f t="shared" si="60"/>
        <v>OA+</v>
      </c>
      <c r="AB570" s="14" t="str">
        <f t="shared" si="61"/>
        <v>AB+</v>
      </c>
      <c r="AC570" s="14" t="str">
        <f t="shared" si="62"/>
        <v>OO+</v>
      </c>
      <c r="AD570" s="14" t="str">
        <f t="shared" si="63"/>
        <v>Pass</v>
      </c>
    </row>
    <row r="571" spans="5:30">
      <c r="E571" s="11" t="s">
        <v>419</v>
      </c>
      <c r="F571" s="8" t="s">
        <v>58</v>
      </c>
      <c r="G571" s="9" t="s">
        <v>59</v>
      </c>
      <c r="H571" s="23" t="s">
        <v>59</v>
      </c>
      <c r="I571" s="24"/>
      <c r="J571" s="22"/>
      <c r="K571" s="23" t="s">
        <v>59</v>
      </c>
      <c r="L571" s="22"/>
      <c r="M571" s="9" t="s">
        <v>59</v>
      </c>
      <c r="N571" s="9" t="s">
        <v>59</v>
      </c>
      <c r="O571" s="9" t="s">
        <v>59</v>
      </c>
      <c r="P571" s="9" t="s">
        <v>59</v>
      </c>
      <c r="Q571" s="23" t="s">
        <v>59</v>
      </c>
      <c r="R571" s="22"/>
      <c r="S571" s="8" t="s">
        <v>33</v>
      </c>
      <c r="U571" t="s">
        <v>37</v>
      </c>
      <c r="V571" t="s">
        <v>33</v>
      </c>
      <c r="W571" s="14" t="str">
        <f t="shared" si="56"/>
        <v>Pass</v>
      </c>
      <c r="X571" s="14" t="str">
        <f t="shared" si="57"/>
        <v>Pass</v>
      </c>
      <c r="Y571" s="14" t="str">
        <f t="shared" si="58"/>
        <v>Pass</v>
      </c>
      <c r="Z571" s="14" t="str">
        <f t="shared" si="59"/>
        <v>Pass</v>
      </c>
      <c r="AA571" s="14" t="str">
        <f t="shared" si="60"/>
        <v>Pass</v>
      </c>
      <c r="AB571" s="14" t="str">
        <f t="shared" si="61"/>
        <v>Pass</v>
      </c>
      <c r="AC571" s="14" t="str">
        <f t="shared" si="62"/>
        <v>Pass</v>
      </c>
      <c r="AD571" s="14" t="str">
        <f t="shared" si="63"/>
        <v/>
      </c>
    </row>
    <row r="572" spans="5:30">
      <c r="E572" s="12" t="s">
        <v>33</v>
      </c>
      <c r="F572" s="12" t="s">
        <v>33</v>
      </c>
      <c r="G572" s="13" t="s">
        <v>33</v>
      </c>
      <c r="H572" s="20" t="s">
        <v>33</v>
      </c>
      <c r="I572" s="18"/>
      <c r="J572" s="18"/>
      <c r="K572" s="20" t="s">
        <v>33</v>
      </c>
      <c r="L572" s="18"/>
      <c r="M572" s="13" t="s">
        <v>33</v>
      </c>
      <c r="N572" s="13" t="s">
        <v>33</v>
      </c>
      <c r="O572" s="13" t="s">
        <v>33</v>
      </c>
      <c r="P572" s="13" t="s">
        <v>33</v>
      </c>
      <c r="Q572" s="20" t="s">
        <v>33</v>
      </c>
      <c r="R572" s="18"/>
      <c r="S572" s="13" t="s">
        <v>33</v>
      </c>
      <c r="U572" t="s">
        <v>428</v>
      </c>
      <c r="V572" t="s">
        <v>33</v>
      </c>
      <c r="W572" s="14" t="str">
        <f t="shared" si="56"/>
        <v/>
      </c>
      <c r="X572" s="14" t="str">
        <f t="shared" si="57"/>
        <v/>
      </c>
      <c r="Y572" s="14" t="str">
        <f t="shared" si="58"/>
        <v/>
      </c>
      <c r="Z572" s="14" t="str">
        <f t="shared" si="59"/>
        <v/>
      </c>
      <c r="AA572" s="14" t="str">
        <f t="shared" si="60"/>
        <v/>
      </c>
      <c r="AB572" s="14" t="str">
        <f t="shared" si="61"/>
        <v/>
      </c>
      <c r="AC572" s="14" t="str">
        <f t="shared" si="62"/>
        <v/>
      </c>
      <c r="AD572" s="14">
        <f t="shared" si="63"/>
        <v>0</v>
      </c>
    </row>
    <row r="573" spans="5:30" ht="0" hidden="1" customHeight="1">
      <c r="U573">
        <v>0</v>
      </c>
      <c r="V573">
        <v>0</v>
      </c>
      <c r="W573" s="14">
        <f t="shared" si="56"/>
        <v>0</v>
      </c>
      <c r="X573" s="14">
        <f t="shared" si="57"/>
        <v>0</v>
      </c>
      <c r="Y573" s="14">
        <f t="shared" si="58"/>
        <v>0</v>
      </c>
      <c r="Z573" s="14">
        <f t="shared" si="59"/>
        <v>0</v>
      </c>
      <c r="AA573" s="14">
        <f t="shared" si="60"/>
        <v>0</v>
      </c>
      <c r="AB573" s="14">
        <f t="shared" si="61"/>
        <v>0</v>
      </c>
      <c r="AC573" s="14">
        <f t="shared" si="62"/>
        <v>0</v>
      </c>
      <c r="AD573" s="14">
        <f t="shared" si="63"/>
        <v>0</v>
      </c>
    </row>
    <row r="574" spans="5:30" ht="0.6" customHeight="1">
      <c r="U574">
        <v>0</v>
      </c>
      <c r="V574">
        <v>25</v>
      </c>
      <c r="W574" s="14">
        <f t="shared" si="56"/>
        <v>0</v>
      </c>
      <c r="X574" s="14">
        <f t="shared" si="57"/>
        <v>0</v>
      </c>
      <c r="Y574" s="14">
        <f t="shared" si="58"/>
        <v>0</v>
      </c>
      <c r="Z574" s="14">
        <f t="shared" si="59"/>
        <v>0</v>
      </c>
      <c r="AA574" s="14">
        <f t="shared" si="60"/>
        <v>0</v>
      </c>
      <c r="AB574" s="14">
        <f t="shared" si="61"/>
        <v>0</v>
      </c>
      <c r="AC574" s="14">
        <f t="shared" si="62"/>
        <v>0</v>
      </c>
      <c r="AD574" s="14" t="str">
        <f t="shared" si="63"/>
        <v/>
      </c>
    </row>
    <row r="575" spans="5:30">
      <c r="E575" s="4"/>
      <c r="F575" s="3" t="s">
        <v>32</v>
      </c>
      <c r="G575" s="5" t="s">
        <v>33</v>
      </c>
      <c r="H575" s="32" t="s">
        <v>33</v>
      </c>
      <c r="I575" s="18"/>
      <c r="J575" s="18"/>
      <c r="K575" s="32" t="s">
        <v>33</v>
      </c>
      <c r="L575" s="18"/>
      <c r="M575" s="5" t="s">
        <v>33</v>
      </c>
      <c r="N575" s="5" t="s">
        <v>33</v>
      </c>
      <c r="O575" s="5" t="s">
        <v>33</v>
      </c>
      <c r="P575" s="5" t="s">
        <v>33</v>
      </c>
      <c r="Q575" s="32" t="s">
        <v>33</v>
      </c>
      <c r="R575" s="18"/>
      <c r="S575" s="5" t="s">
        <v>33</v>
      </c>
      <c r="U575" t="s">
        <v>46</v>
      </c>
      <c r="V575" t="s">
        <v>33</v>
      </c>
      <c r="W575" s="14" t="str">
        <f t="shared" si="56"/>
        <v/>
      </c>
      <c r="X575" s="14" t="str">
        <f t="shared" si="57"/>
        <v/>
      </c>
      <c r="Y575" s="14" t="str">
        <f t="shared" si="58"/>
        <v/>
      </c>
      <c r="Z575" s="14" t="str">
        <f t="shared" si="59"/>
        <v/>
      </c>
      <c r="AA575" s="14" t="str">
        <f t="shared" si="60"/>
        <v/>
      </c>
      <c r="AB575" s="14" t="str">
        <f t="shared" si="61"/>
        <v/>
      </c>
      <c r="AC575" s="14" t="str">
        <f t="shared" si="62"/>
        <v/>
      </c>
      <c r="AD575" s="14" t="str">
        <f t="shared" si="63"/>
        <v>COMRRSN302</v>
      </c>
    </row>
    <row r="576" spans="5:30" ht="21">
      <c r="E576" s="4"/>
      <c r="F576" s="7" t="s">
        <v>35</v>
      </c>
      <c r="G576" s="7" t="s">
        <v>5</v>
      </c>
      <c r="H576" s="30" t="s">
        <v>7</v>
      </c>
      <c r="I576" s="24"/>
      <c r="J576" s="22"/>
      <c r="K576" s="30" t="s">
        <v>9</v>
      </c>
      <c r="L576" s="22"/>
      <c r="M576" s="7" t="s">
        <v>11</v>
      </c>
      <c r="N576" s="7" t="s">
        <v>15</v>
      </c>
      <c r="O576" s="7" t="s">
        <v>17</v>
      </c>
      <c r="P576" s="7" t="s">
        <v>21</v>
      </c>
      <c r="Q576" s="30" t="s">
        <v>27</v>
      </c>
      <c r="R576" s="22"/>
      <c r="S576" s="7" t="s">
        <v>36</v>
      </c>
      <c r="U576" t="s">
        <v>48</v>
      </c>
      <c r="V576">
        <v>193</v>
      </c>
      <c r="W576" s="14" t="str">
        <f t="shared" si="56"/>
        <v>BBABMCN301</v>
      </c>
      <c r="X576" s="14" t="str">
        <f t="shared" si="57"/>
        <v>BBABMCN302</v>
      </c>
      <c r="Y576" s="14" t="str">
        <f t="shared" si="58"/>
        <v>BBABMCN303</v>
      </c>
      <c r="Z576" s="14" t="str">
        <f t="shared" si="59"/>
        <v>BBAENLN301</v>
      </c>
      <c r="AA576" s="14" t="str">
        <f t="shared" si="60"/>
        <v>BBAKALN302</v>
      </c>
      <c r="AB576" s="14" t="str">
        <f t="shared" si="61"/>
        <v>BCACAEN302</v>
      </c>
      <c r="AC576" s="14" t="str">
        <f t="shared" si="62"/>
        <v>COMFISN301</v>
      </c>
      <c r="AD576" s="14" t="str">
        <f t="shared" si="63"/>
        <v xml:space="preserve"> - - + - - </v>
      </c>
    </row>
    <row r="577" spans="5:30" ht="22.5">
      <c r="E577" s="6" t="s">
        <v>421</v>
      </c>
      <c r="F577" s="8" t="s">
        <v>39</v>
      </c>
      <c r="G577" s="9" t="s">
        <v>422</v>
      </c>
      <c r="H577" s="23" t="s">
        <v>423</v>
      </c>
      <c r="I577" s="24"/>
      <c r="J577" s="22"/>
      <c r="K577" s="23" t="s">
        <v>424</v>
      </c>
      <c r="L577" s="22"/>
      <c r="M577" s="9" t="s">
        <v>425</v>
      </c>
      <c r="N577" s="9" t="s">
        <v>426</v>
      </c>
      <c r="O577" s="9" t="s">
        <v>316</v>
      </c>
      <c r="P577" s="9" t="s">
        <v>427</v>
      </c>
      <c r="Q577" s="23" t="s">
        <v>43</v>
      </c>
      <c r="R577" s="22"/>
      <c r="S577" s="8" t="s">
        <v>33</v>
      </c>
      <c r="U577" t="s">
        <v>50</v>
      </c>
      <c r="V577">
        <v>512</v>
      </c>
      <c r="W577" s="14" t="str">
        <f t="shared" si="56"/>
        <v>41.00 + 24.00</v>
      </c>
      <c r="X577" s="14" t="str">
        <f t="shared" si="57"/>
        <v>34.00 + 30.00</v>
      </c>
      <c r="Y577" s="14" t="str">
        <f t="shared" si="58"/>
        <v>53.00 + 38.00</v>
      </c>
      <c r="Z577" s="14" t="str">
        <f t="shared" si="59"/>
        <v>40.00 + 28.00</v>
      </c>
      <c r="AA577" s="14" t="str">
        <f t="shared" si="60"/>
        <v>48.00 + 37.00</v>
      </c>
      <c r="AB577" s="14" t="str">
        <f t="shared" si="61"/>
        <v>24.00 + 22.00</v>
      </c>
      <c r="AC577" s="14" t="str">
        <f t="shared" si="62"/>
        <v>29.00 + 14.00</v>
      </c>
      <c r="AD577" s="14" t="str">
        <f t="shared" si="63"/>
        <v xml:space="preserve"> - - +50.00</v>
      </c>
    </row>
    <row r="578" spans="5:30">
      <c r="E578" s="25"/>
      <c r="F578" s="8" t="s">
        <v>42</v>
      </c>
      <c r="G578" s="9" t="s">
        <v>43</v>
      </c>
      <c r="H578" s="23" t="s">
        <v>43</v>
      </c>
      <c r="I578" s="24"/>
      <c r="J578" s="22"/>
      <c r="K578" s="23" t="s">
        <v>43</v>
      </c>
      <c r="L578" s="22"/>
      <c r="M578" s="9" t="s">
        <v>43</v>
      </c>
      <c r="N578" s="9" t="s">
        <v>43</v>
      </c>
      <c r="O578" s="9" t="s">
        <v>43</v>
      </c>
      <c r="P578" s="9" t="s">
        <v>43</v>
      </c>
      <c r="Q578" s="23" t="s">
        <v>91</v>
      </c>
      <c r="R578" s="22"/>
      <c r="S578" s="8" t="s">
        <v>33</v>
      </c>
      <c r="U578" t="s">
        <v>51</v>
      </c>
      <c r="V578">
        <v>700</v>
      </c>
      <c r="W578" s="14" t="str">
        <f t="shared" si="56"/>
        <v xml:space="preserve"> - - + - - </v>
      </c>
      <c r="X578" s="14" t="str">
        <f t="shared" si="57"/>
        <v xml:space="preserve"> - - + - - </v>
      </c>
      <c r="Y578" s="14" t="str">
        <f t="shared" si="58"/>
        <v xml:space="preserve"> - - + - - </v>
      </c>
      <c r="Z578" s="14" t="str">
        <f t="shared" si="59"/>
        <v xml:space="preserve"> - - + - - </v>
      </c>
      <c r="AA578" s="14" t="str">
        <f t="shared" si="60"/>
        <v xml:space="preserve"> - - + - - </v>
      </c>
      <c r="AB578" s="14" t="str">
        <f t="shared" si="61"/>
        <v xml:space="preserve"> - - + - - </v>
      </c>
      <c r="AC578" s="14" t="str">
        <f t="shared" si="62"/>
        <v xml:space="preserve"> - - + - - </v>
      </c>
      <c r="AD578" s="14" t="str">
        <f t="shared" si="63"/>
        <v/>
      </c>
    </row>
    <row r="579" spans="5:30">
      <c r="E579" s="27"/>
      <c r="F579" s="8" t="s">
        <v>44</v>
      </c>
      <c r="G579" s="9" t="s">
        <v>33</v>
      </c>
      <c r="H579" s="23" t="s">
        <v>33</v>
      </c>
      <c r="I579" s="24"/>
      <c r="J579" s="22"/>
      <c r="K579" s="23" t="s">
        <v>33</v>
      </c>
      <c r="L579" s="22"/>
      <c r="M579" s="9" t="s">
        <v>33</v>
      </c>
      <c r="N579" s="9" t="s">
        <v>33</v>
      </c>
      <c r="O579" s="9" t="s">
        <v>33</v>
      </c>
      <c r="P579" s="9" t="s">
        <v>33</v>
      </c>
      <c r="Q579" s="23" t="s">
        <v>33</v>
      </c>
      <c r="R579" s="22"/>
      <c r="S579" s="8">
        <v>0</v>
      </c>
      <c r="U579" t="s">
        <v>121</v>
      </c>
      <c r="V579" t="s">
        <v>33</v>
      </c>
      <c r="W579" s="14" t="str">
        <f t="shared" si="56"/>
        <v/>
      </c>
      <c r="X579" s="14" t="str">
        <f t="shared" si="57"/>
        <v/>
      </c>
      <c r="Y579" s="14" t="str">
        <f t="shared" si="58"/>
        <v/>
      </c>
      <c r="Z579" s="14" t="str">
        <f t="shared" si="59"/>
        <v/>
      </c>
      <c r="AA579" s="14" t="str">
        <f t="shared" si="60"/>
        <v/>
      </c>
      <c r="AB579" s="14" t="str">
        <f t="shared" si="61"/>
        <v/>
      </c>
      <c r="AC579" s="14" t="str">
        <f t="shared" si="62"/>
        <v/>
      </c>
      <c r="AD579" s="14">
        <f t="shared" si="63"/>
        <v>2</v>
      </c>
    </row>
    <row r="580" spans="5:30">
      <c r="E580" s="29"/>
      <c r="F580" s="8" t="s">
        <v>45</v>
      </c>
      <c r="G580" s="9">
        <v>4</v>
      </c>
      <c r="H580" s="23">
        <v>4</v>
      </c>
      <c r="I580" s="24"/>
      <c r="J580" s="22"/>
      <c r="K580" s="23">
        <v>4</v>
      </c>
      <c r="L580" s="22"/>
      <c r="M580" s="9">
        <v>3</v>
      </c>
      <c r="N580" s="9">
        <v>3</v>
      </c>
      <c r="O580" s="9">
        <v>3</v>
      </c>
      <c r="P580" s="9">
        <v>2</v>
      </c>
      <c r="Q580" s="23">
        <v>2</v>
      </c>
      <c r="R580" s="22"/>
      <c r="S580" s="8">
        <v>25</v>
      </c>
      <c r="U580" t="s">
        <v>56</v>
      </c>
      <c r="V580" t="s">
        <v>33</v>
      </c>
      <c r="W580" s="14">
        <f t="shared" si="56"/>
        <v>4</v>
      </c>
      <c r="X580" s="14">
        <f t="shared" si="57"/>
        <v>4</v>
      </c>
      <c r="Y580" s="14">
        <f t="shared" si="58"/>
        <v>4</v>
      </c>
      <c r="Z580" s="14">
        <f t="shared" si="59"/>
        <v>3</v>
      </c>
      <c r="AA580" s="14">
        <f t="shared" si="60"/>
        <v>3</v>
      </c>
      <c r="AB580" s="14">
        <f t="shared" si="61"/>
        <v>3</v>
      </c>
      <c r="AC580" s="14">
        <f t="shared" si="62"/>
        <v>2</v>
      </c>
      <c r="AD580" s="14">
        <f t="shared" si="63"/>
        <v>10</v>
      </c>
    </row>
    <row r="581" spans="5:30">
      <c r="E581" s="6">
        <v>7.72</v>
      </c>
      <c r="F581" s="8" t="s">
        <v>47</v>
      </c>
      <c r="G581" s="9">
        <v>7</v>
      </c>
      <c r="H581" s="23">
        <v>6.5</v>
      </c>
      <c r="I581" s="24"/>
      <c r="J581" s="22"/>
      <c r="K581" s="23">
        <v>9.5</v>
      </c>
      <c r="L581" s="22"/>
      <c r="M581" s="9">
        <v>7</v>
      </c>
      <c r="N581" s="9">
        <v>9</v>
      </c>
      <c r="O581" s="9">
        <v>5</v>
      </c>
      <c r="P581" s="9">
        <v>9</v>
      </c>
      <c r="Q581" s="23">
        <v>10</v>
      </c>
      <c r="R581" s="22"/>
      <c r="S581" s="8" t="s">
        <v>33</v>
      </c>
      <c r="U581" t="s">
        <v>33</v>
      </c>
      <c r="V581" t="s">
        <v>33</v>
      </c>
      <c r="W581" s="14">
        <f t="shared" si="56"/>
        <v>7</v>
      </c>
      <c r="X581" s="14">
        <f t="shared" si="57"/>
        <v>6.5</v>
      </c>
      <c r="Y581" s="14">
        <f t="shared" si="58"/>
        <v>9.5</v>
      </c>
      <c r="Z581" s="14">
        <f t="shared" si="59"/>
        <v>7</v>
      </c>
      <c r="AA581" s="14">
        <f t="shared" si="60"/>
        <v>9</v>
      </c>
      <c r="AB581" s="14">
        <f t="shared" si="61"/>
        <v>5</v>
      </c>
      <c r="AC581" s="14">
        <f t="shared" si="62"/>
        <v>9</v>
      </c>
      <c r="AD581" s="14">
        <f t="shared" si="63"/>
        <v>20</v>
      </c>
    </row>
    <row r="582" spans="5:30">
      <c r="E582" s="10">
        <v>7.24</v>
      </c>
      <c r="F582" s="8" t="s">
        <v>49</v>
      </c>
      <c r="G582" s="9">
        <v>28</v>
      </c>
      <c r="H582" s="23">
        <v>26</v>
      </c>
      <c r="I582" s="24"/>
      <c r="J582" s="22"/>
      <c r="K582" s="23">
        <v>38</v>
      </c>
      <c r="L582" s="22"/>
      <c r="M582" s="9">
        <v>21</v>
      </c>
      <c r="N582" s="9">
        <v>27</v>
      </c>
      <c r="O582" s="9">
        <v>15</v>
      </c>
      <c r="P582" s="9">
        <v>18</v>
      </c>
      <c r="Q582" s="23">
        <v>20</v>
      </c>
      <c r="R582" s="22"/>
      <c r="S582" s="8">
        <v>193</v>
      </c>
      <c r="U582">
        <v>0</v>
      </c>
      <c r="V582">
        <v>0</v>
      </c>
      <c r="W582" s="14">
        <f t="shared" si="56"/>
        <v>28</v>
      </c>
      <c r="X582" s="14">
        <f t="shared" si="57"/>
        <v>26</v>
      </c>
      <c r="Y582" s="14">
        <f t="shared" si="58"/>
        <v>38</v>
      </c>
      <c r="Z582" s="14">
        <f t="shared" si="59"/>
        <v>21</v>
      </c>
      <c r="AA582" s="14">
        <f t="shared" si="60"/>
        <v>27</v>
      </c>
      <c r="AB582" s="14">
        <f t="shared" si="61"/>
        <v>15</v>
      </c>
      <c r="AC582" s="14">
        <f t="shared" si="62"/>
        <v>18</v>
      </c>
      <c r="AD582" s="14">
        <f t="shared" si="63"/>
        <v>50</v>
      </c>
    </row>
    <row r="583" spans="5:30">
      <c r="E583" s="4"/>
      <c r="F583" s="8" t="s">
        <v>36</v>
      </c>
      <c r="G583" s="9">
        <v>65</v>
      </c>
      <c r="H583" s="23">
        <v>64</v>
      </c>
      <c r="I583" s="24"/>
      <c r="J583" s="22"/>
      <c r="K583" s="23">
        <v>91</v>
      </c>
      <c r="L583" s="22"/>
      <c r="M583" s="9">
        <v>68</v>
      </c>
      <c r="N583" s="9">
        <v>85</v>
      </c>
      <c r="O583" s="9">
        <v>46</v>
      </c>
      <c r="P583" s="9">
        <v>43</v>
      </c>
      <c r="Q583" s="23">
        <v>50</v>
      </c>
      <c r="R583" s="22"/>
      <c r="S583" s="8">
        <v>512</v>
      </c>
      <c r="U583" t="s">
        <v>31</v>
      </c>
      <c r="V583" t="s">
        <v>33</v>
      </c>
      <c r="W583" s="14">
        <f t="shared" ref="W583:W646" si="64">$G583</f>
        <v>65</v>
      </c>
      <c r="X583" s="14">
        <f t="shared" ref="X583:X646" si="65">$H583</f>
        <v>64</v>
      </c>
      <c r="Y583" s="14">
        <f t="shared" ref="Y583:Y646" si="66">$K583</f>
        <v>91</v>
      </c>
      <c r="Z583" s="14">
        <f t="shared" ref="Z583:Z646" si="67">$M583</f>
        <v>68</v>
      </c>
      <c r="AA583" s="14">
        <f t="shared" ref="AA583:AA646" si="68">$N583</f>
        <v>85</v>
      </c>
      <c r="AB583" s="14">
        <f t="shared" ref="AB583:AB646" si="69">$O583</f>
        <v>46</v>
      </c>
      <c r="AC583" s="14">
        <f t="shared" ref="AC583:AC646" si="70">$P583</f>
        <v>43</v>
      </c>
      <c r="AD583" s="14">
        <f t="shared" ref="AD583:AD646" si="71">$Q584</f>
        <v>50</v>
      </c>
    </row>
    <row r="584" spans="5:30">
      <c r="E584" s="6"/>
      <c r="F584" s="8" t="s">
        <v>52</v>
      </c>
      <c r="G584" s="9">
        <v>100</v>
      </c>
      <c r="H584" s="23">
        <v>100</v>
      </c>
      <c r="I584" s="24"/>
      <c r="J584" s="22"/>
      <c r="K584" s="23">
        <v>100</v>
      </c>
      <c r="L584" s="22"/>
      <c r="M584" s="9">
        <v>100</v>
      </c>
      <c r="N584" s="9">
        <v>100</v>
      </c>
      <c r="O584" s="9">
        <v>100</v>
      </c>
      <c r="P584" s="9">
        <v>50</v>
      </c>
      <c r="Q584" s="23">
        <v>50</v>
      </c>
      <c r="R584" s="22"/>
      <c r="S584" s="8">
        <v>700</v>
      </c>
      <c r="U584" t="s">
        <v>430</v>
      </c>
      <c r="V584" t="s">
        <v>36</v>
      </c>
      <c r="W584" s="14">
        <f t="shared" si="64"/>
        <v>100</v>
      </c>
      <c r="X584" s="14">
        <f t="shared" si="65"/>
        <v>100</v>
      </c>
      <c r="Y584" s="14">
        <f t="shared" si="66"/>
        <v>100</v>
      </c>
      <c r="Z584" s="14">
        <f t="shared" si="67"/>
        <v>100</v>
      </c>
      <c r="AA584" s="14">
        <f t="shared" si="68"/>
        <v>100</v>
      </c>
      <c r="AB584" s="14">
        <f t="shared" si="69"/>
        <v>100</v>
      </c>
      <c r="AC584" s="14">
        <f t="shared" si="70"/>
        <v>50</v>
      </c>
      <c r="AD584" s="14" t="str">
        <f t="shared" si="71"/>
        <v>OO+</v>
      </c>
    </row>
    <row r="585" spans="5:30">
      <c r="E585" s="4"/>
      <c r="F585" s="8" t="s">
        <v>54</v>
      </c>
      <c r="G585" s="9" t="s">
        <v>109</v>
      </c>
      <c r="H585" s="23" t="s">
        <v>76</v>
      </c>
      <c r="I585" s="24"/>
      <c r="J585" s="22"/>
      <c r="K585" s="23" t="s">
        <v>94</v>
      </c>
      <c r="L585" s="22"/>
      <c r="M585" s="9" t="s">
        <v>109</v>
      </c>
      <c r="N585" s="9" t="s">
        <v>122</v>
      </c>
      <c r="O585" s="9" t="s">
        <v>55</v>
      </c>
      <c r="P585" s="9" t="s">
        <v>122</v>
      </c>
      <c r="Q585" s="23" t="s">
        <v>93</v>
      </c>
      <c r="R585" s="22"/>
      <c r="S585" s="8" t="s">
        <v>33</v>
      </c>
      <c r="U585" t="s">
        <v>37</v>
      </c>
      <c r="V585" t="s">
        <v>33</v>
      </c>
      <c r="W585" s="14" t="str">
        <f t="shared" si="64"/>
        <v>AB+</v>
      </c>
      <c r="X585" s="14" t="str">
        <f t="shared" si="65"/>
        <v>AB</v>
      </c>
      <c r="Y585" s="14" t="str">
        <f t="shared" si="66"/>
        <v>OO</v>
      </c>
      <c r="Z585" s="14" t="str">
        <f t="shared" si="67"/>
        <v>AB+</v>
      </c>
      <c r="AA585" s="14" t="str">
        <f t="shared" si="68"/>
        <v>OA+</v>
      </c>
      <c r="AB585" s="14" t="str">
        <f t="shared" si="69"/>
        <v>BC</v>
      </c>
      <c r="AC585" s="14" t="str">
        <f t="shared" si="70"/>
        <v>OA+</v>
      </c>
      <c r="AD585" s="14" t="str">
        <f t="shared" si="71"/>
        <v>Pass</v>
      </c>
    </row>
    <row r="586" spans="5:30">
      <c r="E586" s="11" t="s">
        <v>429</v>
      </c>
      <c r="F586" s="8" t="s">
        <v>58</v>
      </c>
      <c r="G586" s="9" t="s">
        <v>59</v>
      </c>
      <c r="H586" s="23" t="s">
        <v>59</v>
      </c>
      <c r="I586" s="24"/>
      <c r="J586" s="22"/>
      <c r="K586" s="23" t="s">
        <v>59</v>
      </c>
      <c r="L586" s="22"/>
      <c r="M586" s="9" t="s">
        <v>59</v>
      </c>
      <c r="N586" s="9" t="s">
        <v>59</v>
      </c>
      <c r="O586" s="9" t="s">
        <v>59</v>
      </c>
      <c r="P586" s="9" t="s">
        <v>59</v>
      </c>
      <c r="Q586" s="23" t="s">
        <v>59</v>
      </c>
      <c r="R586" s="22"/>
      <c r="S586" s="8" t="s">
        <v>33</v>
      </c>
      <c r="U586" t="s">
        <v>436</v>
      </c>
      <c r="V586" t="s">
        <v>33</v>
      </c>
      <c r="W586" s="14" t="str">
        <f t="shared" si="64"/>
        <v>Pass</v>
      </c>
      <c r="X586" s="14" t="str">
        <f t="shared" si="65"/>
        <v>Pass</v>
      </c>
      <c r="Y586" s="14" t="str">
        <f t="shared" si="66"/>
        <v>Pass</v>
      </c>
      <c r="Z586" s="14" t="str">
        <f t="shared" si="67"/>
        <v>Pass</v>
      </c>
      <c r="AA586" s="14" t="str">
        <f t="shared" si="68"/>
        <v>Pass</v>
      </c>
      <c r="AB586" s="14" t="str">
        <f t="shared" si="69"/>
        <v>Pass</v>
      </c>
      <c r="AC586" s="14" t="str">
        <f t="shared" si="70"/>
        <v>Pass</v>
      </c>
      <c r="AD586" s="14" t="str">
        <f t="shared" si="71"/>
        <v/>
      </c>
    </row>
    <row r="587" spans="5:30">
      <c r="E587" s="12" t="s">
        <v>33</v>
      </c>
      <c r="F587" s="12" t="s">
        <v>33</v>
      </c>
      <c r="G587" s="13" t="s">
        <v>33</v>
      </c>
      <c r="H587" s="20" t="s">
        <v>33</v>
      </c>
      <c r="I587" s="18"/>
      <c r="J587" s="18"/>
      <c r="K587" s="20" t="s">
        <v>33</v>
      </c>
      <c r="L587" s="18"/>
      <c r="M587" s="13" t="s">
        <v>33</v>
      </c>
      <c r="N587" s="13" t="s">
        <v>33</v>
      </c>
      <c r="O587" s="13" t="s">
        <v>33</v>
      </c>
      <c r="P587" s="13" t="s">
        <v>33</v>
      </c>
      <c r="Q587" s="20" t="s">
        <v>33</v>
      </c>
      <c r="R587" s="18"/>
      <c r="S587" s="13" t="s">
        <v>33</v>
      </c>
      <c r="U587">
        <v>0</v>
      </c>
      <c r="V587">
        <v>0</v>
      </c>
      <c r="W587" s="14" t="str">
        <f t="shared" si="64"/>
        <v/>
      </c>
      <c r="X587" s="14" t="str">
        <f t="shared" si="65"/>
        <v/>
      </c>
      <c r="Y587" s="14" t="str">
        <f t="shared" si="66"/>
        <v/>
      </c>
      <c r="Z587" s="14" t="str">
        <f t="shared" si="67"/>
        <v/>
      </c>
      <c r="AA587" s="14" t="str">
        <f t="shared" si="68"/>
        <v/>
      </c>
      <c r="AB587" s="14" t="str">
        <f t="shared" si="69"/>
        <v/>
      </c>
      <c r="AC587" s="14" t="str">
        <f t="shared" si="70"/>
        <v/>
      </c>
      <c r="AD587" s="14">
        <f t="shared" si="71"/>
        <v>0</v>
      </c>
    </row>
    <row r="588" spans="5:30" ht="0.6" customHeight="1">
      <c r="U588">
        <v>0</v>
      </c>
      <c r="V588">
        <v>25</v>
      </c>
      <c r="W588" s="14">
        <f t="shared" si="64"/>
        <v>0</v>
      </c>
      <c r="X588" s="14">
        <f t="shared" si="65"/>
        <v>0</v>
      </c>
      <c r="Y588" s="14">
        <f t="shared" si="66"/>
        <v>0</v>
      </c>
      <c r="Z588" s="14">
        <f t="shared" si="67"/>
        <v>0</v>
      </c>
      <c r="AA588" s="14">
        <f t="shared" si="68"/>
        <v>0</v>
      </c>
      <c r="AB588" s="14">
        <f t="shared" si="69"/>
        <v>0</v>
      </c>
      <c r="AC588" s="14">
        <f t="shared" si="70"/>
        <v>0</v>
      </c>
      <c r="AD588" s="14" t="str">
        <f t="shared" si="71"/>
        <v/>
      </c>
    </row>
    <row r="589" spans="5:30">
      <c r="E589" s="4"/>
      <c r="F589" s="3" t="s">
        <v>32</v>
      </c>
      <c r="G589" s="5" t="s">
        <v>33</v>
      </c>
      <c r="H589" s="32" t="s">
        <v>33</v>
      </c>
      <c r="I589" s="18"/>
      <c r="J589" s="18"/>
      <c r="K589" s="32" t="s">
        <v>33</v>
      </c>
      <c r="L589" s="18"/>
      <c r="M589" s="5" t="s">
        <v>33</v>
      </c>
      <c r="N589" s="5" t="s">
        <v>33</v>
      </c>
      <c r="O589" s="5" t="s">
        <v>33</v>
      </c>
      <c r="P589" s="5" t="s">
        <v>33</v>
      </c>
      <c r="Q589" s="32" t="s">
        <v>33</v>
      </c>
      <c r="R589" s="18"/>
      <c r="S589" s="5" t="s">
        <v>33</v>
      </c>
      <c r="U589" t="s">
        <v>46</v>
      </c>
      <c r="V589" t="s">
        <v>33</v>
      </c>
      <c r="W589" s="14" t="str">
        <f t="shared" si="64"/>
        <v/>
      </c>
      <c r="X589" s="14" t="str">
        <f t="shared" si="65"/>
        <v/>
      </c>
      <c r="Y589" s="14" t="str">
        <f t="shared" si="66"/>
        <v/>
      </c>
      <c r="Z589" s="14" t="str">
        <f t="shared" si="67"/>
        <v/>
      </c>
      <c r="AA589" s="14" t="str">
        <f t="shared" si="68"/>
        <v/>
      </c>
      <c r="AB589" s="14" t="str">
        <f t="shared" si="69"/>
        <v/>
      </c>
      <c r="AC589" s="14" t="str">
        <f t="shared" si="70"/>
        <v/>
      </c>
      <c r="AD589" s="14" t="str">
        <f t="shared" si="71"/>
        <v>COMRRSN302</v>
      </c>
    </row>
    <row r="590" spans="5:30" ht="21">
      <c r="E590" s="4"/>
      <c r="F590" s="7" t="s">
        <v>35</v>
      </c>
      <c r="G590" s="7" t="s">
        <v>5</v>
      </c>
      <c r="H590" s="30" t="s">
        <v>7</v>
      </c>
      <c r="I590" s="24"/>
      <c r="J590" s="22"/>
      <c r="K590" s="30" t="s">
        <v>9</v>
      </c>
      <c r="L590" s="22"/>
      <c r="M590" s="7" t="s">
        <v>11</v>
      </c>
      <c r="N590" s="7" t="s">
        <v>15</v>
      </c>
      <c r="O590" s="7" t="s">
        <v>17</v>
      </c>
      <c r="P590" s="7" t="s">
        <v>21</v>
      </c>
      <c r="Q590" s="30" t="s">
        <v>27</v>
      </c>
      <c r="R590" s="22"/>
      <c r="S590" s="7" t="s">
        <v>36</v>
      </c>
      <c r="U590" t="s">
        <v>48</v>
      </c>
      <c r="V590">
        <v>207.5</v>
      </c>
      <c r="W590" s="14" t="str">
        <f t="shared" si="64"/>
        <v>BBABMCN301</v>
      </c>
      <c r="X590" s="14" t="str">
        <f t="shared" si="65"/>
        <v>BBABMCN302</v>
      </c>
      <c r="Y590" s="14" t="str">
        <f t="shared" si="66"/>
        <v>BBABMCN303</v>
      </c>
      <c r="Z590" s="14" t="str">
        <f t="shared" si="67"/>
        <v>BBAENLN301</v>
      </c>
      <c r="AA590" s="14" t="str">
        <f t="shared" si="68"/>
        <v>BBAKALN302</v>
      </c>
      <c r="AB590" s="14" t="str">
        <f t="shared" si="69"/>
        <v>BCACAEN302</v>
      </c>
      <c r="AC590" s="14" t="str">
        <f t="shared" si="70"/>
        <v>COMFISN301</v>
      </c>
      <c r="AD590" s="14" t="str">
        <f t="shared" si="71"/>
        <v xml:space="preserve"> - - + - - </v>
      </c>
    </row>
    <row r="591" spans="5:30" ht="22.5">
      <c r="E591" s="6" t="s">
        <v>431</v>
      </c>
      <c r="F591" s="8" t="s">
        <v>39</v>
      </c>
      <c r="G591" s="9" t="s">
        <v>236</v>
      </c>
      <c r="H591" s="23" t="s">
        <v>154</v>
      </c>
      <c r="I591" s="24"/>
      <c r="J591" s="22"/>
      <c r="K591" s="23" t="s">
        <v>432</v>
      </c>
      <c r="L591" s="22"/>
      <c r="M591" s="9" t="s">
        <v>433</v>
      </c>
      <c r="N591" s="9" t="s">
        <v>434</v>
      </c>
      <c r="O591" s="9" t="s">
        <v>347</v>
      </c>
      <c r="P591" s="9" t="s">
        <v>435</v>
      </c>
      <c r="Q591" s="23" t="s">
        <v>43</v>
      </c>
      <c r="R591" s="22"/>
      <c r="S591" s="8" t="s">
        <v>33</v>
      </c>
      <c r="U591" t="s">
        <v>50</v>
      </c>
      <c r="V591">
        <v>553</v>
      </c>
      <c r="W591" s="14" t="str">
        <f t="shared" si="64"/>
        <v>43.00 + 32.00</v>
      </c>
      <c r="X591" s="14" t="str">
        <f t="shared" si="65"/>
        <v>41.00 + 33.00</v>
      </c>
      <c r="Y591" s="14" t="str">
        <f t="shared" si="66"/>
        <v>48.00 + 40.00</v>
      </c>
      <c r="Z591" s="14" t="str">
        <f t="shared" si="67"/>
        <v>38.00 + 33.00</v>
      </c>
      <c r="AA591" s="14" t="str">
        <f t="shared" si="68"/>
        <v>54.00 + 36.00</v>
      </c>
      <c r="AB591" s="14" t="str">
        <f t="shared" si="69"/>
        <v>35.00 + 26.00</v>
      </c>
      <c r="AC591" s="14" t="str">
        <f t="shared" si="70"/>
        <v>30.00 + 16.00</v>
      </c>
      <c r="AD591" s="14" t="str">
        <f t="shared" si="71"/>
        <v xml:space="preserve"> - - +48.00</v>
      </c>
    </row>
    <row r="592" spans="5:30">
      <c r="E592" s="25"/>
      <c r="F592" s="8" t="s">
        <v>42</v>
      </c>
      <c r="G592" s="9" t="s">
        <v>43</v>
      </c>
      <c r="H592" s="23" t="s">
        <v>43</v>
      </c>
      <c r="I592" s="24"/>
      <c r="J592" s="22"/>
      <c r="K592" s="23" t="s">
        <v>43</v>
      </c>
      <c r="L592" s="22"/>
      <c r="M592" s="9" t="s">
        <v>43</v>
      </c>
      <c r="N592" s="9" t="s">
        <v>43</v>
      </c>
      <c r="O592" s="9" t="s">
        <v>43</v>
      </c>
      <c r="P592" s="9" t="s">
        <v>43</v>
      </c>
      <c r="Q592" s="23" t="s">
        <v>107</v>
      </c>
      <c r="R592" s="22"/>
      <c r="S592" s="8" t="s">
        <v>33</v>
      </c>
      <c r="U592" t="s">
        <v>51</v>
      </c>
      <c r="V592">
        <v>700</v>
      </c>
      <c r="W592" s="14" t="str">
        <f t="shared" si="64"/>
        <v xml:space="preserve"> - - + - - </v>
      </c>
      <c r="X592" s="14" t="str">
        <f t="shared" si="65"/>
        <v xml:space="preserve"> - - + - - </v>
      </c>
      <c r="Y592" s="14" t="str">
        <f t="shared" si="66"/>
        <v xml:space="preserve"> - - + - - </v>
      </c>
      <c r="Z592" s="14" t="str">
        <f t="shared" si="67"/>
        <v xml:space="preserve"> - - + - - </v>
      </c>
      <c r="AA592" s="14" t="str">
        <f t="shared" si="68"/>
        <v xml:space="preserve"> - - + - - </v>
      </c>
      <c r="AB592" s="14" t="str">
        <f t="shared" si="69"/>
        <v xml:space="preserve"> - - + - - </v>
      </c>
      <c r="AC592" s="14" t="str">
        <f t="shared" si="70"/>
        <v xml:space="preserve"> - - + - - </v>
      </c>
      <c r="AD592" s="14" t="str">
        <f t="shared" si="71"/>
        <v/>
      </c>
    </row>
    <row r="593" spans="5:30">
      <c r="E593" s="27"/>
      <c r="F593" s="8" t="s">
        <v>44</v>
      </c>
      <c r="G593" s="9" t="s">
        <v>33</v>
      </c>
      <c r="H593" s="23" t="s">
        <v>33</v>
      </c>
      <c r="I593" s="24"/>
      <c r="J593" s="22"/>
      <c r="K593" s="23" t="s">
        <v>33</v>
      </c>
      <c r="L593" s="22"/>
      <c r="M593" s="9" t="s">
        <v>33</v>
      </c>
      <c r="N593" s="9" t="s">
        <v>33</v>
      </c>
      <c r="O593" s="9" t="s">
        <v>33</v>
      </c>
      <c r="P593" s="9" t="s">
        <v>33</v>
      </c>
      <c r="Q593" s="23" t="s">
        <v>33</v>
      </c>
      <c r="R593" s="22"/>
      <c r="S593" s="8">
        <v>0</v>
      </c>
      <c r="U593" t="s">
        <v>159</v>
      </c>
      <c r="V593" t="s">
        <v>33</v>
      </c>
      <c r="W593" s="14" t="str">
        <f t="shared" si="64"/>
        <v/>
      </c>
      <c r="X593" s="14" t="str">
        <f t="shared" si="65"/>
        <v/>
      </c>
      <c r="Y593" s="14" t="str">
        <f t="shared" si="66"/>
        <v/>
      </c>
      <c r="Z593" s="14" t="str">
        <f t="shared" si="67"/>
        <v/>
      </c>
      <c r="AA593" s="14" t="str">
        <f t="shared" si="68"/>
        <v/>
      </c>
      <c r="AB593" s="14" t="str">
        <f t="shared" si="69"/>
        <v/>
      </c>
      <c r="AC593" s="14" t="str">
        <f t="shared" si="70"/>
        <v/>
      </c>
      <c r="AD593" s="14">
        <f t="shared" si="71"/>
        <v>2</v>
      </c>
    </row>
    <row r="594" spans="5:30">
      <c r="E594" s="29"/>
      <c r="F594" s="8" t="s">
        <v>45</v>
      </c>
      <c r="G594" s="9">
        <v>4</v>
      </c>
      <c r="H594" s="23">
        <v>4</v>
      </c>
      <c r="I594" s="24"/>
      <c r="J594" s="22"/>
      <c r="K594" s="23">
        <v>4</v>
      </c>
      <c r="L594" s="22"/>
      <c r="M594" s="9">
        <v>3</v>
      </c>
      <c r="N594" s="9">
        <v>3</v>
      </c>
      <c r="O594" s="9">
        <v>3</v>
      </c>
      <c r="P594" s="9">
        <v>2</v>
      </c>
      <c r="Q594" s="23">
        <v>2</v>
      </c>
      <c r="R594" s="22"/>
      <c r="S594" s="8">
        <v>25</v>
      </c>
      <c r="U594" t="s">
        <v>56</v>
      </c>
      <c r="V594" t="s">
        <v>33</v>
      </c>
      <c r="W594" s="14">
        <f t="shared" si="64"/>
        <v>4</v>
      </c>
      <c r="X594" s="14">
        <f t="shared" si="65"/>
        <v>4</v>
      </c>
      <c r="Y594" s="14">
        <f t="shared" si="66"/>
        <v>4</v>
      </c>
      <c r="Z594" s="14">
        <f t="shared" si="67"/>
        <v>3</v>
      </c>
      <c r="AA594" s="14">
        <f t="shared" si="68"/>
        <v>3</v>
      </c>
      <c r="AB594" s="14">
        <f t="shared" si="69"/>
        <v>3</v>
      </c>
      <c r="AC594" s="14">
        <f t="shared" si="70"/>
        <v>2</v>
      </c>
      <c r="AD594" s="14">
        <f t="shared" si="71"/>
        <v>10</v>
      </c>
    </row>
    <row r="595" spans="5:30">
      <c r="E595" s="6">
        <v>8.3000000000000007</v>
      </c>
      <c r="F595" s="8" t="s">
        <v>47</v>
      </c>
      <c r="G595" s="9">
        <v>8</v>
      </c>
      <c r="H595" s="23">
        <v>7.5</v>
      </c>
      <c r="I595" s="24"/>
      <c r="J595" s="22"/>
      <c r="K595" s="23">
        <v>9</v>
      </c>
      <c r="L595" s="22"/>
      <c r="M595" s="9">
        <v>7.5</v>
      </c>
      <c r="N595" s="9">
        <v>9.5</v>
      </c>
      <c r="O595" s="9">
        <v>6.5</v>
      </c>
      <c r="P595" s="9">
        <v>9.5</v>
      </c>
      <c r="Q595" s="23">
        <v>10</v>
      </c>
      <c r="R595" s="22"/>
      <c r="S595" s="8" t="s">
        <v>33</v>
      </c>
      <c r="U595" t="s">
        <v>33</v>
      </c>
      <c r="V595" t="s">
        <v>33</v>
      </c>
      <c r="W595" s="14">
        <f t="shared" si="64"/>
        <v>8</v>
      </c>
      <c r="X595" s="14">
        <f t="shared" si="65"/>
        <v>7.5</v>
      </c>
      <c r="Y595" s="14">
        <f t="shared" si="66"/>
        <v>9</v>
      </c>
      <c r="Z595" s="14">
        <f t="shared" si="67"/>
        <v>7.5</v>
      </c>
      <c r="AA595" s="14">
        <f t="shared" si="68"/>
        <v>9.5</v>
      </c>
      <c r="AB595" s="14">
        <f t="shared" si="69"/>
        <v>6.5</v>
      </c>
      <c r="AC595" s="14">
        <f t="shared" si="70"/>
        <v>9.5</v>
      </c>
      <c r="AD595" s="14">
        <f t="shared" si="71"/>
        <v>20</v>
      </c>
    </row>
    <row r="596" spans="5:30">
      <c r="E596" s="10">
        <v>8.1999999999999993</v>
      </c>
      <c r="F596" s="8" t="s">
        <v>49</v>
      </c>
      <c r="G596" s="9">
        <v>32</v>
      </c>
      <c r="H596" s="23">
        <v>30</v>
      </c>
      <c r="I596" s="24"/>
      <c r="J596" s="22"/>
      <c r="K596" s="23">
        <v>36</v>
      </c>
      <c r="L596" s="22"/>
      <c r="M596" s="9">
        <v>22.5</v>
      </c>
      <c r="N596" s="9">
        <v>28.5</v>
      </c>
      <c r="O596" s="9">
        <v>19.5</v>
      </c>
      <c r="P596" s="9">
        <v>19</v>
      </c>
      <c r="Q596" s="23">
        <v>20</v>
      </c>
      <c r="R596" s="22"/>
      <c r="S596" s="8">
        <v>207.5</v>
      </c>
      <c r="U596">
        <v>0</v>
      </c>
      <c r="V596">
        <v>0</v>
      </c>
      <c r="W596" s="14">
        <f t="shared" si="64"/>
        <v>32</v>
      </c>
      <c r="X596" s="14">
        <f t="shared" si="65"/>
        <v>30</v>
      </c>
      <c r="Y596" s="14">
        <f t="shared" si="66"/>
        <v>36</v>
      </c>
      <c r="Z596" s="14">
        <f t="shared" si="67"/>
        <v>22.5</v>
      </c>
      <c r="AA596" s="14">
        <f t="shared" si="68"/>
        <v>28.5</v>
      </c>
      <c r="AB596" s="14">
        <f t="shared" si="69"/>
        <v>19.5</v>
      </c>
      <c r="AC596" s="14">
        <f t="shared" si="70"/>
        <v>19</v>
      </c>
      <c r="AD596" s="14">
        <f t="shared" si="71"/>
        <v>48</v>
      </c>
    </row>
    <row r="597" spans="5:30">
      <c r="E597" s="4"/>
      <c r="F597" s="8" t="s">
        <v>36</v>
      </c>
      <c r="G597" s="9">
        <v>75</v>
      </c>
      <c r="H597" s="23">
        <v>74</v>
      </c>
      <c r="I597" s="24"/>
      <c r="J597" s="22"/>
      <c r="K597" s="23">
        <v>88</v>
      </c>
      <c r="L597" s="22"/>
      <c r="M597" s="9">
        <v>71</v>
      </c>
      <c r="N597" s="9">
        <v>90</v>
      </c>
      <c r="O597" s="9">
        <v>61</v>
      </c>
      <c r="P597" s="9">
        <v>46</v>
      </c>
      <c r="Q597" s="23">
        <v>48</v>
      </c>
      <c r="R597" s="22"/>
      <c r="S597" s="8">
        <v>553</v>
      </c>
      <c r="U597">
        <v>0</v>
      </c>
      <c r="V597">
        <v>0</v>
      </c>
      <c r="W597" s="14">
        <f t="shared" si="64"/>
        <v>75</v>
      </c>
      <c r="X597" s="14">
        <f t="shared" si="65"/>
        <v>74</v>
      </c>
      <c r="Y597" s="14">
        <f t="shared" si="66"/>
        <v>88</v>
      </c>
      <c r="Z597" s="14">
        <f t="shared" si="67"/>
        <v>71</v>
      </c>
      <c r="AA597" s="14">
        <f t="shared" si="68"/>
        <v>90</v>
      </c>
      <c r="AB597" s="14">
        <f t="shared" si="69"/>
        <v>61</v>
      </c>
      <c r="AC597" s="14">
        <f t="shared" si="70"/>
        <v>46</v>
      </c>
      <c r="AD597" s="14">
        <f t="shared" si="71"/>
        <v>50</v>
      </c>
    </row>
    <row r="598" spans="5:30">
      <c r="E598" s="6"/>
      <c r="F598" s="8" t="s">
        <v>52</v>
      </c>
      <c r="G598" s="9">
        <v>100</v>
      </c>
      <c r="H598" s="23">
        <v>100</v>
      </c>
      <c r="I598" s="24"/>
      <c r="J598" s="22"/>
      <c r="K598" s="23">
        <v>100</v>
      </c>
      <c r="L598" s="22"/>
      <c r="M598" s="9">
        <v>100</v>
      </c>
      <c r="N598" s="9">
        <v>100</v>
      </c>
      <c r="O598" s="9">
        <v>100</v>
      </c>
      <c r="P598" s="9">
        <v>50</v>
      </c>
      <c r="Q598" s="23">
        <v>50</v>
      </c>
      <c r="R598" s="22"/>
      <c r="S598" s="8">
        <v>700</v>
      </c>
      <c r="U598" t="s">
        <v>31</v>
      </c>
      <c r="V598" t="s">
        <v>33</v>
      </c>
      <c r="W598" s="14">
        <f t="shared" si="64"/>
        <v>100</v>
      </c>
      <c r="X598" s="14">
        <f t="shared" si="65"/>
        <v>100</v>
      </c>
      <c r="Y598" s="14">
        <f t="shared" si="66"/>
        <v>100</v>
      </c>
      <c r="Z598" s="14">
        <f t="shared" si="67"/>
        <v>100</v>
      </c>
      <c r="AA598" s="14">
        <f t="shared" si="68"/>
        <v>100</v>
      </c>
      <c r="AB598" s="14">
        <f t="shared" si="69"/>
        <v>100</v>
      </c>
      <c r="AC598" s="14">
        <f t="shared" si="70"/>
        <v>50</v>
      </c>
      <c r="AD598" s="14" t="str">
        <f t="shared" si="71"/>
        <v>OO+</v>
      </c>
    </row>
    <row r="599" spans="5:30">
      <c r="E599" s="4"/>
      <c r="F599" s="8" t="s">
        <v>54</v>
      </c>
      <c r="G599" s="9" t="s">
        <v>135</v>
      </c>
      <c r="H599" s="23" t="s">
        <v>108</v>
      </c>
      <c r="I599" s="24"/>
      <c r="J599" s="22"/>
      <c r="K599" s="23" t="s">
        <v>122</v>
      </c>
      <c r="L599" s="22"/>
      <c r="M599" s="9" t="s">
        <v>108</v>
      </c>
      <c r="N599" s="9" t="s">
        <v>94</v>
      </c>
      <c r="O599" s="9" t="s">
        <v>76</v>
      </c>
      <c r="P599" s="9" t="s">
        <v>94</v>
      </c>
      <c r="Q599" s="23" t="s">
        <v>93</v>
      </c>
      <c r="R599" s="22"/>
      <c r="S599" s="8" t="s">
        <v>33</v>
      </c>
      <c r="U599" t="s">
        <v>438</v>
      </c>
      <c r="V599" t="s">
        <v>36</v>
      </c>
      <c r="W599" s="14" t="str">
        <f t="shared" si="64"/>
        <v>AA+</v>
      </c>
      <c r="X599" s="14" t="str">
        <f t="shared" si="65"/>
        <v>AA</v>
      </c>
      <c r="Y599" s="14" t="str">
        <f t="shared" si="66"/>
        <v>OA+</v>
      </c>
      <c r="Z599" s="14" t="str">
        <f t="shared" si="67"/>
        <v>AA</v>
      </c>
      <c r="AA599" s="14" t="str">
        <f t="shared" si="68"/>
        <v>OO</v>
      </c>
      <c r="AB599" s="14" t="str">
        <f t="shared" si="69"/>
        <v>AB</v>
      </c>
      <c r="AC599" s="14" t="str">
        <f t="shared" si="70"/>
        <v>OO</v>
      </c>
      <c r="AD599" s="14" t="str">
        <f t="shared" si="71"/>
        <v>Pass</v>
      </c>
    </row>
    <row r="600" spans="5:30">
      <c r="E600" s="11" t="s">
        <v>437</v>
      </c>
      <c r="F600" s="8" t="s">
        <v>58</v>
      </c>
      <c r="G600" s="9" t="s">
        <v>59</v>
      </c>
      <c r="H600" s="23" t="s">
        <v>59</v>
      </c>
      <c r="I600" s="24"/>
      <c r="J600" s="22"/>
      <c r="K600" s="23" t="s">
        <v>59</v>
      </c>
      <c r="L600" s="22"/>
      <c r="M600" s="9" t="s">
        <v>59</v>
      </c>
      <c r="N600" s="9" t="s">
        <v>59</v>
      </c>
      <c r="O600" s="9" t="s">
        <v>59</v>
      </c>
      <c r="P600" s="9" t="s">
        <v>59</v>
      </c>
      <c r="Q600" s="23" t="s">
        <v>59</v>
      </c>
      <c r="R600" s="22"/>
      <c r="S600" s="8" t="s">
        <v>33</v>
      </c>
      <c r="U600" t="s">
        <v>37</v>
      </c>
      <c r="V600" t="s">
        <v>33</v>
      </c>
      <c r="W600" s="14" t="str">
        <f t="shared" si="64"/>
        <v>Pass</v>
      </c>
      <c r="X600" s="14" t="str">
        <f t="shared" si="65"/>
        <v>Pass</v>
      </c>
      <c r="Y600" s="14" t="str">
        <f t="shared" si="66"/>
        <v>Pass</v>
      </c>
      <c r="Z600" s="14" t="str">
        <f t="shared" si="67"/>
        <v>Pass</v>
      </c>
      <c r="AA600" s="14" t="str">
        <f t="shared" si="68"/>
        <v>Pass</v>
      </c>
      <c r="AB600" s="14" t="str">
        <f t="shared" si="69"/>
        <v>Pass</v>
      </c>
      <c r="AC600" s="14" t="str">
        <f t="shared" si="70"/>
        <v>Pass</v>
      </c>
      <c r="AD600" s="14" t="str">
        <f t="shared" si="71"/>
        <v/>
      </c>
    </row>
    <row r="601" spans="5:30">
      <c r="E601" s="12" t="s">
        <v>33</v>
      </c>
      <c r="F601" s="12" t="s">
        <v>33</v>
      </c>
      <c r="G601" s="13" t="s">
        <v>33</v>
      </c>
      <c r="H601" s="20" t="s">
        <v>33</v>
      </c>
      <c r="I601" s="18"/>
      <c r="J601" s="18"/>
      <c r="K601" s="20" t="s">
        <v>33</v>
      </c>
      <c r="L601" s="18"/>
      <c r="M601" s="13" t="s">
        <v>33</v>
      </c>
      <c r="N601" s="13" t="s">
        <v>33</v>
      </c>
      <c r="O601" s="13" t="s">
        <v>33</v>
      </c>
      <c r="P601" s="13" t="s">
        <v>33</v>
      </c>
      <c r="Q601" s="20" t="s">
        <v>33</v>
      </c>
      <c r="R601" s="18"/>
      <c r="S601" s="13" t="s">
        <v>33</v>
      </c>
      <c r="U601" t="s">
        <v>442</v>
      </c>
      <c r="V601" t="s">
        <v>33</v>
      </c>
      <c r="W601" s="14" t="str">
        <f t="shared" si="64"/>
        <v/>
      </c>
      <c r="X601" s="14" t="str">
        <f t="shared" si="65"/>
        <v/>
      </c>
      <c r="Y601" s="14" t="str">
        <f t="shared" si="66"/>
        <v/>
      </c>
      <c r="Z601" s="14" t="str">
        <f t="shared" si="67"/>
        <v/>
      </c>
      <c r="AA601" s="14" t="str">
        <f t="shared" si="68"/>
        <v/>
      </c>
      <c r="AB601" s="14" t="str">
        <f t="shared" si="69"/>
        <v/>
      </c>
      <c r="AC601" s="14" t="str">
        <f t="shared" si="70"/>
        <v/>
      </c>
      <c r="AD601" s="14">
        <f t="shared" si="71"/>
        <v>0</v>
      </c>
    </row>
    <row r="602" spans="5:30" ht="0" hidden="1" customHeight="1">
      <c r="U602">
        <v>0</v>
      </c>
      <c r="V602">
        <v>0</v>
      </c>
      <c r="W602" s="14">
        <f t="shared" si="64"/>
        <v>0</v>
      </c>
      <c r="X602" s="14">
        <f t="shared" si="65"/>
        <v>0</v>
      </c>
      <c r="Y602" s="14">
        <f t="shared" si="66"/>
        <v>0</v>
      </c>
      <c r="Z602" s="14">
        <f t="shared" si="67"/>
        <v>0</v>
      </c>
      <c r="AA602" s="14">
        <f t="shared" si="68"/>
        <v>0</v>
      </c>
      <c r="AB602" s="14">
        <f t="shared" si="69"/>
        <v>0</v>
      </c>
      <c r="AC602" s="14">
        <f t="shared" si="70"/>
        <v>0</v>
      </c>
      <c r="AD602" s="14">
        <f t="shared" si="71"/>
        <v>0</v>
      </c>
    </row>
    <row r="603" spans="5:30" ht="0.6" customHeight="1">
      <c r="U603">
        <v>0</v>
      </c>
      <c r="V603">
        <v>25</v>
      </c>
      <c r="W603" s="14">
        <f t="shared" si="64"/>
        <v>0</v>
      </c>
      <c r="X603" s="14">
        <f t="shared" si="65"/>
        <v>0</v>
      </c>
      <c r="Y603" s="14">
        <f t="shared" si="66"/>
        <v>0</v>
      </c>
      <c r="Z603" s="14">
        <f t="shared" si="67"/>
        <v>0</v>
      </c>
      <c r="AA603" s="14">
        <f t="shared" si="68"/>
        <v>0</v>
      </c>
      <c r="AB603" s="14">
        <f t="shared" si="69"/>
        <v>0</v>
      </c>
      <c r="AC603" s="14">
        <f t="shared" si="70"/>
        <v>0</v>
      </c>
      <c r="AD603" s="14" t="str">
        <f t="shared" si="71"/>
        <v/>
      </c>
    </row>
    <row r="604" spans="5:30">
      <c r="E604" s="4"/>
      <c r="F604" s="3" t="s">
        <v>32</v>
      </c>
      <c r="G604" s="5" t="s">
        <v>33</v>
      </c>
      <c r="H604" s="32" t="s">
        <v>33</v>
      </c>
      <c r="I604" s="18"/>
      <c r="J604" s="18"/>
      <c r="K604" s="32" t="s">
        <v>33</v>
      </c>
      <c r="L604" s="18"/>
      <c r="M604" s="5" t="s">
        <v>33</v>
      </c>
      <c r="N604" s="5" t="s">
        <v>33</v>
      </c>
      <c r="O604" s="5" t="s">
        <v>33</v>
      </c>
      <c r="P604" s="5" t="s">
        <v>33</v>
      </c>
      <c r="Q604" s="32" t="s">
        <v>33</v>
      </c>
      <c r="R604" s="18"/>
      <c r="S604" s="5" t="s">
        <v>33</v>
      </c>
      <c r="U604" t="s">
        <v>46</v>
      </c>
      <c r="V604" t="s">
        <v>33</v>
      </c>
      <c r="W604" s="14" t="str">
        <f t="shared" si="64"/>
        <v/>
      </c>
      <c r="X604" s="14" t="str">
        <f t="shared" si="65"/>
        <v/>
      </c>
      <c r="Y604" s="14" t="str">
        <f t="shared" si="66"/>
        <v/>
      </c>
      <c r="Z604" s="14" t="str">
        <f t="shared" si="67"/>
        <v/>
      </c>
      <c r="AA604" s="14" t="str">
        <f t="shared" si="68"/>
        <v/>
      </c>
      <c r="AB604" s="14" t="str">
        <f t="shared" si="69"/>
        <v/>
      </c>
      <c r="AC604" s="14" t="str">
        <f t="shared" si="70"/>
        <v/>
      </c>
      <c r="AD604" s="14" t="str">
        <f t="shared" si="71"/>
        <v>COMRRSN302</v>
      </c>
    </row>
    <row r="605" spans="5:30" ht="21">
      <c r="E605" s="4"/>
      <c r="F605" s="7" t="s">
        <v>35</v>
      </c>
      <c r="G605" s="7" t="s">
        <v>5</v>
      </c>
      <c r="H605" s="30" t="s">
        <v>7</v>
      </c>
      <c r="I605" s="24"/>
      <c r="J605" s="22"/>
      <c r="K605" s="30" t="s">
        <v>9</v>
      </c>
      <c r="L605" s="22"/>
      <c r="M605" s="7" t="s">
        <v>11</v>
      </c>
      <c r="N605" s="7" t="s">
        <v>15</v>
      </c>
      <c r="O605" s="7" t="s">
        <v>17</v>
      </c>
      <c r="P605" s="7" t="s">
        <v>21</v>
      </c>
      <c r="Q605" s="30" t="s">
        <v>27</v>
      </c>
      <c r="R605" s="22"/>
      <c r="S605" s="7" t="s">
        <v>36</v>
      </c>
      <c r="U605" t="s">
        <v>48</v>
      </c>
      <c r="V605">
        <v>237.5</v>
      </c>
      <c r="W605" s="14" t="str">
        <f t="shared" si="64"/>
        <v>BBABMCN301</v>
      </c>
      <c r="X605" s="14" t="str">
        <f t="shared" si="65"/>
        <v>BBABMCN302</v>
      </c>
      <c r="Y605" s="14" t="str">
        <f t="shared" si="66"/>
        <v>BBABMCN303</v>
      </c>
      <c r="Z605" s="14" t="str">
        <f t="shared" si="67"/>
        <v>BBAENLN301</v>
      </c>
      <c r="AA605" s="14" t="str">
        <f t="shared" si="68"/>
        <v>BBAKALN302</v>
      </c>
      <c r="AB605" s="14" t="str">
        <f t="shared" si="69"/>
        <v>BCACAEN302</v>
      </c>
      <c r="AC605" s="14" t="str">
        <f t="shared" si="70"/>
        <v>COMFISN301</v>
      </c>
      <c r="AD605" s="14" t="str">
        <f t="shared" si="71"/>
        <v xml:space="preserve"> - - + - - </v>
      </c>
    </row>
    <row r="606" spans="5:30" ht="22.5">
      <c r="E606" s="6" t="s">
        <v>439</v>
      </c>
      <c r="F606" s="8" t="s">
        <v>39</v>
      </c>
      <c r="G606" s="9" t="s">
        <v>86</v>
      </c>
      <c r="H606" s="23" t="s">
        <v>187</v>
      </c>
      <c r="I606" s="24"/>
      <c r="J606" s="22"/>
      <c r="K606" s="23" t="s">
        <v>88</v>
      </c>
      <c r="L606" s="22"/>
      <c r="M606" s="9" t="s">
        <v>440</v>
      </c>
      <c r="N606" s="9" t="s">
        <v>187</v>
      </c>
      <c r="O606" s="9" t="s">
        <v>441</v>
      </c>
      <c r="P606" s="9" t="s">
        <v>89</v>
      </c>
      <c r="Q606" s="23" t="s">
        <v>43</v>
      </c>
      <c r="R606" s="22"/>
      <c r="S606" s="8" t="s">
        <v>33</v>
      </c>
      <c r="U606" t="s">
        <v>50</v>
      </c>
      <c r="V606">
        <v>652</v>
      </c>
      <c r="W606" s="14" t="str">
        <f t="shared" si="64"/>
        <v>54.00 + 40.00</v>
      </c>
      <c r="X606" s="14" t="str">
        <f t="shared" si="65"/>
        <v>58.00 + 40.00</v>
      </c>
      <c r="Y606" s="14" t="str">
        <f t="shared" si="66"/>
        <v>60.00 + 40.00</v>
      </c>
      <c r="Z606" s="14" t="str">
        <f t="shared" si="67"/>
        <v>40.00 + 38.00</v>
      </c>
      <c r="AA606" s="14" t="str">
        <f t="shared" si="68"/>
        <v>58.00 + 40.00</v>
      </c>
      <c r="AB606" s="14" t="str">
        <f t="shared" si="69"/>
        <v>44.00 + 40.00</v>
      </c>
      <c r="AC606" s="14" t="str">
        <f t="shared" si="70"/>
        <v>30.00 + 20.00</v>
      </c>
      <c r="AD606" s="14" t="str">
        <f t="shared" si="71"/>
        <v xml:space="preserve"> - - +50.00</v>
      </c>
    </row>
    <row r="607" spans="5:30">
      <c r="E607" s="25"/>
      <c r="F607" s="8" t="s">
        <v>42</v>
      </c>
      <c r="G607" s="9" t="s">
        <v>43</v>
      </c>
      <c r="H607" s="23" t="s">
        <v>43</v>
      </c>
      <c r="I607" s="24"/>
      <c r="J607" s="22"/>
      <c r="K607" s="23" t="s">
        <v>43</v>
      </c>
      <c r="L607" s="22"/>
      <c r="M607" s="9" t="s">
        <v>43</v>
      </c>
      <c r="N607" s="9" t="s">
        <v>43</v>
      </c>
      <c r="O607" s="9" t="s">
        <v>43</v>
      </c>
      <c r="P607" s="9" t="s">
        <v>43</v>
      </c>
      <c r="Q607" s="23" t="s">
        <v>91</v>
      </c>
      <c r="R607" s="22"/>
      <c r="S607" s="8" t="s">
        <v>33</v>
      </c>
      <c r="U607" t="s">
        <v>51</v>
      </c>
      <c r="V607">
        <v>700</v>
      </c>
      <c r="W607" s="14" t="str">
        <f t="shared" si="64"/>
        <v xml:space="preserve"> - - + - - </v>
      </c>
      <c r="X607" s="14" t="str">
        <f t="shared" si="65"/>
        <v xml:space="preserve"> - - + - - </v>
      </c>
      <c r="Y607" s="14" t="str">
        <f t="shared" si="66"/>
        <v xml:space="preserve"> - - + - - </v>
      </c>
      <c r="Z607" s="14" t="str">
        <f t="shared" si="67"/>
        <v xml:space="preserve"> - - + - - </v>
      </c>
      <c r="AA607" s="14" t="str">
        <f t="shared" si="68"/>
        <v xml:space="preserve"> - - + - - </v>
      </c>
      <c r="AB607" s="14" t="str">
        <f t="shared" si="69"/>
        <v xml:space="preserve"> - - + - - </v>
      </c>
      <c r="AC607" s="14" t="str">
        <f t="shared" si="70"/>
        <v xml:space="preserve"> - - + - - </v>
      </c>
      <c r="AD607" s="14" t="str">
        <f t="shared" si="71"/>
        <v/>
      </c>
    </row>
    <row r="608" spans="5:30">
      <c r="E608" s="27"/>
      <c r="F608" s="8" t="s">
        <v>44</v>
      </c>
      <c r="G608" s="9" t="s">
        <v>33</v>
      </c>
      <c r="H608" s="23" t="s">
        <v>33</v>
      </c>
      <c r="I608" s="24"/>
      <c r="J608" s="22"/>
      <c r="K608" s="23" t="s">
        <v>33</v>
      </c>
      <c r="L608" s="22"/>
      <c r="M608" s="9" t="s">
        <v>33</v>
      </c>
      <c r="N608" s="9" t="s">
        <v>33</v>
      </c>
      <c r="O608" s="9" t="s">
        <v>33</v>
      </c>
      <c r="P608" s="9" t="s">
        <v>33</v>
      </c>
      <c r="Q608" s="23" t="s">
        <v>33</v>
      </c>
      <c r="R608" s="22"/>
      <c r="S608" s="8">
        <v>0</v>
      </c>
      <c r="U608" t="s">
        <v>92</v>
      </c>
      <c r="V608" t="s">
        <v>33</v>
      </c>
      <c r="W608" s="14" t="str">
        <f t="shared" si="64"/>
        <v/>
      </c>
      <c r="X608" s="14" t="str">
        <f t="shared" si="65"/>
        <v/>
      </c>
      <c r="Y608" s="14" t="str">
        <f t="shared" si="66"/>
        <v/>
      </c>
      <c r="Z608" s="14" t="str">
        <f t="shared" si="67"/>
        <v/>
      </c>
      <c r="AA608" s="14" t="str">
        <f t="shared" si="68"/>
        <v/>
      </c>
      <c r="AB608" s="14" t="str">
        <f t="shared" si="69"/>
        <v/>
      </c>
      <c r="AC608" s="14" t="str">
        <f t="shared" si="70"/>
        <v/>
      </c>
      <c r="AD608" s="14">
        <f t="shared" si="71"/>
        <v>2</v>
      </c>
    </row>
    <row r="609" spans="5:30">
      <c r="E609" s="29"/>
      <c r="F609" s="8" t="s">
        <v>45</v>
      </c>
      <c r="G609" s="9">
        <v>4</v>
      </c>
      <c r="H609" s="23">
        <v>4</v>
      </c>
      <c r="I609" s="24"/>
      <c r="J609" s="22"/>
      <c r="K609" s="23">
        <v>4</v>
      </c>
      <c r="L609" s="22"/>
      <c r="M609" s="9">
        <v>3</v>
      </c>
      <c r="N609" s="9">
        <v>3</v>
      </c>
      <c r="O609" s="9">
        <v>3</v>
      </c>
      <c r="P609" s="9">
        <v>2</v>
      </c>
      <c r="Q609" s="23">
        <v>2</v>
      </c>
      <c r="R609" s="22"/>
      <c r="S609" s="8">
        <v>25</v>
      </c>
      <c r="U609" t="s">
        <v>56</v>
      </c>
      <c r="V609" t="s">
        <v>33</v>
      </c>
      <c r="W609" s="14">
        <f t="shared" si="64"/>
        <v>4</v>
      </c>
      <c r="X609" s="14">
        <f t="shared" si="65"/>
        <v>4</v>
      </c>
      <c r="Y609" s="14">
        <f t="shared" si="66"/>
        <v>4</v>
      </c>
      <c r="Z609" s="14">
        <f t="shared" si="67"/>
        <v>3</v>
      </c>
      <c r="AA609" s="14">
        <f t="shared" si="68"/>
        <v>3</v>
      </c>
      <c r="AB609" s="14">
        <f t="shared" si="69"/>
        <v>3</v>
      </c>
      <c r="AC609" s="14">
        <f t="shared" si="70"/>
        <v>2</v>
      </c>
      <c r="AD609" s="14">
        <f t="shared" si="71"/>
        <v>10</v>
      </c>
    </row>
    <row r="610" spans="5:30">
      <c r="E610" s="6">
        <v>9.5</v>
      </c>
      <c r="F610" s="8" t="s">
        <v>47</v>
      </c>
      <c r="G610" s="9">
        <v>9.5</v>
      </c>
      <c r="H610" s="23">
        <v>10</v>
      </c>
      <c r="I610" s="24"/>
      <c r="J610" s="22"/>
      <c r="K610" s="23">
        <v>10</v>
      </c>
      <c r="L610" s="22"/>
      <c r="M610" s="9">
        <v>8</v>
      </c>
      <c r="N610" s="9">
        <v>10</v>
      </c>
      <c r="O610" s="9">
        <v>8.5</v>
      </c>
      <c r="P610" s="9">
        <v>10</v>
      </c>
      <c r="Q610" s="23">
        <v>10</v>
      </c>
      <c r="R610" s="22"/>
      <c r="S610" s="8" t="s">
        <v>33</v>
      </c>
      <c r="U610" t="s">
        <v>33</v>
      </c>
      <c r="V610" t="s">
        <v>33</v>
      </c>
      <c r="W610" s="14">
        <f t="shared" si="64"/>
        <v>9.5</v>
      </c>
      <c r="X610" s="14">
        <f t="shared" si="65"/>
        <v>10</v>
      </c>
      <c r="Y610" s="14">
        <f t="shared" si="66"/>
        <v>10</v>
      </c>
      <c r="Z610" s="14">
        <f t="shared" si="67"/>
        <v>8</v>
      </c>
      <c r="AA610" s="14">
        <f t="shared" si="68"/>
        <v>10</v>
      </c>
      <c r="AB610" s="14">
        <f t="shared" si="69"/>
        <v>8.5</v>
      </c>
      <c r="AC610" s="14">
        <f t="shared" si="70"/>
        <v>10</v>
      </c>
      <c r="AD610" s="14">
        <f t="shared" si="71"/>
        <v>20</v>
      </c>
    </row>
    <row r="611" spans="5:30">
      <c r="E611" s="10">
        <v>9.1300000000000008</v>
      </c>
      <c r="F611" s="8" t="s">
        <v>49</v>
      </c>
      <c r="G611" s="9">
        <v>38</v>
      </c>
      <c r="H611" s="23">
        <v>40</v>
      </c>
      <c r="I611" s="24"/>
      <c r="J611" s="22"/>
      <c r="K611" s="23">
        <v>40</v>
      </c>
      <c r="L611" s="22"/>
      <c r="M611" s="9">
        <v>24</v>
      </c>
      <c r="N611" s="9">
        <v>30</v>
      </c>
      <c r="O611" s="9">
        <v>25.5</v>
      </c>
      <c r="P611" s="9">
        <v>20</v>
      </c>
      <c r="Q611" s="23">
        <v>20</v>
      </c>
      <c r="R611" s="22"/>
      <c r="S611" s="8">
        <v>237.5</v>
      </c>
      <c r="U611">
        <v>0</v>
      </c>
      <c r="V611">
        <v>0</v>
      </c>
      <c r="W611" s="14">
        <f t="shared" si="64"/>
        <v>38</v>
      </c>
      <c r="X611" s="14">
        <f t="shared" si="65"/>
        <v>40</v>
      </c>
      <c r="Y611" s="14">
        <f t="shared" si="66"/>
        <v>40</v>
      </c>
      <c r="Z611" s="14">
        <f t="shared" si="67"/>
        <v>24</v>
      </c>
      <c r="AA611" s="14">
        <f t="shared" si="68"/>
        <v>30</v>
      </c>
      <c r="AB611" s="14">
        <f t="shared" si="69"/>
        <v>25.5</v>
      </c>
      <c r="AC611" s="14">
        <f t="shared" si="70"/>
        <v>20</v>
      </c>
      <c r="AD611" s="14">
        <f t="shared" si="71"/>
        <v>50</v>
      </c>
    </row>
    <row r="612" spans="5:30">
      <c r="E612" s="4"/>
      <c r="F612" s="8" t="s">
        <v>36</v>
      </c>
      <c r="G612" s="9">
        <v>94</v>
      </c>
      <c r="H612" s="23">
        <v>98</v>
      </c>
      <c r="I612" s="24"/>
      <c r="J612" s="22"/>
      <c r="K612" s="23">
        <v>100</v>
      </c>
      <c r="L612" s="22"/>
      <c r="M612" s="9">
        <v>78</v>
      </c>
      <c r="N612" s="9">
        <v>98</v>
      </c>
      <c r="O612" s="9">
        <v>84</v>
      </c>
      <c r="P612" s="9">
        <v>50</v>
      </c>
      <c r="Q612" s="23">
        <v>50</v>
      </c>
      <c r="R612" s="22"/>
      <c r="S612" s="8">
        <v>652</v>
      </c>
      <c r="U612">
        <v>0</v>
      </c>
      <c r="V612">
        <v>0</v>
      </c>
      <c r="W612" s="14">
        <f t="shared" si="64"/>
        <v>94</v>
      </c>
      <c r="X612" s="14">
        <f t="shared" si="65"/>
        <v>98</v>
      </c>
      <c r="Y612" s="14">
        <f t="shared" si="66"/>
        <v>100</v>
      </c>
      <c r="Z612" s="14">
        <f t="shared" si="67"/>
        <v>78</v>
      </c>
      <c r="AA612" s="14">
        <f t="shared" si="68"/>
        <v>98</v>
      </c>
      <c r="AB612" s="14">
        <f t="shared" si="69"/>
        <v>84</v>
      </c>
      <c r="AC612" s="14">
        <f t="shared" si="70"/>
        <v>50</v>
      </c>
      <c r="AD612" s="14">
        <f t="shared" si="71"/>
        <v>50</v>
      </c>
    </row>
    <row r="613" spans="5:30">
      <c r="E613" s="6"/>
      <c r="F613" s="8" t="s">
        <v>52</v>
      </c>
      <c r="G613" s="9">
        <v>100</v>
      </c>
      <c r="H613" s="23">
        <v>100</v>
      </c>
      <c r="I613" s="24"/>
      <c r="J613" s="22"/>
      <c r="K613" s="23">
        <v>100</v>
      </c>
      <c r="L613" s="22"/>
      <c r="M613" s="9">
        <v>100</v>
      </c>
      <c r="N613" s="9">
        <v>100</v>
      </c>
      <c r="O613" s="9">
        <v>100</v>
      </c>
      <c r="P613" s="9">
        <v>50</v>
      </c>
      <c r="Q613" s="23">
        <v>50</v>
      </c>
      <c r="R613" s="22"/>
      <c r="S613" s="8">
        <v>700</v>
      </c>
      <c r="U613" t="s">
        <v>31</v>
      </c>
      <c r="V613" t="s">
        <v>33</v>
      </c>
      <c r="W613" s="14">
        <f t="shared" si="64"/>
        <v>100</v>
      </c>
      <c r="X613" s="14">
        <f t="shared" si="65"/>
        <v>100</v>
      </c>
      <c r="Y613" s="14">
        <f t="shared" si="66"/>
        <v>100</v>
      </c>
      <c r="Z613" s="14">
        <f t="shared" si="67"/>
        <v>100</v>
      </c>
      <c r="AA613" s="14">
        <f t="shared" si="68"/>
        <v>100</v>
      </c>
      <c r="AB613" s="14">
        <f t="shared" si="69"/>
        <v>100</v>
      </c>
      <c r="AC613" s="14">
        <f t="shared" si="70"/>
        <v>50</v>
      </c>
      <c r="AD613" s="14" t="str">
        <f t="shared" si="71"/>
        <v>OO+</v>
      </c>
    </row>
    <row r="614" spans="5:30">
      <c r="E614" s="4"/>
      <c r="F614" s="8" t="s">
        <v>54</v>
      </c>
      <c r="G614" s="9" t="s">
        <v>94</v>
      </c>
      <c r="H614" s="23" t="s">
        <v>93</v>
      </c>
      <c r="I614" s="24"/>
      <c r="J614" s="22"/>
      <c r="K614" s="23" t="s">
        <v>93</v>
      </c>
      <c r="L614" s="22"/>
      <c r="M614" s="9" t="s">
        <v>135</v>
      </c>
      <c r="N614" s="9" t="s">
        <v>93</v>
      </c>
      <c r="O614" s="9" t="s">
        <v>95</v>
      </c>
      <c r="P614" s="9" t="s">
        <v>93</v>
      </c>
      <c r="Q614" s="23" t="s">
        <v>93</v>
      </c>
      <c r="R614" s="22"/>
      <c r="S614" s="8" t="s">
        <v>33</v>
      </c>
      <c r="U614" t="s">
        <v>444</v>
      </c>
      <c r="V614" t="s">
        <v>36</v>
      </c>
      <c r="W614" s="14" t="str">
        <f t="shared" si="64"/>
        <v>OO</v>
      </c>
      <c r="X614" s="14" t="str">
        <f t="shared" si="65"/>
        <v>OO+</v>
      </c>
      <c r="Y614" s="14" t="str">
        <f t="shared" si="66"/>
        <v>OO+</v>
      </c>
      <c r="Z614" s="14" t="str">
        <f t="shared" si="67"/>
        <v>AA+</v>
      </c>
      <c r="AA614" s="14" t="str">
        <f t="shared" si="68"/>
        <v>OO+</v>
      </c>
      <c r="AB614" s="14" t="str">
        <f t="shared" si="69"/>
        <v>OA</v>
      </c>
      <c r="AC614" s="14" t="str">
        <f t="shared" si="70"/>
        <v>OO+</v>
      </c>
      <c r="AD614" s="14" t="str">
        <f t="shared" si="71"/>
        <v>Pass</v>
      </c>
    </row>
    <row r="615" spans="5:30">
      <c r="E615" s="11" t="s">
        <v>443</v>
      </c>
      <c r="F615" s="8" t="s">
        <v>58</v>
      </c>
      <c r="G615" s="9" t="s">
        <v>59</v>
      </c>
      <c r="H615" s="23" t="s">
        <v>59</v>
      </c>
      <c r="I615" s="24"/>
      <c r="J615" s="22"/>
      <c r="K615" s="23" t="s">
        <v>59</v>
      </c>
      <c r="L615" s="22"/>
      <c r="M615" s="9" t="s">
        <v>59</v>
      </c>
      <c r="N615" s="9" t="s">
        <v>59</v>
      </c>
      <c r="O615" s="9" t="s">
        <v>59</v>
      </c>
      <c r="P615" s="9" t="s">
        <v>59</v>
      </c>
      <c r="Q615" s="23" t="s">
        <v>59</v>
      </c>
      <c r="R615" s="22"/>
      <c r="S615" s="8" t="s">
        <v>33</v>
      </c>
      <c r="U615" t="s">
        <v>37</v>
      </c>
      <c r="V615" t="s">
        <v>33</v>
      </c>
      <c r="W615" s="14" t="str">
        <f t="shared" si="64"/>
        <v>Pass</v>
      </c>
      <c r="X615" s="14" t="str">
        <f t="shared" si="65"/>
        <v>Pass</v>
      </c>
      <c r="Y615" s="14" t="str">
        <f t="shared" si="66"/>
        <v>Pass</v>
      </c>
      <c r="Z615" s="14" t="str">
        <f t="shared" si="67"/>
        <v>Pass</v>
      </c>
      <c r="AA615" s="14" t="str">
        <f t="shared" si="68"/>
        <v>Pass</v>
      </c>
      <c r="AB615" s="14" t="str">
        <f t="shared" si="69"/>
        <v>Pass</v>
      </c>
      <c r="AC615" s="14" t="str">
        <f t="shared" si="70"/>
        <v>Pass</v>
      </c>
      <c r="AD615" s="14" t="str">
        <f t="shared" si="71"/>
        <v/>
      </c>
    </row>
    <row r="616" spans="5:30">
      <c r="E616" s="12" t="s">
        <v>33</v>
      </c>
      <c r="F616" s="12" t="s">
        <v>33</v>
      </c>
      <c r="G616" s="13" t="s">
        <v>33</v>
      </c>
      <c r="H616" s="20" t="s">
        <v>33</v>
      </c>
      <c r="I616" s="18"/>
      <c r="J616" s="18"/>
      <c r="K616" s="20" t="s">
        <v>33</v>
      </c>
      <c r="L616" s="18"/>
      <c r="M616" s="13" t="s">
        <v>33</v>
      </c>
      <c r="N616" s="13" t="s">
        <v>33</v>
      </c>
      <c r="O616" s="13" t="s">
        <v>33</v>
      </c>
      <c r="P616" s="13" t="s">
        <v>33</v>
      </c>
      <c r="Q616" s="20" t="s">
        <v>33</v>
      </c>
      <c r="R616" s="18"/>
      <c r="S616" s="13" t="s">
        <v>33</v>
      </c>
      <c r="U616" t="s">
        <v>453</v>
      </c>
      <c r="V616" t="s">
        <v>33</v>
      </c>
      <c r="W616" s="14" t="str">
        <f t="shared" si="64"/>
        <v/>
      </c>
      <c r="X616" s="14" t="str">
        <f t="shared" si="65"/>
        <v/>
      </c>
      <c r="Y616" s="14" t="str">
        <f t="shared" si="66"/>
        <v/>
      </c>
      <c r="Z616" s="14" t="str">
        <f t="shared" si="67"/>
        <v/>
      </c>
      <c r="AA616" s="14" t="str">
        <f t="shared" si="68"/>
        <v/>
      </c>
      <c r="AB616" s="14" t="str">
        <f t="shared" si="69"/>
        <v/>
      </c>
      <c r="AC616" s="14" t="str">
        <f t="shared" si="70"/>
        <v/>
      </c>
      <c r="AD616" s="14">
        <f t="shared" si="71"/>
        <v>0</v>
      </c>
    </row>
    <row r="617" spans="5:30" ht="0" hidden="1" customHeight="1">
      <c r="U617">
        <v>0</v>
      </c>
      <c r="V617">
        <v>0</v>
      </c>
      <c r="W617" s="14">
        <f t="shared" si="64"/>
        <v>0</v>
      </c>
      <c r="X617" s="14">
        <f t="shared" si="65"/>
        <v>0</v>
      </c>
      <c r="Y617" s="14">
        <f t="shared" si="66"/>
        <v>0</v>
      </c>
      <c r="Z617" s="14">
        <f t="shared" si="67"/>
        <v>0</v>
      </c>
      <c r="AA617" s="14">
        <f t="shared" si="68"/>
        <v>0</v>
      </c>
      <c r="AB617" s="14">
        <f t="shared" si="69"/>
        <v>0</v>
      </c>
      <c r="AC617" s="14">
        <f t="shared" si="70"/>
        <v>0</v>
      </c>
      <c r="AD617" s="14">
        <f t="shared" si="71"/>
        <v>0</v>
      </c>
    </row>
    <row r="618" spans="5:30" ht="0.6" customHeight="1">
      <c r="U618">
        <v>0</v>
      </c>
      <c r="V618">
        <v>22</v>
      </c>
      <c r="W618" s="14">
        <f t="shared" si="64"/>
        <v>0</v>
      </c>
      <c r="X618" s="14">
        <f t="shared" si="65"/>
        <v>0</v>
      </c>
      <c r="Y618" s="14">
        <f t="shared" si="66"/>
        <v>0</v>
      </c>
      <c r="Z618" s="14">
        <f t="shared" si="67"/>
        <v>0</v>
      </c>
      <c r="AA618" s="14">
        <f t="shared" si="68"/>
        <v>0</v>
      </c>
      <c r="AB618" s="14">
        <f t="shared" si="69"/>
        <v>0</v>
      </c>
      <c r="AC618" s="14">
        <f t="shared" si="70"/>
        <v>0</v>
      </c>
      <c r="AD618" s="14" t="str">
        <f t="shared" si="71"/>
        <v/>
      </c>
    </row>
    <row r="619" spans="5:30">
      <c r="E619" s="4"/>
      <c r="F619" s="3" t="s">
        <v>32</v>
      </c>
      <c r="G619" s="5" t="s">
        <v>33</v>
      </c>
      <c r="H619" s="32" t="s">
        <v>33</v>
      </c>
      <c r="I619" s="18"/>
      <c r="J619" s="18"/>
      <c r="K619" s="32" t="s">
        <v>33</v>
      </c>
      <c r="L619" s="18"/>
      <c r="M619" s="5" t="s">
        <v>33</v>
      </c>
      <c r="N619" s="5" t="s">
        <v>33</v>
      </c>
      <c r="O619" s="5" t="s">
        <v>33</v>
      </c>
      <c r="P619" s="5" t="s">
        <v>33</v>
      </c>
      <c r="Q619" s="32" t="s">
        <v>33</v>
      </c>
      <c r="R619" s="18"/>
      <c r="S619" s="5" t="s">
        <v>33</v>
      </c>
      <c r="U619" t="s">
        <v>46</v>
      </c>
      <c r="V619" t="s">
        <v>33</v>
      </c>
      <c r="W619" s="14" t="str">
        <f t="shared" si="64"/>
        <v/>
      </c>
      <c r="X619" s="14" t="str">
        <f t="shared" si="65"/>
        <v/>
      </c>
      <c r="Y619" s="14" t="str">
        <f t="shared" si="66"/>
        <v/>
      </c>
      <c r="Z619" s="14" t="str">
        <f t="shared" si="67"/>
        <v/>
      </c>
      <c r="AA619" s="14" t="str">
        <f t="shared" si="68"/>
        <v/>
      </c>
      <c r="AB619" s="14" t="str">
        <f t="shared" si="69"/>
        <v/>
      </c>
      <c r="AC619" s="14" t="str">
        <f t="shared" si="70"/>
        <v/>
      </c>
      <c r="AD619" s="14" t="str">
        <f t="shared" si="71"/>
        <v>COMSRSN302</v>
      </c>
    </row>
    <row r="620" spans="5:30" ht="21">
      <c r="E620" s="4"/>
      <c r="F620" s="7" t="s">
        <v>35</v>
      </c>
      <c r="G620" s="7" t="s">
        <v>5</v>
      </c>
      <c r="H620" s="30" t="s">
        <v>7</v>
      </c>
      <c r="I620" s="24"/>
      <c r="J620" s="22"/>
      <c r="K620" s="30" t="s">
        <v>9</v>
      </c>
      <c r="L620" s="22"/>
      <c r="M620" s="7" t="s">
        <v>11</v>
      </c>
      <c r="N620" s="7" t="s">
        <v>15</v>
      </c>
      <c r="O620" s="7" t="s">
        <v>17</v>
      </c>
      <c r="P620" s="7" t="s">
        <v>21</v>
      </c>
      <c r="Q620" s="30" t="s">
        <v>29</v>
      </c>
      <c r="R620" s="22"/>
      <c r="S620" s="7" t="s">
        <v>36</v>
      </c>
      <c r="U620" t="s">
        <v>48</v>
      </c>
      <c r="V620">
        <v>151.5</v>
      </c>
      <c r="W620" s="14" t="str">
        <f t="shared" si="64"/>
        <v>BBABMCN301</v>
      </c>
      <c r="X620" s="14" t="str">
        <f t="shared" si="65"/>
        <v>BBABMCN302</v>
      </c>
      <c r="Y620" s="14" t="str">
        <f t="shared" si="66"/>
        <v>BBABMCN303</v>
      </c>
      <c r="Z620" s="14" t="str">
        <f t="shared" si="67"/>
        <v>BBAENLN301</v>
      </c>
      <c r="AA620" s="14" t="str">
        <f t="shared" si="68"/>
        <v>BBAKALN302</v>
      </c>
      <c r="AB620" s="14" t="str">
        <f t="shared" si="69"/>
        <v>BCACAEN302</v>
      </c>
      <c r="AC620" s="14" t="str">
        <f t="shared" si="70"/>
        <v>COMFISN301</v>
      </c>
      <c r="AD620" s="14" t="str">
        <f t="shared" si="71"/>
        <v xml:space="preserve"> - - + - - </v>
      </c>
    </row>
    <row r="621" spans="5:30" ht="22.5">
      <c r="E621" s="6" t="s">
        <v>445</v>
      </c>
      <c r="F621" s="8" t="s">
        <v>39</v>
      </c>
      <c r="G621" s="9" t="s">
        <v>446</v>
      </c>
      <c r="H621" s="23" t="s">
        <v>447</v>
      </c>
      <c r="I621" s="24"/>
      <c r="J621" s="22"/>
      <c r="K621" s="23" t="s">
        <v>448</v>
      </c>
      <c r="L621" s="22"/>
      <c r="M621" s="9" t="s">
        <v>449</v>
      </c>
      <c r="N621" s="9" t="s">
        <v>450</v>
      </c>
      <c r="O621" s="9" t="s">
        <v>451</v>
      </c>
      <c r="P621" s="9" t="s">
        <v>452</v>
      </c>
      <c r="Q621" s="23" t="s">
        <v>43</v>
      </c>
      <c r="R621" s="22"/>
      <c r="S621" s="8" t="s">
        <v>33</v>
      </c>
      <c r="U621" t="s">
        <v>65</v>
      </c>
      <c r="V621">
        <v>426</v>
      </c>
      <c r="W621" s="14" t="str">
        <f t="shared" si="64"/>
        <v>27.00 + 26.00</v>
      </c>
      <c r="X621" s="14" t="str">
        <f t="shared" si="65"/>
        <v>24.00 + 30.00</v>
      </c>
      <c r="Y621" s="14" t="str">
        <f t="shared" si="66"/>
        <v>43.00 + 34.00</v>
      </c>
      <c r="Z621" s="14" t="str">
        <f t="shared" si="67"/>
        <v>41.00 + 29.00</v>
      </c>
      <c r="AA621" s="14" t="str">
        <f t="shared" si="68"/>
        <v>37.00 + 32.00</v>
      </c>
      <c r="AB621" s="14" t="str">
        <f t="shared" si="69"/>
        <v>5.00 + 21.00</v>
      </c>
      <c r="AC621" s="14" t="str">
        <f t="shared" si="70"/>
        <v>20.00 + 13.00</v>
      </c>
      <c r="AD621" s="14" t="str">
        <f t="shared" si="71"/>
        <v xml:space="preserve"> - - +44.00</v>
      </c>
    </row>
    <row r="622" spans="5:30">
      <c r="E622" s="25"/>
      <c r="F622" s="8" t="s">
        <v>42</v>
      </c>
      <c r="G622" s="9" t="s">
        <v>43</v>
      </c>
      <c r="H622" s="23" t="s">
        <v>43</v>
      </c>
      <c r="I622" s="24"/>
      <c r="J622" s="22"/>
      <c r="K622" s="23" t="s">
        <v>43</v>
      </c>
      <c r="L622" s="22"/>
      <c r="M622" s="9" t="s">
        <v>43</v>
      </c>
      <c r="N622" s="9" t="s">
        <v>43</v>
      </c>
      <c r="O622" s="9" t="s">
        <v>43</v>
      </c>
      <c r="P622" s="9" t="s">
        <v>43</v>
      </c>
      <c r="Q622" s="23" t="s">
        <v>360</v>
      </c>
      <c r="R622" s="22"/>
      <c r="S622" s="8" t="s">
        <v>33</v>
      </c>
      <c r="U622" t="s">
        <v>51</v>
      </c>
      <c r="V622">
        <v>700</v>
      </c>
      <c r="W622" s="14" t="str">
        <f t="shared" si="64"/>
        <v xml:space="preserve"> - - + - - </v>
      </c>
      <c r="X622" s="14" t="str">
        <f t="shared" si="65"/>
        <v xml:space="preserve"> - - + - - </v>
      </c>
      <c r="Y622" s="14" t="str">
        <f t="shared" si="66"/>
        <v xml:space="preserve"> - - + - - </v>
      </c>
      <c r="Z622" s="14" t="str">
        <f t="shared" si="67"/>
        <v xml:space="preserve"> - - + - - </v>
      </c>
      <c r="AA622" s="14" t="str">
        <f t="shared" si="68"/>
        <v xml:space="preserve"> - - + - - </v>
      </c>
      <c r="AB622" s="14" t="str">
        <f t="shared" si="69"/>
        <v xml:space="preserve"> - - + - - </v>
      </c>
      <c r="AC622" s="14" t="str">
        <f t="shared" si="70"/>
        <v xml:space="preserve"> - - + - - </v>
      </c>
      <c r="AD622" s="14" t="str">
        <f t="shared" si="71"/>
        <v/>
      </c>
    </row>
    <row r="623" spans="5:30">
      <c r="E623" s="27"/>
      <c r="F623" s="8" t="s">
        <v>44</v>
      </c>
      <c r="G623" s="9" t="s">
        <v>33</v>
      </c>
      <c r="H623" s="23" t="s">
        <v>33</v>
      </c>
      <c r="I623" s="24"/>
      <c r="J623" s="22"/>
      <c r="K623" s="23" t="s">
        <v>33</v>
      </c>
      <c r="L623" s="22"/>
      <c r="M623" s="9" t="s">
        <v>33</v>
      </c>
      <c r="N623" s="9" t="s">
        <v>33</v>
      </c>
      <c r="O623" s="9" t="s">
        <v>33</v>
      </c>
      <c r="P623" s="9" t="s">
        <v>33</v>
      </c>
      <c r="Q623" s="23" t="s">
        <v>33</v>
      </c>
      <c r="R623" s="22"/>
      <c r="S623" s="8">
        <v>0</v>
      </c>
      <c r="U623" t="s">
        <v>66</v>
      </c>
      <c r="V623" t="s">
        <v>33</v>
      </c>
      <c r="W623" s="14" t="str">
        <f t="shared" si="64"/>
        <v/>
      </c>
      <c r="X623" s="14" t="str">
        <f t="shared" si="65"/>
        <v/>
      </c>
      <c r="Y623" s="14" t="str">
        <f t="shared" si="66"/>
        <v/>
      </c>
      <c r="Z623" s="14" t="str">
        <f t="shared" si="67"/>
        <v/>
      </c>
      <c r="AA623" s="14" t="str">
        <f t="shared" si="68"/>
        <v/>
      </c>
      <c r="AB623" s="14" t="str">
        <f t="shared" si="69"/>
        <v/>
      </c>
      <c r="AC623" s="14" t="str">
        <f t="shared" si="70"/>
        <v/>
      </c>
      <c r="AD623" s="14">
        <f t="shared" si="71"/>
        <v>2</v>
      </c>
    </row>
    <row r="624" spans="5:30">
      <c r="E624" s="29"/>
      <c r="F624" s="8" t="s">
        <v>45</v>
      </c>
      <c r="G624" s="9">
        <v>4</v>
      </c>
      <c r="H624" s="23">
        <v>4</v>
      </c>
      <c r="I624" s="24"/>
      <c r="J624" s="22"/>
      <c r="K624" s="23">
        <v>4</v>
      </c>
      <c r="L624" s="22"/>
      <c r="M624" s="9">
        <v>3</v>
      </c>
      <c r="N624" s="9">
        <v>3</v>
      </c>
      <c r="O624" s="9">
        <v>3</v>
      </c>
      <c r="P624" s="9">
        <v>2</v>
      </c>
      <c r="Q624" s="23">
        <v>2</v>
      </c>
      <c r="R624" s="22"/>
      <c r="S624" s="8">
        <v>22</v>
      </c>
      <c r="U624" t="s">
        <v>56</v>
      </c>
      <c r="V624" t="s">
        <v>33</v>
      </c>
      <c r="W624" s="14">
        <f t="shared" si="64"/>
        <v>4</v>
      </c>
      <c r="X624" s="14">
        <f t="shared" si="65"/>
        <v>4</v>
      </c>
      <c r="Y624" s="14">
        <f t="shared" si="66"/>
        <v>4</v>
      </c>
      <c r="Z624" s="14">
        <f t="shared" si="67"/>
        <v>3</v>
      </c>
      <c r="AA624" s="14">
        <f t="shared" si="68"/>
        <v>3</v>
      </c>
      <c r="AB624" s="14">
        <f t="shared" si="69"/>
        <v>3</v>
      </c>
      <c r="AC624" s="14">
        <f t="shared" si="70"/>
        <v>2</v>
      </c>
      <c r="AD624" s="14">
        <f t="shared" si="71"/>
        <v>9</v>
      </c>
    </row>
    <row r="625" spans="5:30">
      <c r="E625" s="6"/>
      <c r="F625" s="8" t="s">
        <v>47</v>
      </c>
      <c r="G625" s="9">
        <v>5.5</v>
      </c>
      <c r="H625" s="23">
        <v>5.5</v>
      </c>
      <c r="I625" s="24"/>
      <c r="J625" s="22"/>
      <c r="K625" s="23">
        <v>8</v>
      </c>
      <c r="L625" s="22"/>
      <c r="M625" s="9">
        <v>7.5</v>
      </c>
      <c r="N625" s="9">
        <v>7</v>
      </c>
      <c r="O625" s="9"/>
      <c r="P625" s="9">
        <v>7</v>
      </c>
      <c r="Q625" s="23">
        <v>9</v>
      </c>
      <c r="R625" s="22"/>
      <c r="S625" s="8" t="s">
        <v>33</v>
      </c>
      <c r="U625" t="s">
        <v>33</v>
      </c>
      <c r="V625" t="s">
        <v>33</v>
      </c>
      <c r="W625" s="14">
        <f t="shared" si="64"/>
        <v>5.5</v>
      </c>
      <c r="X625" s="14">
        <f t="shared" si="65"/>
        <v>5.5</v>
      </c>
      <c r="Y625" s="14">
        <f t="shared" si="66"/>
        <v>8</v>
      </c>
      <c r="Z625" s="14">
        <f t="shared" si="67"/>
        <v>7.5</v>
      </c>
      <c r="AA625" s="14">
        <f t="shared" si="68"/>
        <v>7</v>
      </c>
      <c r="AB625" s="14">
        <f t="shared" si="69"/>
        <v>0</v>
      </c>
      <c r="AC625" s="14">
        <f t="shared" si="70"/>
        <v>7</v>
      </c>
      <c r="AD625" s="14">
        <f t="shared" si="71"/>
        <v>18</v>
      </c>
    </row>
    <row r="626" spans="5:30">
      <c r="E626" s="6"/>
      <c r="F626" s="8" t="s">
        <v>49</v>
      </c>
      <c r="G626" s="9">
        <v>22</v>
      </c>
      <c r="H626" s="23">
        <v>22</v>
      </c>
      <c r="I626" s="24"/>
      <c r="J626" s="22"/>
      <c r="K626" s="23">
        <v>32</v>
      </c>
      <c r="L626" s="22"/>
      <c r="M626" s="9">
        <v>22.5</v>
      </c>
      <c r="N626" s="9">
        <v>21</v>
      </c>
      <c r="O626" s="9"/>
      <c r="P626" s="9">
        <v>14</v>
      </c>
      <c r="Q626" s="23">
        <v>18</v>
      </c>
      <c r="R626" s="22"/>
      <c r="S626" s="8">
        <v>151.5</v>
      </c>
      <c r="U626">
        <v>0</v>
      </c>
      <c r="V626">
        <v>0</v>
      </c>
      <c r="W626" s="14">
        <f t="shared" si="64"/>
        <v>22</v>
      </c>
      <c r="X626" s="14">
        <f t="shared" si="65"/>
        <v>22</v>
      </c>
      <c r="Y626" s="14">
        <f t="shared" si="66"/>
        <v>32</v>
      </c>
      <c r="Z626" s="14">
        <f t="shared" si="67"/>
        <v>22.5</v>
      </c>
      <c r="AA626" s="14">
        <f t="shared" si="68"/>
        <v>21</v>
      </c>
      <c r="AB626" s="14">
        <f t="shared" si="69"/>
        <v>0</v>
      </c>
      <c r="AC626" s="14">
        <f t="shared" si="70"/>
        <v>14</v>
      </c>
      <c r="AD626" s="14">
        <f t="shared" si="71"/>
        <v>44</v>
      </c>
    </row>
    <row r="627" spans="5:30">
      <c r="E627" s="4"/>
      <c r="F627" s="8" t="s">
        <v>36</v>
      </c>
      <c r="G627" s="9">
        <v>53</v>
      </c>
      <c r="H627" s="23">
        <v>54</v>
      </c>
      <c r="I627" s="24"/>
      <c r="J627" s="22"/>
      <c r="K627" s="23">
        <v>77</v>
      </c>
      <c r="L627" s="22"/>
      <c r="M627" s="9">
        <v>70</v>
      </c>
      <c r="N627" s="9">
        <v>69</v>
      </c>
      <c r="O627" s="9">
        <v>26</v>
      </c>
      <c r="P627" s="9">
        <v>33</v>
      </c>
      <c r="Q627" s="23">
        <v>44</v>
      </c>
      <c r="R627" s="22"/>
      <c r="S627" s="8">
        <v>426</v>
      </c>
      <c r="U627">
        <v>0</v>
      </c>
      <c r="V627">
        <v>0</v>
      </c>
      <c r="W627" s="14">
        <f t="shared" si="64"/>
        <v>53</v>
      </c>
      <c r="X627" s="14">
        <f t="shared" si="65"/>
        <v>54</v>
      </c>
      <c r="Y627" s="14">
        <f t="shared" si="66"/>
        <v>77</v>
      </c>
      <c r="Z627" s="14">
        <f t="shared" si="67"/>
        <v>70</v>
      </c>
      <c r="AA627" s="14">
        <f t="shared" si="68"/>
        <v>69</v>
      </c>
      <c r="AB627" s="14">
        <f t="shared" si="69"/>
        <v>26</v>
      </c>
      <c r="AC627" s="14">
        <f t="shared" si="70"/>
        <v>33</v>
      </c>
      <c r="AD627" s="14">
        <f t="shared" si="71"/>
        <v>50</v>
      </c>
    </row>
    <row r="628" spans="5:30">
      <c r="E628" s="6"/>
      <c r="F628" s="8" t="s">
        <v>52</v>
      </c>
      <c r="G628" s="9">
        <v>100</v>
      </c>
      <c r="H628" s="23">
        <v>100</v>
      </c>
      <c r="I628" s="24"/>
      <c r="J628" s="22"/>
      <c r="K628" s="23">
        <v>100</v>
      </c>
      <c r="L628" s="22"/>
      <c r="M628" s="9">
        <v>100</v>
      </c>
      <c r="N628" s="9">
        <v>100</v>
      </c>
      <c r="O628" s="9">
        <v>100</v>
      </c>
      <c r="P628" s="9">
        <v>50</v>
      </c>
      <c r="Q628" s="23">
        <v>50</v>
      </c>
      <c r="R628" s="22"/>
      <c r="S628" s="8">
        <v>700</v>
      </c>
      <c r="U628" t="s">
        <v>31</v>
      </c>
      <c r="V628" t="s">
        <v>33</v>
      </c>
      <c r="W628" s="14">
        <f t="shared" si="64"/>
        <v>100</v>
      </c>
      <c r="X628" s="14">
        <f t="shared" si="65"/>
        <v>100</v>
      </c>
      <c r="Y628" s="14">
        <f t="shared" si="66"/>
        <v>100</v>
      </c>
      <c r="Z628" s="14">
        <f t="shared" si="67"/>
        <v>100</v>
      </c>
      <c r="AA628" s="14">
        <f t="shared" si="68"/>
        <v>100</v>
      </c>
      <c r="AB628" s="14">
        <f t="shared" si="69"/>
        <v>100</v>
      </c>
      <c r="AC628" s="14">
        <f t="shared" si="70"/>
        <v>50</v>
      </c>
      <c r="AD628" s="14" t="str">
        <f t="shared" si="71"/>
        <v>OA+</v>
      </c>
    </row>
    <row r="629" spans="5:30">
      <c r="E629" s="4"/>
      <c r="F629" s="8" t="s">
        <v>54</v>
      </c>
      <c r="G629" s="9" t="s">
        <v>123</v>
      </c>
      <c r="H629" s="23" t="s">
        <v>123</v>
      </c>
      <c r="I629" s="24"/>
      <c r="J629" s="22"/>
      <c r="K629" s="23" t="s">
        <v>135</v>
      </c>
      <c r="L629" s="22"/>
      <c r="M629" s="9" t="s">
        <v>108</v>
      </c>
      <c r="N629" s="9" t="s">
        <v>109</v>
      </c>
      <c r="O629" s="9"/>
      <c r="P629" s="9" t="s">
        <v>109</v>
      </c>
      <c r="Q629" s="23" t="s">
        <v>122</v>
      </c>
      <c r="R629" s="22"/>
      <c r="S629" s="8" t="s">
        <v>33</v>
      </c>
      <c r="U629" t="s">
        <v>455</v>
      </c>
      <c r="V629" t="s">
        <v>36</v>
      </c>
      <c r="W629" s="14" t="str">
        <f t="shared" si="64"/>
        <v>BB</v>
      </c>
      <c r="X629" s="14" t="str">
        <f t="shared" si="65"/>
        <v>BB</v>
      </c>
      <c r="Y629" s="14" t="str">
        <f t="shared" si="66"/>
        <v>AA+</v>
      </c>
      <c r="Z629" s="14" t="str">
        <f t="shared" si="67"/>
        <v>AA</v>
      </c>
      <c r="AA629" s="14" t="str">
        <f t="shared" si="68"/>
        <v>AB+</v>
      </c>
      <c r="AB629" s="14">
        <f t="shared" si="69"/>
        <v>0</v>
      </c>
      <c r="AC629" s="14" t="str">
        <f t="shared" si="70"/>
        <v>AB+</v>
      </c>
      <c r="AD629" s="14" t="str">
        <f t="shared" si="71"/>
        <v>Pass</v>
      </c>
    </row>
    <row r="630" spans="5:30">
      <c r="E630" s="11" t="s">
        <v>454</v>
      </c>
      <c r="F630" s="8" t="s">
        <v>58</v>
      </c>
      <c r="G630" s="9" t="s">
        <v>59</v>
      </c>
      <c r="H630" s="23" t="s">
        <v>59</v>
      </c>
      <c r="I630" s="24"/>
      <c r="J630" s="22"/>
      <c r="K630" s="23" t="s">
        <v>59</v>
      </c>
      <c r="L630" s="22"/>
      <c r="M630" s="9" t="s">
        <v>59</v>
      </c>
      <c r="N630" s="9" t="s">
        <v>59</v>
      </c>
      <c r="O630" s="9" t="s">
        <v>68</v>
      </c>
      <c r="P630" s="9" t="s">
        <v>59</v>
      </c>
      <c r="Q630" s="23" t="s">
        <v>59</v>
      </c>
      <c r="R630" s="22"/>
      <c r="S630" s="8" t="s">
        <v>33</v>
      </c>
      <c r="U630" t="s">
        <v>37</v>
      </c>
      <c r="V630" t="s">
        <v>33</v>
      </c>
      <c r="W630" s="14" t="str">
        <f t="shared" si="64"/>
        <v>Pass</v>
      </c>
      <c r="X630" s="14" t="str">
        <f t="shared" si="65"/>
        <v>Pass</v>
      </c>
      <c r="Y630" s="14" t="str">
        <f t="shared" si="66"/>
        <v>Pass</v>
      </c>
      <c r="Z630" s="14" t="str">
        <f t="shared" si="67"/>
        <v>Pass</v>
      </c>
      <c r="AA630" s="14" t="str">
        <f t="shared" si="68"/>
        <v>Pass</v>
      </c>
      <c r="AB630" s="14" t="str">
        <f t="shared" si="69"/>
        <v>Fail</v>
      </c>
      <c r="AC630" s="14" t="str">
        <f t="shared" si="70"/>
        <v>Pass</v>
      </c>
      <c r="AD630" s="14" t="str">
        <f t="shared" si="71"/>
        <v/>
      </c>
    </row>
    <row r="631" spans="5:30">
      <c r="E631" s="12" t="s">
        <v>33</v>
      </c>
      <c r="F631" s="12" t="s">
        <v>33</v>
      </c>
      <c r="G631" s="13" t="s">
        <v>33</v>
      </c>
      <c r="H631" s="20" t="s">
        <v>33</v>
      </c>
      <c r="I631" s="18"/>
      <c r="J631" s="18"/>
      <c r="K631" s="20" t="s">
        <v>33</v>
      </c>
      <c r="L631" s="18"/>
      <c r="M631" s="13" t="s">
        <v>33</v>
      </c>
      <c r="N631" s="13" t="s">
        <v>33</v>
      </c>
      <c r="O631" s="13" t="s">
        <v>33</v>
      </c>
      <c r="P631" s="13" t="s">
        <v>33</v>
      </c>
      <c r="Q631" s="20" t="s">
        <v>33</v>
      </c>
      <c r="R631" s="18"/>
      <c r="S631" s="13" t="s">
        <v>33</v>
      </c>
      <c r="U631" t="s">
        <v>459</v>
      </c>
      <c r="V631" t="s">
        <v>33</v>
      </c>
      <c r="W631" s="14" t="str">
        <f t="shared" si="64"/>
        <v/>
      </c>
      <c r="X631" s="14" t="str">
        <f t="shared" si="65"/>
        <v/>
      </c>
      <c r="Y631" s="14" t="str">
        <f t="shared" si="66"/>
        <v/>
      </c>
      <c r="Z631" s="14" t="str">
        <f t="shared" si="67"/>
        <v/>
      </c>
      <c r="AA631" s="14" t="str">
        <f t="shared" si="68"/>
        <v/>
      </c>
      <c r="AB631" s="14" t="str">
        <f t="shared" si="69"/>
        <v/>
      </c>
      <c r="AC631" s="14" t="str">
        <f t="shared" si="70"/>
        <v/>
      </c>
      <c r="AD631" s="14">
        <f t="shared" si="71"/>
        <v>0</v>
      </c>
    </row>
    <row r="632" spans="5:30" ht="0" hidden="1" customHeight="1">
      <c r="U632">
        <v>0</v>
      </c>
      <c r="V632">
        <v>0</v>
      </c>
      <c r="W632" s="14">
        <f t="shared" si="64"/>
        <v>0</v>
      </c>
      <c r="X632" s="14">
        <f t="shared" si="65"/>
        <v>0</v>
      </c>
      <c r="Y632" s="14">
        <f t="shared" si="66"/>
        <v>0</v>
      </c>
      <c r="Z632" s="14">
        <f t="shared" si="67"/>
        <v>0</v>
      </c>
      <c r="AA632" s="14">
        <f t="shared" si="68"/>
        <v>0</v>
      </c>
      <c r="AB632" s="14">
        <f t="shared" si="69"/>
        <v>0</v>
      </c>
      <c r="AC632" s="14">
        <f t="shared" si="70"/>
        <v>0</v>
      </c>
      <c r="AD632" s="14">
        <f t="shared" si="71"/>
        <v>0</v>
      </c>
    </row>
    <row r="633" spans="5:30" ht="0.6" customHeight="1">
      <c r="U633">
        <v>0</v>
      </c>
      <c r="V633">
        <v>25</v>
      </c>
      <c r="W633" s="14">
        <f t="shared" si="64"/>
        <v>0</v>
      </c>
      <c r="X633" s="14">
        <f t="shared" si="65"/>
        <v>0</v>
      </c>
      <c r="Y633" s="14">
        <f t="shared" si="66"/>
        <v>0</v>
      </c>
      <c r="Z633" s="14">
        <f t="shared" si="67"/>
        <v>0</v>
      </c>
      <c r="AA633" s="14">
        <f t="shared" si="68"/>
        <v>0</v>
      </c>
      <c r="AB633" s="14">
        <f t="shared" si="69"/>
        <v>0</v>
      </c>
      <c r="AC633" s="14">
        <f t="shared" si="70"/>
        <v>0</v>
      </c>
      <c r="AD633" s="14" t="str">
        <f t="shared" si="71"/>
        <v/>
      </c>
    </row>
    <row r="634" spans="5:30">
      <c r="E634" s="4"/>
      <c r="F634" s="3" t="s">
        <v>32</v>
      </c>
      <c r="G634" s="5" t="s">
        <v>33</v>
      </c>
      <c r="H634" s="32" t="s">
        <v>33</v>
      </c>
      <c r="I634" s="18"/>
      <c r="J634" s="18"/>
      <c r="K634" s="32" t="s">
        <v>33</v>
      </c>
      <c r="L634" s="18"/>
      <c r="M634" s="5" t="s">
        <v>33</v>
      </c>
      <c r="N634" s="5" t="s">
        <v>33</v>
      </c>
      <c r="O634" s="5" t="s">
        <v>33</v>
      </c>
      <c r="P634" s="5" t="s">
        <v>33</v>
      </c>
      <c r="Q634" s="32" t="s">
        <v>33</v>
      </c>
      <c r="R634" s="18"/>
      <c r="S634" s="5" t="s">
        <v>33</v>
      </c>
      <c r="U634" t="s">
        <v>46</v>
      </c>
      <c r="V634" t="s">
        <v>33</v>
      </c>
      <c r="W634" s="14" t="str">
        <f t="shared" si="64"/>
        <v/>
      </c>
      <c r="X634" s="14" t="str">
        <f t="shared" si="65"/>
        <v/>
      </c>
      <c r="Y634" s="14" t="str">
        <f t="shared" si="66"/>
        <v/>
      </c>
      <c r="Z634" s="14" t="str">
        <f t="shared" si="67"/>
        <v/>
      </c>
      <c r="AA634" s="14" t="str">
        <f t="shared" si="68"/>
        <v/>
      </c>
      <c r="AB634" s="14" t="str">
        <f t="shared" si="69"/>
        <v/>
      </c>
      <c r="AC634" s="14" t="str">
        <f t="shared" si="70"/>
        <v/>
      </c>
      <c r="AD634" s="14" t="str">
        <f t="shared" si="71"/>
        <v>COMFISN301</v>
      </c>
    </row>
    <row r="635" spans="5:30" ht="21">
      <c r="E635" s="4"/>
      <c r="F635" s="7" t="s">
        <v>35</v>
      </c>
      <c r="G635" s="7" t="s">
        <v>5</v>
      </c>
      <c r="H635" s="30" t="s">
        <v>7</v>
      </c>
      <c r="I635" s="24"/>
      <c r="J635" s="22"/>
      <c r="K635" s="30" t="s">
        <v>9</v>
      </c>
      <c r="L635" s="22"/>
      <c r="M635" s="7" t="s">
        <v>11</v>
      </c>
      <c r="N635" s="7" t="s">
        <v>13</v>
      </c>
      <c r="O635" s="7" t="s">
        <v>17</v>
      </c>
      <c r="P635" s="7" t="s">
        <v>19</v>
      </c>
      <c r="Q635" s="30" t="s">
        <v>21</v>
      </c>
      <c r="R635" s="22"/>
      <c r="S635" s="7" t="s">
        <v>36</v>
      </c>
      <c r="U635" t="s">
        <v>48</v>
      </c>
      <c r="V635">
        <v>208</v>
      </c>
      <c r="W635" s="14" t="str">
        <f t="shared" si="64"/>
        <v>BBABMCN301</v>
      </c>
      <c r="X635" s="14" t="str">
        <f t="shared" si="65"/>
        <v>BBABMCN302</v>
      </c>
      <c r="Y635" s="14" t="str">
        <f t="shared" si="66"/>
        <v>BBABMCN303</v>
      </c>
      <c r="Z635" s="14" t="str">
        <f t="shared" si="67"/>
        <v>BBAENLN301</v>
      </c>
      <c r="AA635" s="14" t="str">
        <f t="shared" si="68"/>
        <v>BBAHDLN301</v>
      </c>
      <c r="AB635" s="14" t="str">
        <f t="shared" si="69"/>
        <v>BCACAEN302</v>
      </c>
      <c r="AC635" s="14" t="str">
        <f t="shared" si="70"/>
        <v>COMCUSN302</v>
      </c>
      <c r="AD635" s="14" t="str">
        <f t="shared" si="71"/>
        <v>25.00 + 20.00</v>
      </c>
    </row>
    <row r="636" spans="5:30" ht="22.5">
      <c r="E636" s="6" t="s">
        <v>456</v>
      </c>
      <c r="F636" s="8" t="s">
        <v>39</v>
      </c>
      <c r="G636" s="9" t="s">
        <v>327</v>
      </c>
      <c r="H636" s="23" t="s">
        <v>311</v>
      </c>
      <c r="I636" s="24"/>
      <c r="J636" s="22"/>
      <c r="K636" s="23" t="s">
        <v>457</v>
      </c>
      <c r="L636" s="22"/>
      <c r="M636" s="9" t="s">
        <v>458</v>
      </c>
      <c r="N636" s="9" t="s">
        <v>273</v>
      </c>
      <c r="O636" s="9" t="s">
        <v>127</v>
      </c>
      <c r="P636" s="9" t="s">
        <v>43</v>
      </c>
      <c r="Q636" s="23" t="s">
        <v>157</v>
      </c>
      <c r="R636" s="22"/>
      <c r="S636" s="8" t="s">
        <v>33</v>
      </c>
      <c r="U636" t="s">
        <v>50</v>
      </c>
      <c r="V636">
        <v>555</v>
      </c>
      <c r="W636" s="14" t="str">
        <f t="shared" si="64"/>
        <v>44.00 + 33.00</v>
      </c>
      <c r="X636" s="14" t="str">
        <f t="shared" si="65"/>
        <v>40.00 + 36.00</v>
      </c>
      <c r="Y636" s="14" t="str">
        <f t="shared" si="66"/>
        <v>47.00 + 40.00</v>
      </c>
      <c r="Z636" s="14" t="str">
        <f t="shared" si="67"/>
        <v>40.00 + 35.00</v>
      </c>
      <c r="AA636" s="14" t="str">
        <f t="shared" si="68"/>
        <v>53.00 + 40.00</v>
      </c>
      <c r="AB636" s="14" t="str">
        <f t="shared" si="69"/>
        <v>25.00 + 27.00</v>
      </c>
      <c r="AC636" s="14" t="str">
        <f t="shared" si="70"/>
        <v xml:space="preserve"> - - + - - </v>
      </c>
      <c r="AD636" s="14" t="str">
        <f t="shared" si="71"/>
        <v xml:space="preserve"> - - + - - </v>
      </c>
    </row>
    <row r="637" spans="5:30">
      <c r="E637" s="25"/>
      <c r="F637" s="8" t="s">
        <v>42</v>
      </c>
      <c r="G637" s="9" t="s">
        <v>43</v>
      </c>
      <c r="H637" s="23" t="s">
        <v>43</v>
      </c>
      <c r="I637" s="24"/>
      <c r="J637" s="22"/>
      <c r="K637" s="23" t="s">
        <v>43</v>
      </c>
      <c r="L637" s="22"/>
      <c r="M637" s="9" t="s">
        <v>43</v>
      </c>
      <c r="N637" s="9" t="s">
        <v>43</v>
      </c>
      <c r="O637" s="9" t="s">
        <v>43</v>
      </c>
      <c r="P637" s="9" t="s">
        <v>91</v>
      </c>
      <c r="Q637" s="23" t="s">
        <v>43</v>
      </c>
      <c r="R637" s="22"/>
      <c r="S637" s="8" t="s">
        <v>33</v>
      </c>
      <c r="U637" t="s">
        <v>51</v>
      </c>
      <c r="V637">
        <v>700</v>
      </c>
      <c r="W637" s="14" t="str">
        <f t="shared" si="64"/>
        <v xml:space="preserve"> - - + - - </v>
      </c>
      <c r="X637" s="14" t="str">
        <f t="shared" si="65"/>
        <v xml:space="preserve"> - - + - - </v>
      </c>
      <c r="Y637" s="14" t="str">
        <f t="shared" si="66"/>
        <v xml:space="preserve"> - - + - - </v>
      </c>
      <c r="Z637" s="14" t="str">
        <f t="shared" si="67"/>
        <v xml:space="preserve"> - - + - - </v>
      </c>
      <c r="AA637" s="14" t="str">
        <f t="shared" si="68"/>
        <v xml:space="preserve"> - - + - - </v>
      </c>
      <c r="AB637" s="14" t="str">
        <f t="shared" si="69"/>
        <v xml:space="preserve"> - - + - - </v>
      </c>
      <c r="AC637" s="14" t="str">
        <f t="shared" si="70"/>
        <v xml:space="preserve"> - - +50.00</v>
      </c>
      <c r="AD637" s="14" t="str">
        <f t="shared" si="71"/>
        <v/>
      </c>
    </row>
    <row r="638" spans="5:30">
      <c r="E638" s="27"/>
      <c r="F638" s="8" t="s">
        <v>44</v>
      </c>
      <c r="G638" s="9" t="s">
        <v>33</v>
      </c>
      <c r="H638" s="23" t="s">
        <v>33</v>
      </c>
      <c r="I638" s="24"/>
      <c r="J638" s="22"/>
      <c r="K638" s="23" t="s">
        <v>33</v>
      </c>
      <c r="L638" s="22"/>
      <c r="M638" s="9" t="s">
        <v>33</v>
      </c>
      <c r="N638" s="9" t="s">
        <v>33</v>
      </c>
      <c r="O638" s="9" t="s">
        <v>33</v>
      </c>
      <c r="P638" s="9" t="s">
        <v>33</v>
      </c>
      <c r="Q638" s="23" t="s">
        <v>33</v>
      </c>
      <c r="R638" s="22"/>
      <c r="S638" s="8">
        <v>0</v>
      </c>
      <c r="U638" t="s">
        <v>159</v>
      </c>
      <c r="V638" t="s">
        <v>33</v>
      </c>
      <c r="W638" s="14" t="str">
        <f t="shared" si="64"/>
        <v/>
      </c>
      <c r="X638" s="14" t="str">
        <f t="shared" si="65"/>
        <v/>
      </c>
      <c r="Y638" s="14" t="str">
        <f t="shared" si="66"/>
        <v/>
      </c>
      <c r="Z638" s="14" t="str">
        <f t="shared" si="67"/>
        <v/>
      </c>
      <c r="AA638" s="14" t="str">
        <f t="shared" si="68"/>
        <v/>
      </c>
      <c r="AB638" s="14" t="str">
        <f t="shared" si="69"/>
        <v/>
      </c>
      <c r="AC638" s="14" t="str">
        <f t="shared" si="70"/>
        <v/>
      </c>
      <c r="AD638" s="14">
        <f t="shared" si="71"/>
        <v>2</v>
      </c>
    </row>
    <row r="639" spans="5:30">
      <c r="E639" s="29"/>
      <c r="F639" s="8" t="s">
        <v>45</v>
      </c>
      <c r="G639" s="9">
        <v>4</v>
      </c>
      <c r="H639" s="23">
        <v>4</v>
      </c>
      <c r="I639" s="24"/>
      <c r="J639" s="22"/>
      <c r="K639" s="23">
        <v>4</v>
      </c>
      <c r="L639" s="22"/>
      <c r="M639" s="9">
        <v>3</v>
      </c>
      <c r="N639" s="9">
        <v>3</v>
      </c>
      <c r="O639" s="9">
        <v>3</v>
      </c>
      <c r="P639" s="9">
        <v>2</v>
      </c>
      <c r="Q639" s="23">
        <v>2</v>
      </c>
      <c r="R639" s="22"/>
      <c r="S639" s="8">
        <v>25</v>
      </c>
      <c r="U639" t="s">
        <v>56</v>
      </c>
      <c r="V639" t="s">
        <v>33</v>
      </c>
      <c r="W639" s="14">
        <f t="shared" si="64"/>
        <v>4</v>
      </c>
      <c r="X639" s="14">
        <f t="shared" si="65"/>
        <v>4</v>
      </c>
      <c r="Y639" s="14">
        <f t="shared" si="66"/>
        <v>4</v>
      </c>
      <c r="Z639" s="14">
        <f t="shared" si="67"/>
        <v>3</v>
      </c>
      <c r="AA639" s="14">
        <f t="shared" si="68"/>
        <v>3</v>
      </c>
      <c r="AB639" s="14">
        <f t="shared" si="69"/>
        <v>3</v>
      </c>
      <c r="AC639" s="14">
        <f t="shared" si="70"/>
        <v>2</v>
      </c>
      <c r="AD639" s="14">
        <f t="shared" si="71"/>
        <v>9.5</v>
      </c>
    </row>
    <row r="640" spans="5:30">
      <c r="E640" s="6">
        <v>8.32</v>
      </c>
      <c r="F640" s="8" t="s">
        <v>47</v>
      </c>
      <c r="G640" s="9">
        <v>8</v>
      </c>
      <c r="H640" s="23">
        <v>8</v>
      </c>
      <c r="I640" s="24"/>
      <c r="J640" s="22"/>
      <c r="K640" s="23">
        <v>9</v>
      </c>
      <c r="L640" s="22"/>
      <c r="M640" s="9">
        <v>8</v>
      </c>
      <c r="N640" s="9">
        <v>9.5</v>
      </c>
      <c r="O640" s="9">
        <v>5.5</v>
      </c>
      <c r="P640" s="9">
        <v>10</v>
      </c>
      <c r="Q640" s="23">
        <v>9.5</v>
      </c>
      <c r="R640" s="22"/>
      <c r="S640" s="8" t="s">
        <v>33</v>
      </c>
      <c r="U640" t="s">
        <v>33</v>
      </c>
      <c r="V640" t="s">
        <v>33</v>
      </c>
      <c r="W640" s="14">
        <f t="shared" si="64"/>
        <v>8</v>
      </c>
      <c r="X640" s="14">
        <f t="shared" si="65"/>
        <v>8</v>
      </c>
      <c r="Y640" s="14">
        <f t="shared" si="66"/>
        <v>9</v>
      </c>
      <c r="Z640" s="14">
        <f t="shared" si="67"/>
        <v>8</v>
      </c>
      <c r="AA640" s="14">
        <f t="shared" si="68"/>
        <v>9.5</v>
      </c>
      <c r="AB640" s="14">
        <f t="shared" si="69"/>
        <v>5.5</v>
      </c>
      <c r="AC640" s="14">
        <f t="shared" si="70"/>
        <v>10</v>
      </c>
      <c r="AD640" s="14">
        <f t="shared" si="71"/>
        <v>19</v>
      </c>
    </row>
    <row r="641" spans="5:30">
      <c r="E641" s="10">
        <v>8.31</v>
      </c>
      <c r="F641" s="8" t="s">
        <v>49</v>
      </c>
      <c r="G641" s="9">
        <v>32</v>
      </c>
      <c r="H641" s="23">
        <v>32</v>
      </c>
      <c r="I641" s="24"/>
      <c r="J641" s="22"/>
      <c r="K641" s="23">
        <v>36</v>
      </c>
      <c r="L641" s="22"/>
      <c r="M641" s="9">
        <v>24</v>
      </c>
      <c r="N641" s="9">
        <v>28.5</v>
      </c>
      <c r="O641" s="9">
        <v>16.5</v>
      </c>
      <c r="P641" s="9">
        <v>20</v>
      </c>
      <c r="Q641" s="23">
        <v>19</v>
      </c>
      <c r="R641" s="22"/>
      <c r="S641" s="8">
        <v>208</v>
      </c>
      <c r="U641">
        <v>0</v>
      </c>
      <c r="V641">
        <v>0</v>
      </c>
      <c r="W641" s="14">
        <f t="shared" si="64"/>
        <v>32</v>
      </c>
      <c r="X641" s="14">
        <f t="shared" si="65"/>
        <v>32</v>
      </c>
      <c r="Y641" s="14">
        <f t="shared" si="66"/>
        <v>36</v>
      </c>
      <c r="Z641" s="14">
        <f t="shared" si="67"/>
        <v>24</v>
      </c>
      <c r="AA641" s="14">
        <f t="shared" si="68"/>
        <v>28.5</v>
      </c>
      <c r="AB641" s="14">
        <f t="shared" si="69"/>
        <v>16.5</v>
      </c>
      <c r="AC641" s="14">
        <f t="shared" si="70"/>
        <v>20</v>
      </c>
      <c r="AD641" s="14">
        <f t="shared" si="71"/>
        <v>45</v>
      </c>
    </row>
    <row r="642" spans="5:30">
      <c r="E642" s="4"/>
      <c r="F642" s="8" t="s">
        <v>36</v>
      </c>
      <c r="G642" s="9">
        <v>77</v>
      </c>
      <c r="H642" s="23">
        <v>76</v>
      </c>
      <c r="I642" s="24"/>
      <c r="J642" s="22"/>
      <c r="K642" s="23">
        <v>87</v>
      </c>
      <c r="L642" s="22"/>
      <c r="M642" s="9">
        <v>75</v>
      </c>
      <c r="N642" s="9">
        <v>93</v>
      </c>
      <c r="O642" s="9">
        <v>52</v>
      </c>
      <c r="P642" s="9">
        <v>50</v>
      </c>
      <c r="Q642" s="23">
        <v>45</v>
      </c>
      <c r="R642" s="22"/>
      <c r="S642" s="8">
        <v>555</v>
      </c>
      <c r="U642">
        <v>0</v>
      </c>
      <c r="V642">
        <v>0</v>
      </c>
      <c r="W642" s="14">
        <f t="shared" si="64"/>
        <v>77</v>
      </c>
      <c r="X642" s="14">
        <f t="shared" si="65"/>
        <v>76</v>
      </c>
      <c r="Y642" s="14">
        <f t="shared" si="66"/>
        <v>87</v>
      </c>
      <c r="Z642" s="14">
        <f t="shared" si="67"/>
        <v>75</v>
      </c>
      <c r="AA642" s="14">
        <f t="shared" si="68"/>
        <v>93</v>
      </c>
      <c r="AB642" s="14">
        <f t="shared" si="69"/>
        <v>52</v>
      </c>
      <c r="AC642" s="14">
        <f t="shared" si="70"/>
        <v>50</v>
      </c>
      <c r="AD642" s="14">
        <f t="shared" si="71"/>
        <v>50</v>
      </c>
    </row>
    <row r="643" spans="5:30">
      <c r="E643" s="6"/>
      <c r="F643" s="8" t="s">
        <v>52</v>
      </c>
      <c r="G643" s="9">
        <v>100</v>
      </c>
      <c r="H643" s="23">
        <v>100</v>
      </c>
      <c r="I643" s="24"/>
      <c r="J643" s="22"/>
      <c r="K643" s="23">
        <v>100</v>
      </c>
      <c r="L643" s="22"/>
      <c r="M643" s="9">
        <v>100</v>
      </c>
      <c r="N643" s="9">
        <v>100</v>
      </c>
      <c r="O643" s="9">
        <v>100</v>
      </c>
      <c r="P643" s="9">
        <v>50</v>
      </c>
      <c r="Q643" s="23">
        <v>50</v>
      </c>
      <c r="R643" s="22"/>
      <c r="S643" s="8">
        <v>700</v>
      </c>
      <c r="U643" t="s">
        <v>31</v>
      </c>
      <c r="V643" t="s">
        <v>33</v>
      </c>
      <c r="W643" s="14">
        <f t="shared" si="64"/>
        <v>100</v>
      </c>
      <c r="X643" s="14">
        <f t="shared" si="65"/>
        <v>100</v>
      </c>
      <c r="Y643" s="14">
        <f t="shared" si="66"/>
        <v>100</v>
      </c>
      <c r="Z643" s="14">
        <f t="shared" si="67"/>
        <v>100</v>
      </c>
      <c r="AA643" s="14">
        <f t="shared" si="68"/>
        <v>100</v>
      </c>
      <c r="AB643" s="14">
        <f t="shared" si="69"/>
        <v>100</v>
      </c>
      <c r="AC643" s="14">
        <f t="shared" si="70"/>
        <v>50</v>
      </c>
      <c r="AD643" s="14" t="str">
        <f t="shared" si="71"/>
        <v>OO</v>
      </c>
    </row>
    <row r="644" spans="5:30">
      <c r="E644" s="4"/>
      <c r="F644" s="8" t="s">
        <v>54</v>
      </c>
      <c r="G644" s="9" t="s">
        <v>135</v>
      </c>
      <c r="H644" s="23" t="s">
        <v>135</v>
      </c>
      <c r="I644" s="24"/>
      <c r="J644" s="22"/>
      <c r="K644" s="23" t="s">
        <v>122</v>
      </c>
      <c r="L644" s="22"/>
      <c r="M644" s="9" t="s">
        <v>135</v>
      </c>
      <c r="N644" s="9" t="s">
        <v>94</v>
      </c>
      <c r="O644" s="9" t="s">
        <v>123</v>
      </c>
      <c r="P644" s="9" t="s">
        <v>93</v>
      </c>
      <c r="Q644" s="23" t="s">
        <v>94</v>
      </c>
      <c r="R644" s="22"/>
      <c r="S644" s="8" t="s">
        <v>33</v>
      </c>
      <c r="U644" t="s">
        <v>461</v>
      </c>
      <c r="V644" t="s">
        <v>36</v>
      </c>
      <c r="W644" s="14" t="str">
        <f t="shared" si="64"/>
        <v>AA+</v>
      </c>
      <c r="X644" s="14" t="str">
        <f t="shared" si="65"/>
        <v>AA+</v>
      </c>
      <c r="Y644" s="14" t="str">
        <f t="shared" si="66"/>
        <v>OA+</v>
      </c>
      <c r="Z644" s="14" t="str">
        <f t="shared" si="67"/>
        <v>AA+</v>
      </c>
      <c r="AA644" s="14" t="str">
        <f t="shared" si="68"/>
        <v>OO</v>
      </c>
      <c r="AB644" s="14" t="str">
        <f t="shared" si="69"/>
        <v>BB</v>
      </c>
      <c r="AC644" s="14" t="str">
        <f t="shared" si="70"/>
        <v>OO+</v>
      </c>
      <c r="AD644" s="14" t="str">
        <f t="shared" si="71"/>
        <v>Pass</v>
      </c>
    </row>
    <row r="645" spans="5:30">
      <c r="E645" s="11" t="s">
        <v>460</v>
      </c>
      <c r="F645" s="8" t="s">
        <v>58</v>
      </c>
      <c r="G645" s="9" t="s">
        <v>59</v>
      </c>
      <c r="H645" s="23" t="s">
        <v>59</v>
      </c>
      <c r="I645" s="24"/>
      <c r="J645" s="22"/>
      <c r="K645" s="23" t="s">
        <v>59</v>
      </c>
      <c r="L645" s="22"/>
      <c r="M645" s="9" t="s">
        <v>59</v>
      </c>
      <c r="N645" s="9" t="s">
        <v>59</v>
      </c>
      <c r="O645" s="9" t="s">
        <v>59</v>
      </c>
      <c r="P645" s="9" t="s">
        <v>59</v>
      </c>
      <c r="Q645" s="23" t="s">
        <v>59</v>
      </c>
      <c r="R645" s="22"/>
      <c r="S645" s="8" t="s">
        <v>33</v>
      </c>
      <c r="U645" t="s">
        <v>37</v>
      </c>
      <c r="V645" t="s">
        <v>33</v>
      </c>
      <c r="W645" s="14" t="str">
        <f t="shared" si="64"/>
        <v>Pass</v>
      </c>
      <c r="X645" s="14" t="str">
        <f t="shared" si="65"/>
        <v>Pass</v>
      </c>
      <c r="Y645" s="14" t="str">
        <f t="shared" si="66"/>
        <v>Pass</v>
      </c>
      <c r="Z645" s="14" t="str">
        <f t="shared" si="67"/>
        <v>Pass</v>
      </c>
      <c r="AA645" s="14" t="str">
        <f t="shared" si="68"/>
        <v>Pass</v>
      </c>
      <c r="AB645" s="14" t="str">
        <f t="shared" si="69"/>
        <v>Pass</v>
      </c>
      <c r="AC645" s="14" t="str">
        <f t="shared" si="70"/>
        <v>Pass</v>
      </c>
      <c r="AD645" s="14" t="str">
        <f t="shared" si="71"/>
        <v/>
      </c>
    </row>
    <row r="646" spans="5:30">
      <c r="E646" s="12" t="s">
        <v>33</v>
      </c>
      <c r="F646" s="12" t="s">
        <v>33</v>
      </c>
      <c r="G646" s="13" t="s">
        <v>33</v>
      </c>
      <c r="H646" s="20" t="s">
        <v>33</v>
      </c>
      <c r="I646" s="18"/>
      <c r="J646" s="18"/>
      <c r="K646" s="20" t="s">
        <v>33</v>
      </c>
      <c r="L646" s="18"/>
      <c r="M646" s="13" t="s">
        <v>33</v>
      </c>
      <c r="N646" s="13" t="s">
        <v>33</v>
      </c>
      <c r="O646" s="13" t="s">
        <v>33</v>
      </c>
      <c r="P646" s="13" t="s">
        <v>33</v>
      </c>
      <c r="Q646" s="20" t="s">
        <v>33</v>
      </c>
      <c r="R646" s="18"/>
      <c r="S646" s="13" t="s">
        <v>33</v>
      </c>
      <c r="U646" t="s">
        <v>468</v>
      </c>
      <c r="V646" t="s">
        <v>33</v>
      </c>
      <c r="W646" s="14" t="str">
        <f t="shared" si="64"/>
        <v/>
      </c>
      <c r="X646" s="14" t="str">
        <f t="shared" si="65"/>
        <v/>
      </c>
      <c r="Y646" s="14" t="str">
        <f t="shared" si="66"/>
        <v/>
      </c>
      <c r="Z646" s="14" t="str">
        <f t="shared" si="67"/>
        <v/>
      </c>
      <c r="AA646" s="14" t="str">
        <f t="shared" si="68"/>
        <v/>
      </c>
      <c r="AB646" s="14" t="str">
        <f t="shared" si="69"/>
        <v/>
      </c>
      <c r="AC646" s="14" t="str">
        <f t="shared" si="70"/>
        <v/>
      </c>
      <c r="AD646" s="14">
        <f t="shared" si="71"/>
        <v>0</v>
      </c>
    </row>
    <row r="647" spans="5:30" ht="0" hidden="1" customHeight="1">
      <c r="U647">
        <v>0</v>
      </c>
      <c r="V647">
        <v>0</v>
      </c>
      <c r="W647" s="14">
        <f t="shared" ref="W647:W710" si="72">$G647</f>
        <v>0</v>
      </c>
      <c r="X647" s="14">
        <f t="shared" ref="X647:X710" si="73">$H647</f>
        <v>0</v>
      </c>
      <c r="Y647" s="14">
        <f t="shared" ref="Y647:Y710" si="74">$K647</f>
        <v>0</v>
      </c>
      <c r="Z647" s="14">
        <f t="shared" ref="Z647:Z710" si="75">$M647</f>
        <v>0</v>
      </c>
      <c r="AA647" s="14">
        <f t="shared" ref="AA647:AA710" si="76">$N647</f>
        <v>0</v>
      </c>
      <c r="AB647" s="14">
        <f t="shared" ref="AB647:AB710" si="77">$O647</f>
        <v>0</v>
      </c>
      <c r="AC647" s="14">
        <f t="shared" ref="AC647:AC710" si="78">$P647</f>
        <v>0</v>
      </c>
      <c r="AD647" s="14">
        <f t="shared" ref="AD647:AD710" si="79">$Q648</f>
        <v>0</v>
      </c>
    </row>
    <row r="648" spans="5:30" ht="0.6" customHeight="1">
      <c r="U648">
        <v>0</v>
      </c>
      <c r="V648">
        <v>25</v>
      </c>
      <c r="W648" s="14">
        <f t="shared" si="72"/>
        <v>0</v>
      </c>
      <c r="X648" s="14">
        <f t="shared" si="73"/>
        <v>0</v>
      </c>
      <c r="Y648" s="14">
        <f t="shared" si="74"/>
        <v>0</v>
      </c>
      <c r="Z648" s="14">
        <f t="shared" si="75"/>
        <v>0</v>
      </c>
      <c r="AA648" s="14">
        <f t="shared" si="76"/>
        <v>0</v>
      </c>
      <c r="AB648" s="14">
        <f t="shared" si="77"/>
        <v>0</v>
      </c>
      <c r="AC648" s="14">
        <f t="shared" si="78"/>
        <v>0</v>
      </c>
      <c r="AD648" s="14" t="str">
        <f t="shared" si="79"/>
        <v/>
      </c>
    </row>
    <row r="649" spans="5:30">
      <c r="E649" s="4"/>
      <c r="F649" s="3" t="s">
        <v>32</v>
      </c>
      <c r="G649" s="5" t="s">
        <v>33</v>
      </c>
      <c r="H649" s="32" t="s">
        <v>33</v>
      </c>
      <c r="I649" s="18"/>
      <c r="J649" s="18"/>
      <c r="K649" s="32" t="s">
        <v>33</v>
      </c>
      <c r="L649" s="18"/>
      <c r="M649" s="5" t="s">
        <v>33</v>
      </c>
      <c r="N649" s="5" t="s">
        <v>33</v>
      </c>
      <c r="O649" s="5" t="s">
        <v>33</v>
      </c>
      <c r="P649" s="5" t="s">
        <v>33</v>
      </c>
      <c r="Q649" s="32" t="s">
        <v>33</v>
      </c>
      <c r="R649" s="18"/>
      <c r="S649" s="5" t="s">
        <v>33</v>
      </c>
      <c r="U649" t="s">
        <v>46</v>
      </c>
      <c r="V649" t="s">
        <v>33</v>
      </c>
      <c r="W649" s="14" t="str">
        <f t="shared" si="72"/>
        <v/>
      </c>
      <c r="X649" s="14" t="str">
        <f t="shared" si="73"/>
        <v/>
      </c>
      <c r="Y649" s="14" t="str">
        <f t="shared" si="74"/>
        <v/>
      </c>
      <c r="Z649" s="14" t="str">
        <f t="shared" si="75"/>
        <v/>
      </c>
      <c r="AA649" s="14" t="str">
        <f t="shared" si="76"/>
        <v/>
      </c>
      <c r="AB649" s="14" t="str">
        <f t="shared" si="77"/>
        <v/>
      </c>
      <c r="AC649" s="14" t="str">
        <f t="shared" si="78"/>
        <v/>
      </c>
      <c r="AD649" s="14" t="str">
        <f t="shared" si="79"/>
        <v>COMRRSN302</v>
      </c>
    </row>
    <row r="650" spans="5:30" ht="21">
      <c r="E650" s="4"/>
      <c r="F650" s="7" t="s">
        <v>35</v>
      </c>
      <c r="G650" s="7" t="s">
        <v>5</v>
      </c>
      <c r="H650" s="30" t="s">
        <v>7</v>
      </c>
      <c r="I650" s="24"/>
      <c r="J650" s="22"/>
      <c r="K650" s="30" t="s">
        <v>9</v>
      </c>
      <c r="L650" s="22"/>
      <c r="M650" s="7" t="s">
        <v>11</v>
      </c>
      <c r="N650" s="7" t="s">
        <v>15</v>
      </c>
      <c r="O650" s="7" t="s">
        <v>17</v>
      </c>
      <c r="P650" s="7" t="s">
        <v>21</v>
      </c>
      <c r="Q650" s="30" t="s">
        <v>27</v>
      </c>
      <c r="R650" s="22"/>
      <c r="S650" s="7" t="s">
        <v>36</v>
      </c>
      <c r="U650" t="s">
        <v>48</v>
      </c>
      <c r="V650">
        <v>189.5</v>
      </c>
      <c r="W650" s="14" t="str">
        <f t="shared" si="72"/>
        <v>BBABMCN301</v>
      </c>
      <c r="X650" s="14" t="str">
        <f t="shared" si="73"/>
        <v>BBABMCN302</v>
      </c>
      <c r="Y650" s="14" t="str">
        <f t="shared" si="74"/>
        <v>BBABMCN303</v>
      </c>
      <c r="Z650" s="14" t="str">
        <f t="shared" si="75"/>
        <v>BBAENLN301</v>
      </c>
      <c r="AA650" s="14" t="str">
        <f t="shared" si="76"/>
        <v>BBAKALN302</v>
      </c>
      <c r="AB650" s="14" t="str">
        <f t="shared" si="77"/>
        <v>BCACAEN302</v>
      </c>
      <c r="AC650" s="14" t="str">
        <f t="shared" si="78"/>
        <v>COMFISN301</v>
      </c>
      <c r="AD650" s="14" t="str">
        <f t="shared" si="79"/>
        <v xml:space="preserve"> - - + - - </v>
      </c>
    </row>
    <row r="651" spans="5:30" ht="22.5">
      <c r="E651" s="6" t="s">
        <v>462</v>
      </c>
      <c r="F651" s="8" t="s">
        <v>39</v>
      </c>
      <c r="G651" s="9" t="s">
        <v>399</v>
      </c>
      <c r="H651" s="23" t="s">
        <v>463</v>
      </c>
      <c r="I651" s="24"/>
      <c r="J651" s="22"/>
      <c r="K651" s="23" t="s">
        <v>464</v>
      </c>
      <c r="L651" s="22"/>
      <c r="M651" s="9" t="s">
        <v>465</v>
      </c>
      <c r="N651" s="9" t="s">
        <v>466</v>
      </c>
      <c r="O651" s="9" t="s">
        <v>391</v>
      </c>
      <c r="P651" s="9" t="s">
        <v>467</v>
      </c>
      <c r="Q651" s="23" t="s">
        <v>43</v>
      </c>
      <c r="R651" s="22"/>
      <c r="S651" s="8" t="s">
        <v>33</v>
      </c>
      <c r="U651" t="s">
        <v>50</v>
      </c>
      <c r="V651">
        <v>503</v>
      </c>
      <c r="W651" s="14" t="str">
        <f t="shared" si="72"/>
        <v>31.00 + 25.00</v>
      </c>
      <c r="X651" s="14" t="str">
        <f t="shared" si="73"/>
        <v>47.00 + 28.00</v>
      </c>
      <c r="Y651" s="14" t="str">
        <f t="shared" si="74"/>
        <v>37.00 + 35.00</v>
      </c>
      <c r="Z651" s="14" t="str">
        <f t="shared" si="75"/>
        <v>41.00 + 27.00</v>
      </c>
      <c r="AA651" s="14" t="str">
        <f t="shared" si="76"/>
        <v>51.00 + 36.00</v>
      </c>
      <c r="AB651" s="14" t="str">
        <f t="shared" si="77"/>
        <v>27.00 + 23.00</v>
      </c>
      <c r="AC651" s="14" t="str">
        <f t="shared" si="78"/>
        <v>29.00 + 16.00</v>
      </c>
      <c r="AD651" s="14" t="str">
        <f t="shared" si="79"/>
        <v xml:space="preserve"> - - +50.00</v>
      </c>
    </row>
    <row r="652" spans="5:30">
      <c r="E652" s="25"/>
      <c r="F652" s="8" t="s">
        <v>42</v>
      </c>
      <c r="G652" s="9" t="s">
        <v>43</v>
      </c>
      <c r="H652" s="23" t="s">
        <v>43</v>
      </c>
      <c r="I652" s="24"/>
      <c r="J652" s="22"/>
      <c r="K652" s="23" t="s">
        <v>43</v>
      </c>
      <c r="L652" s="22"/>
      <c r="M652" s="9" t="s">
        <v>43</v>
      </c>
      <c r="N652" s="9" t="s">
        <v>43</v>
      </c>
      <c r="O652" s="9" t="s">
        <v>43</v>
      </c>
      <c r="P652" s="9" t="s">
        <v>43</v>
      </c>
      <c r="Q652" s="23" t="s">
        <v>91</v>
      </c>
      <c r="R652" s="22"/>
      <c r="S652" s="8" t="s">
        <v>33</v>
      </c>
      <c r="U652" t="s">
        <v>51</v>
      </c>
      <c r="V652">
        <v>700</v>
      </c>
      <c r="W652" s="14" t="str">
        <f t="shared" si="72"/>
        <v xml:space="preserve"> - - + - - </v>
      </c>
      <c r="X652" s="14" t="str">
        <f t="shared" si="73"/>
        <v xml:space="preserve"> - - + - - </v>
      </c>
      <c r="Y652" s="14" t="str">
        <f t="shared" si="74"/>
        <v xml:space="preserve"> - - + - - </v>
      </c>
      <c r="Z652" s="14" t="str">
        <f t="shared" si="75"/>
        <v xml:space="preserve"> - - + - - </v>
      </c>
      <c r="AA652" s="14" t="str">
        <f t="shared" si="76"/>
        <v xml:space="preserve"> - - + - - </v>
      </c>
      <c r="AB652" s="14" t="str">
        <f t="shared" si="77"/>
        <v xml:space="preserve"> - - + - - </v>
      </c>
      <c r="AC652" s="14" t="str">
        <f t="shared" si="78"/>
        <v xml:space="preserve"> - - + - - </v>
      </c>
      <c r="AD652" s="14" t="str">
        <f t="shared" si="79"/>
        <v/>
      </c>
    </row>
    <row r="653" spans="5:30">
      <c r="E653" s="27"/>
      <c r="F653" s="8" t="s">
        <v>44</v>
      </c>
      <c r="G653" s="9" t="s">
        <v>33</v>
      </c>
      <c r="H653" s="23" t="s">
        <v>33</v>
      </c>
      <c r="I653" s="24"/>
      <c r="J653" s="22"/>
      <c r="K653" s="23" t="s">
        <v>33</v>
      </c>
      <c r="L653" s="22"/>
      <c r="M653" s="9" t="s">
        <v>33</v>
      </c>
      <c r="N653" s="9" t="s">
        <v>33</v>
      </c>
      <c r="O653" s="9" t="s">
        <v>33</v>
      </c>
      <c r="P653" s="9" t="s">
        <v>33</v>
      </c>
      <c r="Q653" s="23" t="s">
        <v>33</v>
      </c>
      <c r="R653" s="22"/>
      <c r="S653" s="8">
        <v>0</v>
      </c>
      <c r="U653" t="s">
        <v>121</v>
      </c>
      <c r="V653" t="s">
        <v>33</v>
      </c>
      <c r="W653" s="14" t="str">
        <f t="shared" si="72"/>
        <v/>
      </c>
      <c r="X653" s="14" t="str">
        <f t="shared" si="73"/>
        <v/>
      </c>
      <c r="Y653" s="14" t="str">
        <f t="shared" si="74"/>
        <v/>
      </c>
      <c r="Z653" s="14" t="str">
        <f t="shared" si="75"/>
        <v/>
      </c>
      <c r="AA653" s="14" t="str">
        <f t="shared" si="76"/>
        <v/>
      </c>
      <c r="AB653" s="14" t="str">
        <f t="shared" si="77"/>
        <v/>
      </c>
      <c r="AC653" s="14" t="str">
        <f t="shared" si="78"/>
        <v/>
      </c>
      <c r="AD653" s="14">
        <f t="shared" si="79"/>
        <v>2</v>
      </c>
    </row>
    <row r="654" spans="5:30">
      <c r="E654" s="29"/>
      <c r="F654" s="8" t="s">
        <v>45</v>
      </c>
      <c r="G654" s="9">
        <v>4</v>
      </c>
      <c r="H654" s="23">
        <v>4</v>
      </c>
      <c r="I654" s="24"/>
      <c r="J654" s="22"/>
      <c r="K654" s="23">
        <v>4</v>
      </c>
      <c r="L654" s="22"/>
      <c r="M654" s="9">
        <v>3</v>
      </c>
      <c r="N654" s="9">
        <v>3</v>
      </c>
      <c r="O654" s="9">
        <v>3</v>
      </c>
      <c r="P654" s="9">
        <v>2</v>
      </c>
      <c r="Q654" s="23">
        <v>2</v>
      </c>
      <c r="R654" s="22"/>
      <c r="S654" s="8">
        <v>25</v>
      </c>
      <c r="U654" t="s">
        <v>56</v>
      </c>
      <c r="V654" t="s">
        <v>33</v>
      </c>
      <c r="W654" s="14">
        <f t="shared" si="72"/>
        <v>4</v>
      </c>
      <c r="X654" s="14">
        <f t="shared" si="73"/>
        <v>4</v>
      </c>
      <c r="Y654" s="14">
        <f t="shared" si="74"/>
        <v>4</v>
      </c>
      <c r="Z654" s="14">
        <f t="shared" si="75"/>
        <v>3</v>
      </c>
      <c r="AA654" s="14">
        <f t="shared" si="76"/>
        <v>3</v>
      </c>
      <c r="AB654" s="14">
        <f t="shared" si="77"/>
        <v>3</v>
      </c>
      <c r="AC654" s="14">
        <f t="shared" si="78"/>
        <v>2</v>
      </c>
      <c r="AD654" s="14">
        <f t="shared" si="79"/>
        <v>10</v>
      </c>
    </row>
    <row r="655" spans="5:30">
      <c r="E655" s="6">
        <v>7.58</v>
      </c>
      <c r="F655" s="8" t="s">
        <v>47</v>
      </c>
      <c r="G655" s="9">
        <v>6</v>
      </c>
      <c r="H655" s="23">
        <v>8</v>
      </c>
      <c r="I655" s="24"/>
      <c r="J655" s="22"/>
      <c r="K655" s="23">
        <v>7.5</v>
      </c>
      <c r="L655" s="22"/>
      <c r="M655" s="9">
        <v>7</v>
      </c>
      <c r="N655" s="9">
        <v>9</v>
      </c>
      <c r="O655" s="9">
        <v>5.5</v>
      </c>
      <c r="P655" s="9">
        <v>9.5</v>
      </c>
      <c r="Q655" s="23">
        <v>10</v>
      </c>
      <c r="R655" s="22"/>
      <c r="S655" s="8" t="s">
        <v>33</v>
      </c>
      <c r="U655" t="s">
        <v>33</v>
      </c>
      <c r="V655" t="s">
        <v>33</v>
      </c>
      <c r="W655" s="14">
        <f t="shared" si="72"/>
        <v>6</v>
      </c>
      <c r="X655" s="14">
        <f t="shared" si="73"/>
        <v>8</v>
      </c>
      <c r="Y655" s="14">
        <f t="shared" si="74"/>
        <v>7.5</v>
      </c>
      <c r="Z655" s="14">
        <f t="shared" si="75"/>
        <v>7</v>
      </c>
      <c r="AA655" s="14">
        <f t="shared" si="76"/>
        <v>9</v>
      </c>
      <c r="AB655" s="14">
        <f t="shared" si="77"/>
        <v>5.5</v>
      </c>
      <c r="AC655" s="14">
        <f t="shared" si="78"/>
        <v>9.5</v>
      </c>
      <c r="AD655" s="14">
        <f t="shared" si="79"/>
        <v>20</v>
      </c>
    </row>
    <row r="656" spans="5:30">
      <c r="E656" s="10">
        <v>7.57</v>
      </c>
      <c r="F656" s="8" t="s">
        <v>49</v>
      </c>
      <c r="G656" s="9">
        <v>24</v>
      </c>
      <c r="H656" s="23">
        <v>32</v>
      </c>
      <c r="I656" s="24"/>
      <c r="J656" s="22"/>
      <c r="K656" s="23">
        <v>30</v>
      </c>
      <c r="L656" s="22"/>
      <c r="M656" s="9">
        <v>21</v>
      </c>
      <c r="N656" s="9">
        <v>27</v>
      </c>
      <c r="O656" s="9">
        <v>16.5</v>
      </c>
      <c r="P656" s="9">
        <v>19</v>
      </c>
      <c r="Q656" s="23">
        <v>20</v>
      </c>
      <c r="R656" s="22"/>
      <c r="S656" s="8">
        <v>189.5</v>
      </c>
      <c r="U656">
        <v>0</v>
      </c>
      <c r="V656">
        <v>0</v>
      </c>
      <c r="W656" s="14">
        <f t="shared" si="72"/>
        <v>24</v>
      </c>
      <c r="X656" s="14">
        <f t="shared" si="73"/>
        <v>32</v>
      </c>
      <c r="Y656" s="14">
        <f t="shared" si="74"/>
        <v>30</v>
      </c>
      <c r="Z656" s="14">
        <f t="shared" si="75"/>
        <v>21</v>
      </c>
      <c r="AA656" s="14">
        <f t="shared" si="76"/>
        <v>27</v>
      </c>
      <c r="AB656" s="14">
        <f t="shared" si="77"/>
        <v>16.5</v>
      </c>
      <c r="AC656" s="14">
        <f t="shared" si="78"/>
        <v>19</v>
      </c>
      <c r="AD656" s="14">
        <f t="shared" si="79"/>
        <v>50</v>
      </c>
    </row>
    <row r="657" spans="5:30">
      <c r="E657" s="4"/>
      <c r="F657" s="8" t="s">
        <v>36</v>
      </c>
      <c r="G657" s="9">
        <v>56</v>
      </c>
      <c r="H657" s="23">
        <v>75</v>
      </c>
      <c r="I657" s="24"/>
      <c r="J657" s="22"/>
      <c r="K657" s="23">
        <v>72</v>
      </c>
      <c r="L657" s="22"/>
      <c r="M657" s="9">
        <v>68</v>
      </c>
      <c r="N657" s="9">
        <v>87</v>
      </c>
      <c r="O657" s="9">
        <v>50</v>
      </c>
      <c r="P657" s="9">
        <v>45</v>
      </c>
      <c r="Q657" s="23">
        <v>50</v>
      </c>
      <c r="R657" s="22"/>
      <c r="S657" s="8">
        <v>503</v>
      </c>
      <c r="U657">
        <v>0</v>
      </c>
      <c r="V657">
        <v>0</v>
      </c>
      <c r="W657" s="14">
        <f t="shared" si="72"/>
        <v>56</v>
      </c>
      <c r="X657" s="14">
        <f t="shared" si="73"/>
        <v>75</v>
      </c>
      <c r="Y657" s="14">
        <f t="shared" si="74"/>
        <v>72</v>
      </c>
      <c r="Z657" s="14">
        <f t="shared" si="75"/>
        <v>68</v>
      </c>
      <c r="AA657" s="14">
        <f t="shared" si="76"/>
        <v>87</v>
      </c>
      <c r="AB657" s="14">
        <f t="shared" si="77"/>
        <v>50</v>
      </c>
      <c r="AC657" s="14">
        <f t="shared" si="78"/>
        <v>45</v>
      </c>
      <c r="AD657" s="14">
        <f t="shared" si="79"/>
        <v>50</v>
      </c>
    </row>
    <row r="658" spans="5:30">
      <c r="E658" s="6"/>
      <c r="F658" s="8" t="s">
        <v>52</v>
      </c>
      <c r="G658" s="9">
        <v>100</v>
      </c>
      <c r="H658" s="23">
        <v>100</v>
      </c>
      <c r="I658" s="24"/>
      <c r="J658" s="22"/>
      <c r="K658" s="23">
        <v>100</v>
      </c>
      <c r="L658" s="22"/>
      <c r="M658" s="9">
        <v>100</v>
      </c>
      <c r="N658" s="9">
        <v>100</v>
      </c>
      <c r="O658" s="9">
        <v>100</v>
      </c>
      <c r="P658" s="9">
        <v>50</v>
      </c>
      <c r="Q658" s="23">
        <v>50</v>
      </c>
      <c r="R658" s="22"/>
      <c r="S658" s="8">
        <v>700</v>
      </c>
      <c r="U658" t="s">
        <v>31</v>
      </c>
      <c r="V658" t="s">
        <v>33</v>
      </c>
      <c r="W658" s="14">
        <f t="shared" si="72"/>
        <v>100</v>
      </c>
      <c r="X658" s="14">
        <f t="shared" si="73"/>
        <v>100</v>
      </c>
      <c r="Y658" s="14">
        <f t="shared" si="74"/>
        <v>100</v>
      </c>
      <c r="Z658" s="14">
        <f t="shared" si="75"/>
        <v>100</v>
      </c>
      <c r="AA658" s="14">
        <f t="shared" si="76"/>
        <v>100</v>
      </c>
      <c r="AB658" s="14">
        <f t="shared" si="77"/>
        <v>100</v>
      </c>
      <c r="AC658" s="14">
        <f t="shared" si="78"/>
        <v>50</v>
      </c>
      <c r="AD658" s="14" t="str">
        <f t="shared" si="79"/>
        <v>OO+</v>
      </c>
    </row>
    <row r="659" spans="5:30">
      <c r="E659" s="4"/>
      <c r="F659" s="8" t="s">
        <v>54</v>
      </c>
      <c r="G659" s="9" t="s">
        <v>147</v>
      </c>
      <c r="H659" s="23" t="s">
        <v>135</v>
      </c>
      <c r="I659" s="24"/>
      <c r="J659" s="22"/>
      <c r="K659" s="23" t="s">
        <v>108</v>
      </c>
      <c r="L659" s="22"/>
      <c r="M659" s="9" t="s">
        <v>109</v>
      </c>
      <c r="N659" s="9" t="s">
        <v>122</v>
      </c>
      <c r="O659" s="9" t="s">
        <v>123</v>
      </c>
      <c r="P659" s="9" t="s">
        <v>94</v>
      </c>
      <c r="Q659" s="23" t="s">
        <v>93</v>
      </c>
      <c r="R659" s="22"/>
      <c r="S659" s="8" t="s">
        <v>33</v>
      </c>
      <c r="U659" t="s">
        <v>470</v>
      </c>
      <c r="V659" t="s">
        <v>36</v>
      </c>
      <c r="W659" s="14" t="str">
        <f t="shared" si="72"/>
        <v>BB+</v>
      </c>
      <c r="X659" s="14" t="str">
        <f t="shared" si="73"/>
        <v>AA+</v>
      </c>
      <c r="Y659" s="14" t="str">
        <f t="shared" si="74"/>
        <v>AA</v>
      </c>
      <c r="Z659" s="14" t="str">
        <f t="shared" si="75"/>
        <v>AB+</v>
      </c>
      <c r="AA659" s="14" t="str">
        <f t="shared" si="76"/>
        <v>OA+</v>
      </c>
      <c r="AB659" s="14" t="str">
        <f t="shared" si="77"/>
        <v>BB</v>
      </c>
      <c r="AC659" s="14" t="str">
        <f t="shared" si="78"/>
        <v>OO</v>
      </c>
      <c r="AD659" s="14" t="str">
        <f t="shared" si="79"/>
        <v>Pass</v>
      </c>
    </row>
    <row r="660" spans="5:30">
      <c r="E660" s="11" t="s">
        <v>469</v>
      </c>
      <c r="F660" s="8" t="s">
        <v>58</v>
      </c>
      <c r="G660" s="9" t="s">
        <v>59</v>
      </c>
      <c r="H660" s="23" t="s">
        <v>59</v>
      </c>
      <c r="I660" s="24"/>
      <c r="J660" s="22"/>
      <c r="K660" s="23" t="s">
        <v>59</v>
      </c>
      <c r="L660" s="22"/>
      <c r="M660" s="9" t="s">
        <v>59</v>
      </c>
      <c r="N660" s="9" t="s">
        <v>59</v>
      </c>
      <c r="O660" s="9" t="s">
        <v>59</v>
      </c>
      <c r="P660" s="9" t="s">
        <v>59</v>
      </c>
      <c r="Q660" s="23" t="s">
        <v>59</v>
      </c>
      <c r="R660" s="22"/>
      <c r="S660" s="8" t="s">
        <v>33</v>
      </c>
      <c r="U660" t="s">
        <v>37</v>
      </c>
      <c r="V660" t="s">
        <v>33</v>
      </c>
      <c r="W660" s="14" t="str">
        <f t="shared" si="72"/>
        <v>Pass</v>
      </c>
      <c r="X660" s="14" t="str">
        <f t="shared" si="73"/>
        <v>Pass</v>
      </c>
      <c r="Y660" s="14" t="str">
        <f t="shared" si="74"/>
        <v>Pass</v>
      </c>
      <c r="Z660" s="14" t="str">
        <f t="shared" si="75"/>
        <v>Pass</v>
      </c>
      <c r="AA660" s="14" t="str">
        <f t="shared" si="76"/>
        <v>Pass</v>
      </c>
      <c r="AB660" s="14" t="str">
        <f t="shared" si="77"/>
        <v>Pass</v>
      </c>
      <c r="AC660" s="14" t="str">
        <f t="shared" si="78"/>
        <v>Pass</v>
      </c>
      <c r="AD660" s="14" t="str">
        <f t="shared" si="79"/>
        <v/>
      </c>
    </row>
    <row r="661" spans="5:30">
      <c r="E661" s="12" t="s">
        <v>33</v>
      </c>
      <c r="F661" s="12" t="s">
        <v>33</v>
      </c>
      <c r="G661" s="13" t="s">
        <v>33</v>
      </c>
      <c r="H661" s="20" t="s">
        <v>33</v>
      </c>
      <c r="I661" s="18"/>
      <c r="J661" s="18"/>
      <c r="K661" s="20" t="s">
        <v>33</v>
      </c>
      <c r="L661" s="18"/>
      <c r="M661" s="13" t="s">
        <v>33</v>
      </c>
      <c r="N661" s="13" t="s">
        <v>33</v>
      </c>
      <c r="O661" s="13" t="s">
        <v>33</v>
      </c>
      <c r="P661" s="13" t="s">
        <v>33</v>
      </c>
      <c r="Q661" s="20" t="s">
        <v>33</v>
      </c>
      <c r="R661" s="18"/>
      <c r="S661" s="13" t="s">
        <v>33</v>
      </c>
      <c r="U661" t="s">
        <v>476</v>
      </c>
      <c r="V661" t="s">
        <v>33</v>
      </c>
      <c r="W661" s="14" t="str">
        <f t="shared" si="72"/>
        <v/>
      </c>
      <c r="X661" s="14" t="str">
        <f t="shared" si="73"/>
        <v/>
      </c>
      <c r="Y661" s="14" t="str">
        <f t="shared" si="74"/>
        <v/>
      </c>
      <c r="Z661" s="14" t="str">
        <f t="shared" si="75"/>
        <v/>
      </c>
      <c r="AA661" s="14" t="str">
        <f t="shared" si="76"/>
        <v/>
      </c>
      <c r="AB661" s="14" t="str">
        <f t="shared" si="77"/>
        <v/>
      </c>
      <c r="AC661" s="14" t="str">
        <f t="shared" si="78"/>
        <v/>
      </c>
      <c r="AD661" s="14">
        <f t="shared" si="79"/>
        <v>0</v>
      </c>
    </row>
    <row r="662" spans="5:30" ht="0" hidden="1" customHeight="1">
      <c r="U662">
        <v>0</v>
      </c>
      <c r="V662">
        <v>0</v>
      </c>
      <c r="W662" s="14">
        <f t="shared" si="72"/>
        <v>0</v>
      </c>
      <c r="X662" s="14">
        <f t="shared" si="73"/>
        <v>0</v>
      </c>
      <c r="Y662" s="14">
        <f t="shared" si="74"/>
        <v>0</v>
      </c>
      <c r="Z662" s="14">
        <f t="shared" si="75"/>
        <v>0</v>
      </c>
      <c r="AA662" s="14">
        <f t="shared" si="76"/>
        <v>0</v>
      </c>
      <c r="AB662" s="14">
        <f t="shared" si="77"/>
        <v>0</v>
      </c>
      <c r="AC662" s="14">
        <f t="shared" si="78"/>
        <v>0</v>
      </c>
      <c r="AD662" s="14">
        <f t="shared" si="79"/>
        <v>0</v>
      </c>
    </row>
    <row r="663" spans="5:30" ht="0.6" customHeight="1">
      <c r="U663">
        <v>0</v>
      </c>
      <c r="V663">
        <v>25</v>
      </c>
      <c r="W663" s="14">
        <f t="shared" si="72"/>
        <v>0</v>
      </c>
      <c r="X663" s="14">
        <f t="shared" si="73"/>
        <v>0</v>
      </c>
      <c r="Y663" s="14">
        <f t="shared" si="74"/>
        <v>0</v>
      </c>
      <c r="Z663" s="14">
        <f t="shared" si="75"/>
        <v>0</v>
      </c>
      <c r="AA663" s="14">
        <f t="shared" si="76"/>
        <v>0</v>
      </c>
      <c r="AB663" s="14">
        <f t="shared" si="77"/>
        <v>0</v>
      </c>
      <c r="AC663" s="14">
        <f t="shared" si="78"/>
        <v>0</v>
      </c>
      <c r="AD663" s="14" t="str">
        <f t="shared" si="79"/>
        <v/>
      </c>
    </row>
    <row r="664" spans="5:30">
      <c r="E664" s="4"/>
      <c r="F664" s="3" t="s">
        <v>32</v>
      </c>
      <c r="G664" s="5" t="s">
        <v>33</v>
      </c>
      <c r="H664" s="32" t="s">
        <v>33</v>
      </c>
      <c r="I664" s="18"/>
      <c r="J664" s="18"/>
      <c r="K664" s="32" t="s">
        <v>33</v>
      </c>
      <c r="L664" s="18"/>
      <c r="M664" s="5" t="s">
        <v>33</v>
      </c>
      <c r="N664" s="5" t="s">
        <v>33</v>
      </c>
      <c r="O664" s="5" t="s">
        <v>33</v>
      </c>
      <c r="P664" s="5" t="s">
        <v>33</v>
      </c>
      <c r="Q664" s="32" t="s">
        <v>33</v>
      </c>
      <c r="R664" s="18"/>
      <c r="S664" s="5" t="s">
        <v>33</v>
      </c>
      <c r="U664" t="s">
        <v>46</v>
      </c>
      <c r="V664" t="s">
        <v>33</v>
      </c>
      <c r="W664" s="14" t="str">
        <f t="shared" si="72"/>
        <v/>
      </c>
      <c r="X664" s="14" t="str">
        <f t="shared" si="73"/>
        <v/>
      </c>
      <c r="Y664" s="14" t="str">
        <f t="shared" si="74"/>
        <v/>
      </c>
      <c r="Z664" s="14" t="str">
        <f t="shared" si="75"/>
        <v/>
      </c>
      <c r="AA664" s="14" t="str">
        <f t="shared" si="76"/>
        <v/>
      </c>
      <c r="AB664" s="14" t="str">
        <f t="shared" si="77"/>
        <v/>
      </c>
      <c r="AC664" s="14" t="str">
        <f t="shared" si="78"/>
        <v/>
      </c>
      <c r="AD664" s="14" t="str">
        <f t="shared" si="79"/>
        <v>COMNCSN302</v>
      </c>
    </row>
    <row r="665" spans="5:30" ht="21">
      <c r="E665" s="4"/>
      <c r="F665" s="7" t="s">
        <v>35</v>
      </c>
      <c r="G665" s="7" t="s">
        <v>5</v>
      </c>
      <c r="H665" s="30" t="s">
        <v>7</v>
      </c>
      <c r="I665" s="24"/>
      <c r="J665" s="22"/>
      <c r="K665" s="30" t="s">
        <v>9</v>
      </c>
      <c r="L665" s="22"/>
      <c r="M665" s="7" t="s">
        <v>11</v>
      </c>
      <c r="N665" s="7" t="s">
        <v>15</v>
      </c>
      <c r="O665" s="7" t="s">
        <v>17</v>
      </c>
      <c r="P665" s="7" t="s">
        <v>21</v>
      </c>
      <c r="Q665" s="30" t="s">
        <v>23</v>
      </c>
      <c r="R665" s="22"/>
      <c r="S665" s="7" t="s">
        <v>36</v>
      </c>
      <c r="U665" t="s">
        <v>48</v>
      </c>
      <c r="V665">
        <v>210</v>
      </c>
      <c r="W665" s="14" t="str">
        <f t="shared" si="72"/>
        <v>BBABMCN301</v>
      </c>
      <c r="X665" s="14" t="str">
        <f t="shared" si="73"/>
        <v>BBABMCN302</v>
      </c>
      <c r="Y665" s="14" t="str">
        <f t="shared" si="74"/>
        <v>BBABMCN303</v>
      </c>
      <c r="Z665" s="14" t="str">
        <f t="shared" si="75"/>
        <v>BBAENLN301</v>
      </c>
      <c r="AA665" s="14" t="str">
        <f t="shared" si="76"/>
        <v>BBAKALN302</v>
      </c>
      <c r="AB665" s="14" t="str">
        <f t="shared" si="77"/>
        <v>BCACAEN302</v>
      </c>
      <c r="AC665" s="14" t="str">
        <f t="shared" si="78"/>
        <v>COMFISN301</v>
      </c>
      <c r="AD665" s="14" t="str">
        <f t="shared" si="79"/>
        <v xml:space="preserve"> - - + - - </v>
      </c>
    </row>
    <row r="666" spans="5:30" ht="22.5">
      <c r="E666" s="6" t="s">
        <v>471</v>
      </c>
      <c r="F666" s="8" t="s">
        <v>39</v>
      </c>
      <c r="G666" s="9" t="s">
        <v>472</v>
      </c>
      <c r="H666" s="23" t="s">
        <v>473</v>
      </c>
      <c r="I666" s="24"/>
      <c r="J666" s="22"/>
      <c r="K666" s="23" t="s">
        <v>86</v>
      </c>
      <c r="L666" s="22"/>
      <c r="M666" s="9" t="s">
        <v>143</v>
      </c>
      <c r="N666" s="9" t="s">
        <v>407</v>
      </c>
      <c r="O666" s="9" t="s">
        <v>474</v>
      </c>
      <c r="P666" s="9" t="s">
        <v>475</v>
      </c>
      <c r="Q666" s="23" t="s">
        <v>43</v>
      </c>
      <c r="R666" s="22"/>
      <c r="S666" s="8" t="s">
        <v>33</v>
      </c>
      <c r="U666" t="s">
        <v>50</v>
      </c>
      <c r="V666">
        <v>567</v>
      </c>
      <c r="W666" s="14" t="str">
        <f t="shared" si="72"/>
        <v>44.00 + 28.00</v>
      </c>
      <c r="X666" s="14" t="str">
        <f t="shared" si="73"/>
        <v>37.00 + 34.00</v>
      </c>
      <c r="Y666" s="14" t="str">
        <f t="shared" si="74"/>
        <v>54.00 + 40.00</v>
      </c>
      <c r="Z666" s="14" t="str">
        <f t="shared" si="75"/>
        <v>39.00 + 30.00</v>
      </c>
      <c r="AA666" s="14" t="str">
        <f t="shared" si="76"/>
        <v>52.00 + 34.00</v>
      </c>
      <c r="AB666" s="14" t="str">
        <f t="shared" si="77"/>
        <v>46.00 + 40.00</v>
      </c>
      <c r="AC666" s="14" t="str">
        <f t="shared" si="78"/>
        <v>25.00 + 19.00</v>
      </c>
      <c r="AD666" s="14" t="str">
        <f t="shared" si="79"/>
        <v xml:space="preserve"> - - +45.00</v>
      </c>
    </row>
    <row r="667" spans="5:30">
      <c r="E667" s="25"/>
      <c r="F667" s="8" t="s">
        <v>42</v>
      </c>
      <c r="G667" s="9" t="s">
        <v>43</v>
      </c>
      <c r="H667" s="23" t="s">
        <v>43</v>
      </c>
      <c r="I667" s="24"/>
      <c r="J667" s="22"/>
      <c r="K667" s="23" t="s">
        <v>43</v>
      </c>
      <c r="L667" s="22"/>
      <c r="M667" s="9" t="s">
        <v>43</v>
      </c>
      <c r="N667" s="9" t="s">
        <v>43</v>
      </c>
      <c r="O667" s="9" t="s">
        <v>43</v>
      </c>
      <c r="P667" s="9" t="s">
        <v>43</v>
      </c>
      <c r="Q667" s="23" t="s">
        <v>477</v>
      </c>
      <c r="R667" s="22"/>
      <c r="S667" s="8" t="s">
        <v>33</v>
      </c>
      <c r="U667" t="s">
        <v>51</v>
      </c>
      <c r="V667">
        <v>700</v>
      </c>
      <c r="W667" s="14" t="str">
        <f t="shared" si="72"/>
        <v xml:space="preserve"> - - + - - </v>
      </c>
      <c r="X667" s="14" t="str">
        <f t="shared" si="73"/>
        <v xml:space="preserve"> - - + - - </v>
      </c>
      <c r="Y667" s="14" t="str">
        <f t="shared" si="74"/>
        <v xml:space="preserve"> - - + - - </v>
      </c>
      <c r="Z667" s="14" t="str">
        <f t="shared" si="75"/>
        <v xml:space="preserve"> - - + - - </v>
      </c>
      <c r="AA667" s="14" t="str">
        <f t="shared" si="76"/>
        <v xml:space="preserve"> - - + - - </v>
      </c>
      <c r="AB667" s="14" t="str">
        <f t="shared" si="77"/>
        <v xml:space="preserve"> - - + - - </v>
      </c>
      <c r="AC667" s="14" t="str">
        <f t="shared" si="78"/>
        <v xml:space="preserve"> - - + - - </v>
      </c>
      <c r="AD667" s="14" t="str">
        <f t="shared" si="79"/>
        <v/>
      </c>
    </row>
    <row r="668" spans="5:30">
      <c r="E668" s="27"/>
      <c r="F668" s="8" t="s">
        <v>44</v>
      </c>
      <c r="G668" s="9" t="s">
        <v>33</v>
      </c>
      <c r="H668" s="23" t="s">
        <v>33</v>
      </c>
      <c r="I668" s="24"/>
      <c r="J668" s="22"/>
      <c r="K668" s="23" t="s">
        <v>33</v>
      </c>
      <c r="L668" s="22"/>
      <c r="M668" s="9" t="s">
        <v>33</v>
      </c>
      <c r="N668" s="9" t="s">
        <v>33</v>
      </c>
      <c r="O668" s="9" t="s">
        <v>33</v>
      </c>
      <c r="P668" s="9" t="s">
        <v>33</v>
      </c>
      <c r="Q668" s="23" t="s">
        <v>33</v>
      </c>
      <c r="R668" s="22"/>
      <c r="S668" s="8">
        <v>0</v>
      </c>
      <c r="U668" t="s">
        <v>159</v>
      </c>
      <c r="V668" t="s">
        <v>33</v>
      </c>
      <c r="W668" s="14" t="str">
        <f t="shared" si="72"/>
        <v/>
      </c>
      <c r="X668" s="14" t="str">
        <f t="shared" si="73"/>
        <v/>
      </c>
      <c r="Y668" s="14" t="str">
        <f t="shared" si="74"/>
        <v/>
      </c>
      <c r="Z668" s="14" t="str">
        <f t="shared" si="75"/>
        <v/>
      </c>
      <c r="AA668" s="14" t="str">
        <f t="shared" si="76"/>
        <v/>
      </c>
      <c r="AB668" s="14" t="str">
        <f t="shared" si="77"/>
        <v/>
      </c>
      <c r="AC668" s="14" t="str">
        <f t="shared" si="78"/>
        <v/>
      </c>
      <c r="AD668" s="14">
        <f t="shared" si="79"/>
        <v>2</v>
      </c>
    </row>
    <row r="669" spans="5:30">
      <c r="E669" s="29"/>
      <c r="F669" s="8" t="s">
        <v>45</v>
      </c>
      <c r="G669" s="9">
        <v>4</v>
      </c>
      <c r="H669" s="23">
        <v>4</v>
      </c>
      <c r="I669" s="24"/>
      <c r="J669" s="22"/>
      <c r="K669" s="23">
        <v>4</v>
      </c>
      <c r="L669" s="22"/>
      <c r="M669" s="9">
        <v>3</v>
      </c>
      <c r="N669" s="9">
        <v>3</v>
      </c>
      <c r="O669" s="9">
        <v>3</v>
      </c>
      <c r="P669" s="9">
        <v>2</v>
      </c>
      <c r="Q669" s="23">
        <v>2</v>
      </c>
      <c r="R669" s="22"/>
      <c r="S669" s="8">
        <v>25</v>
      </c>
      <c r="U669" t="s">
        <v>56</v>
      </c>
      <c r="V669" t="s">
        <v>33</v>
      </c>
      <c r="W669" s="14">
        <f t="shared" si="72"/>
        <v>4</v>
      </c>
      <c r="X669" s="14">
        <f t="shared" si="73"/>
        <v>4</v>
      </c>
      <c r="Y669" s="14">
        <f t="shared" si="74"/>
        <v>4</v>
      </c>
      <c r="Z669" s="14">
        <f t="shared" si="75"/>
        <v>3</v>
      </c>
      <c r="AA669" s="14">
        <f t="shared" si="76"/>
        <v>3</v>
      </c>
      <c r="AB669" s="14">
        <f t="shared" si="77"/>
        <v>3</v>
      </c>
      <c r="AC669" s="14">
        <f t="shared" si="78"/>
        <v>2</v>
      </c>
      <c r="AD669" s="14">
        <f t="shared" si="79"/>
        <v>9.5</v>
      </c>
    </row>
    <row r="670" spans="5:30">
      <c r="E670" s="6">
        <v>8.4</v>
      </c>
      <c r="F670" s="8" t="s">
        <v>47</v>
      </c>
      <c r="G670" s="9">
        <v>7.5</v>
      </c>
      <c r="H670" s="23">
        <v>7.5</v>
      </c>
      <c r="I670" s="24"/>
      <c r="J670" s="22"/>
      <c r="K670" s="23">
        <v>9.5</v>
      </c>
      <c r="L670" s="22"/>
      <c r="M670" s="9">
        <v>7</v>
      </c>
      <c r="N670" s="9">
        <v>9</v>
      </c>
      <c r="O670" s="9">
        <v>9</v>
      </c>
      <c r="P670" s="9">
        <v>9</v>
      </c>
      <c r="Q670" s="23">
        <v>9.5</v>
      </c>
      <c r="R670" s="22"/>
      <c r="S670" s="8" t="s">
        <v>33</v>
      </c>
      <c r="U670" t="s">
        <v>33</v>
      </c>
      <c r="V670" t="s">
        <v>33</v>
      </c>
      <c r="W670" s="14">
        <f t="shared" si="72"/>
        <v>7.5</v>
      </c>
      <c r="X670" s="14">
        <f t="shared" si="73"/>
        <v>7.5</v>
      </c>
      <c r="Y670" s="14">
        <f t="shared" si="74"/>
        <v>9.5</v>
      </c>
      <c r="Z670" s="14">
        <f t="shared" si="75"/>
        <v>7</v>
      </c>
      <c r="AA670" s="14">
        <f t="shared" si="76"/>
        <v>9</v>
      </c>
      <c r="AB670" s="14">
        <f t="shared" si="77"/>
        <v>9</v>
      </c>
      <c r="AC670" s="14">
        <f t="shared" si="78"/>
        <v>9</v>
      </c>
      <c r="AD670" s="14">
        <f t="shared" si="79"/>
        <v>19</v>
      </c>
    </row>
    <row r="671" spans="5:30">
      <c r="E671" s="10">
        <v>8.1999999999999993</v>
      </c>
      <c r="F671" s="8" t="s">
        <v>49</v>
      </c>
      <c r="G671" s="9">
        <v>30</v>
      </c>
      <c r="H671" s="23">
        <v>30</v>
      </c>
      <c r="I671" s="24"/>
      <c r="J671" s="22"/>
      <c r="K671" s="23">
        <v>38</v>
      </c>
      <c r="L671" s="22"/>
      <c r="M671" s="9">
        <v>21</v>
      </c>
      <c r="N671" s="9">
        <v>27</v>
      </c>
      <c r="O671" s="9">
        <v>27</v>
      </c>
      <c r="P671" s="9">
        <v>18</v>
      </c>
      <c r="Q671" s="23">
        <v>19</v>
      </c>
      <c r="R671" s="22"/>
      <c r="S671" s="8">
        <v>210</v>
      </c>
      <c r="U671">
        <v>0</v>
      </c>
      <c r="V671">
        <v>0</v>
      </c>
      <c r="W671" s="14">
        <f t="shared" si="72"/>
        <v>30</v>
      </c>
      <c r="X671" s="14">
        <f t="shared" si="73"/>
        <v>30</v>
      </c>
      <c r="Y671" s="14">
        <f t="shared" si="74"/>
        <v>38</v>
      </c>
      <c r="Z671" s="14">
        <f t="shared" si="75"/>
        <v>21</v>
      </c>
      <c r="AA671" s="14">
        <f t="shared" si="76"/>
        <v>27</v>
      </c>
      <c r="AB671" s="14">
        <f t="shared" si="77"/>
        <v>27</v>
      </c>
      <c r="AC671" s="14">
        <f t="shared" si="78"/>
        <v>18</v>
      </c>
      <c r="AD671" s="14">
        <f t="shared" si="79"/>
        <v>45</v>
      </c>
    </row>
    <row r="672" spans="5:30">
      <c r="E672" s="4"/>
      <c r="F672" s="8" t="s">
        <v>36</v>
      </c>
      <c r="G672" s="9">
        <v>72</v>
      </c>
      <c r="H672" s="23">
        <v>71</v>
      </c>
      <c r="I672" s="24"/>
      <c r="J672" s="22"/>
      <c r="K672" s="23">
        <v>94</v>
      </c>
      <c r="L672" s="22"/>
      <c r="M672" s="9">
        <v>69</v>
      </c>
      <c r="N672" s="9">
        <v>86</v>
      </c>
      <c r="O672" s="9">
        <v>86</v>
      </c>
      <c r="P672" s="9">
        <v>44</v>
      </c>
      <c r="Q672" s="23">
        <v>45</v>
      </c>
      <c r="R672" s="22"/>
      <c r="S672" s="8">
        <v>567</v>
      </c>
      <c r="U672">
        <v>0</v>
      </c>
      <c r="V672">
        <v>0</v>
      </c>
      <c r="W672" s="14">
        <f t="shared" si="72"/>
        <v>72</v>
      </c>
      <c r="X672" s="14">
        <f t="shared" si="73"/>
        <v>71</v>
      </c>
      <c r="Y672" s="14">
        <f t="shared" si="74"/>
        <v>94</v>
      </c>
      <c r="Z672" s="14">
        <f t="shared" si="75"/>
        <v>69</v>
      </c>
      <c r="AA672" s="14">
        <f t="shared" si="76"/>
        <v>86</v>
      </c>
      <c r="AB672" s="14">
        <f t="shared" si="77"/>
        <v>86</v>
      </c>
      <c r="AC672" s="14">
        <f t="shared" si="78"/>
        <v>44</v>
      </c>
      <c r="AD672" s="14">
        <f t="shared" si="79"/>
        <v>50</v>
      </c>
    </row>
    <row r="673" spans="5:30">
      <c r="E673" s="6"/>
      <c r="F673" s="8" t="s">
        <v>52</v>
      </c>
      <c r="G673" s="9">
        <v>100</v>
      </c>
      <c r="H673" s="23">
        <v>100</v>
      </c>
      <c r="I673" s="24"/>
      <c r="J673" s="22"/>
      <c r="K673" s="23">
        <v>100</v>
      </c>
      <c r="L673" s="22"/>
      <c r="M673" s="9">
        <v>100</v>
      </c>
      <c r="N673" s="9">
        <v>100</v>
      </c>
      <c r="O673" s="9">
        <v>100</v>
      </c>
      <c r="P673" s="9">
        <v>50</v>
      </c>
      <c r="Q673" s="23">
        <v>50</v>
      </c>
      <c r="R673" s="22"/>
      <c r="S673" s="8">
        <v>700</v>
      </c>
      <c r="U673" t="s">
        <v>31</v>
      </c>
      <c r="V673" t="s">
        <v>33</v>
      </c>
      <c r="W673" s="14">
        <f t="shared" si="72"/>
        <v>100</v>
      </c>
      <c r="X673" s="14">
        <f t="shared" si="73"/>
        <v>100</v>
      </c>
      <c r="Y673" s="14">
        <f t="shared" si="74"/>
        <v>100</v>
      </c>
      <c r="Z673" s="14">
        <f t="shared" si="75"/>
        <v>100</v>
      </c>
      <c r="AA673" s="14">
        <f t="shared" si="76"/>
        <v>100</v>
      </c>
      <c r="AB673" s="14">
        <f t="shared" si="77"/>
        <v>100</v>
      </c>
      <c r="AC673" s="14">
        <f t="shared" si="78"/>
        <v>50</v>
      </c>
      <c r="AD673" s="14" t="str">
        <f t="shared" si="79"/>
        <v>OO</v>
      </c>
    </row>
    <row r="674" spans="5:30">
      <c r="E674" s="4"/>
      <c r="F674" s="8" t="s">
        <v>54</v>
      </c>
      <c r="G674" s="9" t="s">
        <v>108</v>
      </c>
      <c r="H674" s="23" t="s">
        <v>108</v>
      </c>
      <c r="I674" s="24"/>
      <c r="J674" s="22"/>
      <c r="K674" s="23" t="s">
        <v>94</v>
      </c>
      <c r="L674" s="22"/>
      <c r="M674" s="9" t="s">
        <v>109</v>
      </c>
      <c r="N674" s="9" t="s">
        <v>122</v>
      </c>
      <c r="O674" s="9" t="s">
        <v>122</v>
      </c>
      <c r="P674" s="9" t="s">
        <v>122</v>
      </c>
      <c r="Q674" s="23" t="s">
        <v>94</v>
      </c>
      <c r="R674" s="22"/>
      <c r="S674" s="8" t="s">
        <v>33</v>
      </c>
      <c r="U674" t="s">
        <v>479</v>
      </c>
      <c r="V674" t="s">
        <v>36</v>
      </c>
      <c r="W674" s="14" t="str">
        <f t="shared" si="72"/>
        <v>AA</v>
      </c>
      <c r="X674" s="14" t="str">
        <f t="shared" si="73"/>
        <v>AA</v>
      </c>
      <c r="Y674" s="14" t="str">
        <f t="shared" si="74"/>
        <v>OO</v>
      </c>
      <c r="Z674" s="14" t="str">
        <f t="shared" si="75"/>
        <v>AB+</v>
      </c>
      <c r="AA674" s="14" t="str">
        <f t="shared" si="76"/>
        <v>OA+</v>
      </c>
      <c r="AB674" s="14" t="str">
        <f t="shared" si="77"/>
        <v>OA+</v>
      </c>
      <c r="AC674" s="14" t="str">
        <f t="shared" si="78"/>
        <v>OA+</v>
      </c>
      <c r="AD674" s="14" t="str">
        <f t="shared" si="79"/>
        <v>Pass</v>
      </c>
    </row>
    <row r="675" spans="5:30">
      <c r="E675" s="11" t="s">
        <v>478</v>
      </c>
      <c r="F675" s="8" t="s">
        <v>58</v>
      </c>
      <c r="G675" s="9" t="s">
        <v>59</v>
      </c>
      <c r="H675" s="23" t="s">
        <v>59</v>
      </c>
      <c r="I675" s="24"/>
      <c r="J675" s="22"/>
      <c r="K675" s="23" t="s">
        <v>59</v>
      </c>
      <c r="L675" s="22"/>
      <c r="M675" s="9" t="s">
        <v>59</v>
      </c>
      <c r="N675" s="9" t="s">
        <v>59</v>
      </c>
      <c r="O675" s="9" t="s">
        <v>59</v>
      </c>
      <c r="P675" s="9" t="s">
        <v>59</v>
      </c>
      <c r="Q675" s="23" t="s">
        <v>59</v>
      </c>
      <c r="R675" s="22"/>
      <c r="S675" s="8" t="s">
        <v>33</v>
      </c>
      <c r="U675" t="s">
        <v>37</v>
      </c>
      <c r="V675" t="s">
        <v>33</v>
      </c>
      <c r="W675" s="14" t="str">
        <f t="shared" si="72"/>
        <v>Pass</v>
      </c>
      <c r="X675" s="14" t="str">
        <f t="shared" si="73"/>
        <v>Pass</v>
      </c>
      <c r="Y675" s="14" t="str">
        <f t="shared" si="74"/>
        <v>Pass</v>
      </c>
      <c r="Z675" s="14" t="str">
        <f t="shared" si="75"/>
        <v>Pass</v>
      </c>
      <c r="AA675" s="14" t="str">
        <f t="shared" si="76"/>
        <v>Pass</v>
      </c>
      <c r="AB675" s="14" t="str">
        <f t="shared" si="77"/>
        <v>Pass</v>
      </c>
      <c r="AC675" s="14" t="str">
        <f t="shared" si="78"/>
        <v>Pass</v>
      </c>
      <c r="AD675" s="14" t="str">
        <f t="shared" si="79"/>
        <v/>
      </c>
    </row>
    <row r="676" spans="5:30">
      <c r="E676" s="12" t="s">
        <v>33</v>
      </c>
      <c r="F676" s="12" t="s">
        <v>33</v>
      </c>
      <c r="G676" s="13" t="s">
        <v>33</v>
      </c>
      <c r="H676" s="20" t="s">
        <v>33</v>
      </c>
      <c r="I676" s="18"/>
      <c r="J676" s="18"/>
      <c r="K676" s="20" t="s">
        <v>33</v>
      </c>
      <c r="L676" s="18"/>
      <c r="M676" s="13" t="s">
        <v>33</v>
      </c>
      <c r="N676" s="13" t="s">
        <v>33</v>
      </c>
      <c r="O676" s="13" t="s">
        <v>33</v>
      </c>
      <c r="P676" s="13" t="s">
        <v>33</v>
      </c>
      <c r="Q676" s="20" t="s">
        <v>33</v>
      </c>
      <c r="R676" s="18"/>
      <c r="S676" s="13" t="s">
        <v>33</v>
      </c>
      <c r="U676" t="s">
        <v>484</v>
      </c>
      <c r="V676" t="s">
        <v>33</v>
      </c>
      <c r="W676" s="14" t="str">
        <f t="shared" si="72"/>
        <v/>
      </c>
      <c r="X676" s="14" t="str">
        <f t="shared" si="73"/>
        <v/>
      </c>
      <c r="Y676" s="14" t="str">
        <f t="shared" si="74"/>
        <v/>
      </c>
      <c r="Z676" s="14" t="str">
        <f t="shared" si="75"/>
        <v/>
      </c>
      <c r="AA676" s="14" t="str">
        <f t="shared" si="76"/>
        <v/>
      </c>
      <c r="AB676" s="14" t="str">
        <f t="shared" si="77"/>
        <v/>
      </c>
      <c r="AC676" s="14" t="str">
        <f t="shared" si="78"/>
        <v/>
      </c>
      <c r="AD676" s="14">
        <f t="shared" si="79"/>
        <v>0</v>
      </c>
    </row>
    <row r="677" spans="5:30" ht="0" hidden="1" customHeight="1">
      <c r="U677">
        <v>0</v>
      </c>
      <c r="V677">
        <v>0</v>
      </c>
      <c r="W677" s="14">
        <f t="shared" si="72"/>
        <v>0</v>
      </c>
      <c r="X677" s="14">
        <f t="shared" si="73"/>
        <v>0</v>
      </c>
      <c r="Y677" s="14">
        <f t="shared" si="74"/>
        <v>0</v>
      </c>
      <c r="Z677" s="14">
        <f t="shared" si="75"/>
        <v>0</v>
      </c>
      <c r="AA677" s="14">
        <f t="shared" si="76"/>
        <v>0</v>
      </c>
      <c r="AB677" s="14">
        <f t="shared" si="77"/>
        <v>0</v>
      </c>
      <c r="AC677" s="14">
        <f t="shared" si="78"/>
        <v>0</v>
      </c>
      <c r="AD677" s="14">
        <f t="shared" si="79"/>
        <v>0</v>
      </c>
    </row>
    <row r="678" spans="5:30" ht="0.6" customHeight="1">
      <c r="U678">
        <v>0</v>
      </c>
      <c r="V678">
        <v>25</v>
      </c>
      <c r="W678" s="14">
        <f t="shared" si="72"/>
        <v>0</v>
      </c>
      <c r="X678" s="14">
        <f t="shared" si="73"/>
        <v>0</v>
      </c>
      <c r="Y678" s="14">
        <f t="shared" si="74"/>
        <v>0</v>
      </c>
      <c r="Z678" s="14">
        <f t="shared" si="75"/>
        <v>0</v>
      </c>
      <c r="AA678" s="14">
        <f t="shared" si="76"/>
        <v>0</v>
      </c>
      <c r="AB678" s="14">
        <f t="shared" si="77"/>
        <v>0</v>
      </c>
      <c r="AC678" s="14">
        <f t="shared" si="78"/>
        <v>0</v>
      </c>
      <c r="AD678" s="14" t="str">
        <f t="shared" si="79"/>
        <v/>
      </c>
    </row>
    <row r="679" spans="5:30">
      <c r="E679" s="4"/>
      <c r="F679" s="3" t="s">
        <v>32</v>
      </c>
      <c r="G679" s="5" t="s">
        <v>33</v>
      </c>
      <c r="H679" s="32" t="s">
        <v>33</v>
      </c>
      <c r="I679" s="18"/>
      <c r="J679" s="18"/>
      <c r="K679" s="32" t="s">
        <v>33</v>
      </c>
      <c r="L679" s="18"/>
      <c r="M679" s="5" t="s">
        <v>33</v>
      </c>
      <c r="N679" s="5" t="s">
        <v>33</v>
      </c>
      <c r="O679" s="5" t="s">
        <v>33</v>
      </c>
      <c r="P679" s="5" t="s">
        <v>33</v>
      </c>
      <c r="Q679" s="32" t="s">
        <v>33</v>
      </c>
      <c r="R679" s="18"/>
      <c r="S679" s="5" t="s">
        <v>33</v>
      </c>
      <c r="U679" t="s">
        <v>46</v>
      </c>
      <c r="V679" t="s">
        <v>33</v>
      </c>
      <c r="W679" s="14" t="str">
        <f t="shared" si="72"/>
        <v/>
      </c>
      <c r="X679" s="14" t="str">
        <f t="shared" si="73"/>
        <v/>
      </c>
      <c r="Y679" s="14" t="str">
        <f t="shared" si="74"/>
        <v/>
      </c>
      <c r="Z679" s="14" t="str">
        <f t="shared" si="75"/>
        <v/>
      </c>
      <c r="AA679" s="14" t="str">
        <f t="shared" si="76"/>
        <v/>
      </c>
      <c r="AB679" s="14" t="str">
        <f t="shared" si="77"/>
        <v/>
      </c>
      <c r="AC679" s="14" t="str">
        <f t="shared" si="78"/>
        <v/>
      </c>
      <c r="AD679" s="14" t="str">
        <f t="shared" si="79"/>
        <v>COMNCSN302</v>
      </c>
    </row>
    <row r="680" spans="5:30" ht="21">
      <c r="E680" s="4"/>
      <c r="F680" s="7" t="s">
        <v>35</v>
      </c>
      <c r="G680" s="7" t="s">
        <v>5</v>
      </c>
      <c r="H680" s="30" t="s">
        <v>7</v>
      </c>
      <c r="I680" s="24"/>
      <c r="J680" s="22"/>
      <c r="K680" s="30" t="s">
        <v>9</v>
      </c>
      <c r="L680" s="22"/>
      <c r="M680" s="7" t="s">
        <v>11</v>
      </c>
      <c r="N680" s="7" t="s">
        <v>15</v>
      </c>
      <c r="O680" s="7" t="s">
        <v>17</v>
      </c>
      <c r="P680" s="7" t="s">
        <v>21</v>
      </c>
      <c r="Q680" s="30" t="s">
        <v>23</v>
      </c>
      <c r="R680" s="22"/>
      <c r="S680" s="7" t="s">
        <v>36</v>
      </c>
      <c r="U680" t="s">
        <v>48</v>
      </c>
      <c r="V680">
        <v>214.5</v>
      </c>
      <c r="W680" s="14" t="str">
        <f t="shared" si="72"/>
        <v>BBABMCN301</v>
      </c>
      <c r="X680" s="14" t="str">
        <f t="shared" si="73"/>
        <v>BBABMCN302</v>
      </c>
      <c r="Y680" s="14" t="str">
        <f t="shared" si="74"/>
        <v>BBABMCN303</v>
      </c>
      <c r="Z680" s="14" t="str">
        <f t="shared" si="75"/>
        <v>BBAENLN301</v>
      </c>
      <c r="AA680" s="14" t="str">
        <f t="shared" si="76"/>
        <v>BBAKALN302</v>
      </c>
      <c r="AB680" s="14" t="str">
        <f t="shared" si="77"/>
        <v>BCACAEN302</v>
      </c>
      <c r="AC680" s="14" t="str">
        <f t="shared" si="78"/>
        <v>COMFISN301</v>
      </c>
      <c r="AD680" s="14" t="str">
        <f t="shared" si="79"/>
        <v xml:space="preserve"> - - + - - </v>
      </c>
    </row>
    <row r="681" spans="5:30" ht="22.5">
      <c r="E681" s="6" t="s">
        <v>480</v>
      </c>
      <c r="F681" s="8" t="s">
        <v>39</v>
      </c>
      <c r="G681" s="9" t="s">
        <v>114</v>
      </c>
      <c r="H681" s="23" t="s">
        <v>336</v>
      </c>
      <c r="I681" s="24"/>
      <c r="J681" s="22"/>
      <c r="K681" s="23" t="s">
        <v>481</v>
      </c>
      <c r="L681" s="22"/>
      <c r="M681" s="9" t="s">
        <v>425</v>
      </c>
      <c r="N681" s="9" t="s">
        <v>424</v>
      </c>
      <c r="O681" s="9" t="s">
        <v>482</v>
      </c>
      <c r="P681" s="9" t="s">
        <v>483</v>
      </c>
      <c r="Q681" s="23" t="s">
        <v>43</v>
      </c>
      <c r="R681" s="22"/>
      <c r="S681" s="8" t="s">
        <v>33</v>
      </c>
      <c r="U681" t="s">
        <v>50</v>
      </c>
      <c r="V681">
        <v>576</v>
      </c>
      <c r="W681" s="14" t="str">
        <f t="shared" si="72"/>
        <v>43.00 + 30.00</v>
      </c>
      <c r="X681" s="14" t="str">
        <f t="shared" si="73"/>
        <v>50.00 + 34.00</v>
      </c>
      <c r="Y681" s="14" t="str">
        <f t="shared" si="74"/>
        <v>56.00 + 39.00</v>
      </c>
      <c r="Z681" s="14" t="str">
        <f t="shared" si="75"/>
        <v>40.00 + 28.00</v>
      </c>
      <c r="AA681" s="14" t="str">
        <f t="shared" si="76"/>
        <v>53.00 + 38.00</v>
      </c>
      <c r="AB681" s="14" t="str">
        <f t="shared" si="77"/>
        <v>39.00 + 36.00</v>
      </c>
      <c r="AC681" s="14" t="str">
        <f t="shared" si="78"/>
        <v>29.00 + 19.00</v>
      </c>
      <c r="AD681" s="14" t="str">
        <f t="shared" si="79"/>
        <v xml:space="preserve"> - - +42.00</v>
      </c>
    </row>
    <row r="682" spans="5:30">
      <c r="E682" s="25"/>
      <c r="F682" s="8" t="s">
        <v>42</v>
      </c>
      <c r="G682" s="9" t="s">
        <v>43</v>
      </c>
      <c r="H682" s="23" t="s">
        <v>43</v>
      </c>
      <c r="I682" s="24"/>
      <c r="J682" s="22"/>
      <c r="K682" s="23" t="s">
        <v>43</v>
      </c>
      <c r="L682" s="22"/>
      <c r="M682" s="9" t="s">
        <v>43</v>
      </c>
      <c r="N682" s="9" t="s">
        <v>43</v>
      </c>
      <c r="O682" s="9" t="s">
        <v>43</v>
      </c>
      <c r="P682" s="9" t="s">
        <v>43</v>
      </c>
      <c r="Q682" s="23" t="s">
        <v>485</v>
      </c>
      <c r="R682" s="22"/>
      <c r="S682" s="8" t="s">
        <v>33</v>
      </c>
      <c r="U682" t="s">
        <v>51</v>
      </c>
      <c r="V682">
        <v>700</v>
      </c>
      <c r="W682" s="14" t="str">
        <f t="shared" si="72"/>
        <v xml:space="preserve"> - - + - - </v>
      </c>
      <c r="X682" s="14" t="str">
        <f t="shared" si="73"/>
        <v xml:space="preserve"> - - + - - </v>
      </c>
      <c r="Y682" s="14" t="str">
        <f t="shared" si="74"/>
        <v xml:space="preserve"> - - + - - </v>
      </c>
      <c r="Z682" s="14" t="str">
        <f t="shared" si="75"/>
        <v xml:space="preserve"> - - + - - </v>
      </c>
      <c r="AA682" s="14" t="str">
        <f t="shared" si="76"/>
        <v xml:space="preserve"> - - + - - </v>
      </c>
      <c r="AB682" s="14" t="str">
        <f t="shared" si="77"/>
        <v xml:space="preserve"> - - + - - </v>
      </c>
      <c r="AC682" s="14" t="str">
        <f t="shared" si="78"/>
        <v xml:space="preserve"> - - + - - </v>
      </c>
      <c r="AD682" s="14" t="str">
        <f t="shared" si="79"/>
        <v/>
      </c>
    </row>
    <row r="683" spans="5:30">
      <c r="E683" s="27"/>
      <c r="F683" s="8" t="s">
        <v>44</v>
      </c>
      <c r="G683" s="9" t="s">
        <v>33</v>
      </c>
      <c r="H683" s="23" t="s">
        <v>33</v>
      </c>
      <c r="I683" s="24"/>
      <c r="J683" s="22"/>
      <c r="K683" s="23" t="s">
        <v>33</v>
      </c>
      <c r="L683" s="22"/>
      <c r="M683" s="9" t="s">
        <v>33</v>
      </c>
      <c r="N683" s="9" t="s">
        <v>33</v>
      </c>
      <c r="O683" s="9" t="s">
        <v>33</v>
      </c>
      <c r="P683" s="9" t="s">
        <v>33</v>
      </c>
      <c r="Q683" s="23" t="s">
        <v>33</v>
      </c>
      <c r="R683" s="22"/>
      <c r="S683" s="8">
        <v>0</v>
      </c>
      <c r="U683" t="s">
        <v>170</v>
      </c>
      <c r="V683" t="s">
        <v>33</v>
      </c>
      <c r="W683" s="14" t="str">
        <f t="shared" si="72"/>
        <v/>
      </c>
      <c r="X683" s="14" t="str">
        <f t="shared" si="73"/>
        <v/>
      </c>
      <c r="Y683" s="14" t="str">
        <f t="shared" si="74"/>
        <v/>
      </c>
      <c r="Z683" s="14" t="str">
        <f t="shared" si="75"/>
        <v/>
      </c>
      <c r="AA683" s="14" t="str">
        <f t="shared" si="76"/>
        <v/>
      </c>
      <c r="AB683" s="14" t="str">
        <f t="shared" si="77"/>
        <v/>
      </c>
      <c r="AC683" s="14" t="str">
        <f t="shared" si="78"/>
        <v/>
      </c>
      <c r="AD683" s="14">
        <f t="shared" si="79"/>
        <v>2</v>
      </c>
    </row>
    <row r="684" spans="5:30">
      <c r="E684" s="29"/>
      <c r="F684" s="8" t="s">
        <v>45</v>
      </c>
      <c r="G684" s="9">
        <v>4</v>
      </c>
      <c r="H684" s="23">
        <v>4</v>
      </c>
      <c r="I684" s="24"/>
      <c r="J684" s="22"/>
      <c r="K684" s="23">
        <v>4</v>
      </c>
      <c r="L684" s="22"/>
      <c r="M684" s="9">
        <v>3</v>
      </c>
      <c r="N684" s="9">
        <v>3</v>
      </c>
      <c r="O684" s="9">
        <v>3</v>
      </c>
      <c r="P684" s="9">
        <v>2</v>
      </c>
      <c r="Q684" s="23">
        <v>2</v>
      </c>
      <c r="R684" s="22"/>
      <c r="S684" s="8">
        <v>25</v>
      </c>
      <c r="U684" t="s">
        <v>56</v>
      </c>
      <c r="V684" t="s">
        <v>33</v>
      </c>
      <c r="W684" s="14">
        <f t="shared" si="72"/>
        <v>4</v>
      </c>
      <c r="X684" s="14">
        <f t="shared" si="73"/>
        <v>4</v>
      </c>
      <c r="Y684" s="14">
        <f t="shared" si="74"/>
        <v>4</v>
      </c>
      <c r="Z684" s="14">
        <f t="shared" si="75"/>
        <v>3</v>
      </c>
      <c r="AA684" s="14">
        <f t="shared" si="76"/>
        <v>3</v>
      </c>
      <c r="AB684" s="14">
        <f t="shared" si="77"/>
        <v>3</v>
      </c>
      <c r="AC684" s="14">
        <f t="shared" si="78"/>
        <v>2</v>
      </c>
      <c r="AD684" s="14">
        <f t="shared" si="79"/>
        <v>8.5</v>
      </c>
    </row>
    <row r="685" spans="5:30">
      <c r="E685" s="6">
        <v>8.58</v>
      </c>
      <c r="F685" s="8" t="s">
        <v>47</v>
      </c>
      <c r="G685" s="9">
        <v>7.5</v>
      </c>
      <c r="H685" s="23">
        <v>8.5</v>
      </c>
      <c r="I685" s="24"/>
      <c r="J685" s="22"/>
      <c r="K685" s="23">
        <v>10</v>
      </c>
      <c r="L685" s="22"/>
      <c r="M685" s="9">
        <v>7</v>
      </c>
      <c r="N685" s="9">
        <v>9.5</v>
      </c>
      <c r="O685" s="9">
        <v>8</v>
      </c>
      <c r="P685" s="9">
        <v>10</v>
      </c>
      <c r="Q685" s="23">
        <v>8.5</v>
      </c>
      <c r="R685" s="22"/>
      <c r="S685" s="8" t="s">
        <v>33</v>
      </c>
      <c r="U685" t="s">
        <v>33</v>
      </c>
      <c r="V685" t="s">
        <v>33</v>
      </c>
      <c r="W685" s="14">
        <f t="shared" si="72"/>
        <v>7.5</v>
      </c>
      <c r="X685" s="14">
        <f t="shared" si="73"/>
        <v>8.5</v>
      </c>
      <c r="Y685" s="14">
        <f t="shared" si="74"/>
        <v>10</v>
      </c>
      <c r="Z685" s="14">
        <f t="shared" si="75"/>
        <v>7</v>
      </c>
      <c r="AA685" s="14">
        <f t="shared" si="76"/>
        <v>9.5</v>
      </c>
      <c r="AB685" s="14">
        <f t="shared" si="77"/>
        <v>8</v>
      </c>
      <c r="AC685" s="14">
        <f t="shared" si="78"/>
        <v>10</v>
      </c>
      <c r="AD685" s="14">
        <f t="shared" si="79"/>
        <v>17</v>
      </c>
    </row>
    <row r="686" spans="5:30">
      <c r="E686" s="10">
        <v>8.52</v>
      </c>
      <c r="F686" s="8" t="s">
        <v>49</v>
      </c>
      <c r="G686" s="9">
        <v>30</v>
      </c>
      <c r="H686" s="23">
        <v>34</v>
      </c>
      <c r="I686" s="24"/>
      <c r="J686" s="22"/>
      <c r="K686" s="23">
        <v>40</v>
      </c>
      <c r="L686" s="22"/>
      <c r="M686" s="9">
        <v>21</v>
      </c>
      <c r="N686" s="9">
        <v>28.5</v>
      </c>
      <c r="O686" s="9">
        <v>24</v>
      </c>
      <c r="P686" s="9">
        <v>20</v>
      </c>
      <c r="Q686" s="23">
        <v>17</v>
      </c>
      <c r="R686" s="22"/>
      <c r="S686" s="8">
        <v>214.5</v>
      </c>
      <c r="U686">
        <v>0</v>
      </c>
      <c r="V686">
        <v>0</v>
      </c>
      <c r="W686" s="14">
        <f t="shared" si="72"/>
        <v>30</v>
      </c>
      <c r="X686" s="14">
        <f t="shared" si="73"/>
        <v>34</v>
      </c>
      <c r="Y686" s="14">
        <f t="shared" si="74"/>
        <v>40</v>
      </c>
      <c r="Z686" s="14">
        <f t="shared" si="75"/>
        <v>21</v>
      </c>
      <c r="AA686" s="14">
        <f t="shared" si="76"/>
        <v>28.5</v>
      </c>
      <c r="AB686" s="14">
        <f t="shared" si="77"/>
        <v>24</v>
      </c>
      <c r="AC686" s="14">
        <f t="shared" si="78"/>
        <v>20</v>
      </c>
      <c r="AD686" s="14">
        <f t="shared" si="79"/>
        <v>42</v>
      </c>
    </row>
    <row r="687" spans="5:30">
      <c r="E687" s="4"/>
      <c r="F687" s="8" t="s">
        <v>36</v>
      </c>
      <c r="G687" s="9">
        <v>73</v>
      </c>
      <c r="H687" s="23">
        <v>84</v>
      </c>
      <c r="I687" s="24"/>
      <c r="J687" s="22"/>
      <c r="K687" s="23">
        <v>95</v>
      </c>
      <c r="L687" s="22"/>
      <c r="M687" s="9">
        <v>68</v>
      </c>
      <c r="N687" s="9">
        <v>91</v>
      </c>
      <c r="O687" s="9">
        <v>75</v>
      </c>
      <c r="P687" s="9">
        <v>48</v>
      </c>
      <c r="Q687" s="23">
        <v>42</v>
      </c>
      <c r="R687" s="22"/>
      <c r="S687" s="8">
        <v>576</v>
      </c>
      <c r="U687">
        <v>0</v>
      </c>
      <c r="V687">
        <v>0</v>
      </c>
      <c r="W687" s="14">
        <f t="shared" si="72"/>
        <v>73</v>
      </c>
      <c r="X687" s="14">
        <f t="shared" si="73"/>
        <v>84</v>
      </c>
      <c r="Y687" s="14">
        <f t="shared" si="74"/>
        <v>95</v>
      </c>
      <c r="Z687" s="14">
        <f t="shared" si="75"/>
        <v>68</v>
      </c>
      <c r="AA687" s="14">
        <f t="shared" si="76"/>
        <v>91</v>
      </c>
      <c r="AB687" s="14">
        <f t="shared" si="77"/>
        <v>75</v>
      </c>
      <c r="AC687" s="14">
        <f t="shared" si="78"/>
        <v>48</v>
      </c>
      <c r="AD687" s="14">
        <f t="shared" si="79"/>
        <v>50</v>
      </c>
    </row>
    <row r="688" spans="5:30">
      <c r="E688" s="6"/>
      <c r="F688" s="8" t="s">
        <v>52</v>
      </c>
      <c r="G688" s="9">
        <v>100</v>
      </c>
      <c r="H688" s="23">
        <v>100</v>
      </c>
      <c r="I688" s="24"/>
      <c r="J688" s="22"/>
      <c r="K688" s="23">
        <v>100</v>
      </c>
      <c r="L688" s="22"/>
      <c r="M688" s="9">
        <v>100</v>
      </c>
      <c r="N688" s="9">
        <v>100</v>
      </c>
      <c r="O688" s="9">
        <v>100</v>
      </c>
      <c r="P688" s="9">
        <v>50</v>
      </c>
      <c r="Q688" s="23">
        <v>50</v>
      </c>
      <c r="R688" s="22"/>
      <c r="S688" s="8">
        <v>700</v>
      </c>
      <c r="U688" t="s">
        <v>31</v>
      </c>
      <c r="V688" t="s">
        <v>33</v>
      </c>
      <c r="W688" s="14">
        <f t="shared" si="72"/>
        <v>100</v>
      </c>
      <c r="X688" s="14">
        <f t="shared" si="73"/>
        <v>100</v>
      </c>
      <c r="Y688" s="14">
        <f t="shared" si="74"/>
        <v>100</v>
      </c>
      <c r="Z688" s="14">
        <f t="shared" si="75"/>
        <v>100</v>
      </c>
      <c r="AA688" s="14">
        <f t="shared" si="76"/>
        <v>100</v>
      </c>
      <c r="AB688" s="14">
        <f t="shared" si="77"/>
        <v>100</v>
      </c>
      <c r="AC688" s="14">
        <f t="shared" si="78"/>
        <v>50</v>
      </c>
      <c r="AD688" s="14" t="str">
        <f t="shared" si="79"/>
        <v>OA</v>
      </c>
    </row>
    <row r="689" spans="5:30">
      <c r="E689" s="4"/>
      <c r="F689" s="8" t="s">
        <v>54</v>
      </c>
      <c r="G689" s="9" t="s">
        <v>108</v>
      </c>
      <c r="H689" s="23" t="s">
        <v>95</v>
      </c>
      <c r="I689" s="24"/>
      <c r="J689" s="22"/>
      <c r="K689" s="23" t="s">
        <v>93</v>
      </c>
      <c r="L689" s="22"/>
      <c r="M689" s="9" t="s">
        <v>109</v>
      </c>
      <c r="N689" s="9" t="s">
        <v>94</v>
      </c>
      <c r="O689" s="9" t="s">
        <v>135</v>
      </c>
      <c r="P689" s="9" t="s">
        <v>93</v>
      </c>
      <c r="Q689" s="23" t="s">
        <v>95</v>
      </c>
      <c r="R689" s="22"/>
      <c r="S689" s="8" t="s">
        <v>33</v>
      </c>
      <c r="U689" t="s">
        <v>487</v>
      </c>
      <c r="V689" t="s">
        <v>36</v>
      </c>
      <c r="W689" s="14" t="str">
        <f t="shared" si="72"/>
        <v>AA</v>
      </c>
      <c r="X689" s="14" t="str">
        <f t="shared" si="73"/>
        <v>OA</v>
      </c>
      <c r="Y689" s="14" t="str">
        <f t="shared" si="74"/>
        <v>OO+</v>
      </c>
      <c r="Z689" s="14" t="str">
        <f t="shared" si="75"/>
        <v>AB+</v>
      </c>
      <c r="AA689" s="14" t="str">
        <f t="shared" si="76"/>
        <v>OO</v>
      </c>
      <c r="AB689" s="14" t="str">
        <f t="shared" si="77"/>
        <v>AA+</v>
      </c>
      <c r="AC689" s="14" t="str">
        <f t="shared" si="78"/>
        <v>OO+</v>
      </c>
      <c r="AD689" s="14" t="str">
        <f t="shared" si="79"/>
        <v>Pass</v>
      </c>
    </row>
    <row r="690" spans="5:30">
      <c r="E690" s="11" t="s">
        <v>486</v>
      </c>
      <c r="F690" s="8" t="s">
        <v>58</v>
      </c>
      <c r="G690" s="9" t="s">
        <v>59</v>
      </c>
      <c r="H690" s="23" t="s">
        <v>59</v>
      </c>
      <c r="I690" s="24"/>
      <c r="J690" s="22"/>
      <c r="K690" s="23" t="s">
        <v>59</v>
      </c>
      <c r="L690" s="22"/>
      <c r="M690" s="9" t="s">
        <v>59</v>
      </c>
      <c r="N690" s="9" t="s">
        <v>59</v>
      </c>
      <c r="O690" s="9" t="s">
        <v>59</v>
      </c>
      <c r="P690" s="9" t="s">
        <v>59</v>
      </c>
      <c r="Q690" s="23" t="s">
        <v>59</v>
      </c>
      <c r="R690" s="22"/>
      <c r="S690" s="8" t="s">
        <v>33</v>
      </c>
      <c r="U690" t="s">
        <v>37</v>
      </c>
      <c r="V690" t="s">
        <v>33</v>
      </c>
      <c r="W690" s="14" t="str">
        <f t="shared" si="72"/>
        <v>Pass</v>
      </c>
      <c r="X690" s="14" t="str">
        <f t="shared" si="73"/>
        <v>Pass</v>
      </c>
      <c r="Y690" s="14" t="str">
        <f t="shared" si="74"/>
        <v>Pass</v>
      </c>
      <c r="Z690" s="14" t="str">
        <f t="shared" si="75"/>
        <v>Pass</v>
      </c>
      <c r="AA690" s="14" t="str">
        <f t="shared" si="76"/>
        <v>Pass</v>
      </c>
      <c r="AB690" s="14" t="str">
        <f t="shared" si="77"/>
        <v>Pass</v>
      </c>
      <c r="AC690" s="14" t="str">
        <f t="shared" si="78"/>
        <v>Pass</v>
      </c>
      <c r="AD690" s="14" t="str">
        <f t="shared" si="79"/>
        <v/>
      </c>
    </row>
    <row r="691" spans="5:30">
      <c r="E691" s="12" t="s">
        <v>33</v>
      </c>
      <c r="F691" s="12" t="s">
        <v>33</v>
      </c>
      <c r="G691" s="13" t="s">
        <v>33</v>
      </c>
      <c r="H691" s="20" t="s">
        <v>33</v>
      </c>
      <c r="I691" s="18"/>
      <c r="J691" s="18"/>
      <c r="K691" s="20" t="s">
        <v>33</v>
      </c>
      <c r="L691" s="18"/>
      <c r="M691" s="13" t="s">
        <v>33</v>
      </c>
      <c r="N691" s="13" t="s">
        <v>33</v>
      </c>
      <c r="O691" s="13" t="s">
        <v>33</v>
      </c>
      <c r="P691" s="13" t="s">
        <v>33</v>
      </c>
      <c r="Q691" s="20" t="s">
        <v>33</v>
      </c>
      <c r="R691" s="18"/>
      <c r="S691" s="13" t="s">
        <v>33</v>
      </c>
      <c r="U691" t="s">
        <v>492</v>
      </c>
      <c r="V691" t="s">
        <v>33</v>
      </c>
      <c r="W691" s="14" t="str">
        <f t="shared" si="72"/>
        <v/>
      </c>
      <c r="X691" s="14" t="str">
        <f t="shared" si="73"/>
        <v/>
      </c>
      <c r="Y691" s="14" t="str">
        <f t="shared" si="74"/>
        <v/>
      </c>
      <c r="Z691" s="14" t="str">
        <f t="shared" si="75"/>
        <v/>
      </c>
      <c r="AA691" s="14" t="str">
        <f t="shared" si="76"/>
        <v/>
      </c>
      <c r="AB691" s="14" t="str">
        <f t="shared" si="77"/>
        <v/>
      </c>
      <c r="AC691" s="14" t="str">
        <f t="shared" si="78"/>
        <v/>
      </c>
      <c r="AD691" s="14">
        <f t="shared" si="79"/>
        <v>0</v>
      </c>
    </row>
    <row r="692" spans="5:30" ht="0" hidden="1" customHeight="1">
      <c r="U692">
        <v>0</v>
      </c>
      <c r="V692">
        <v>0</v>
      </c>
      <c r="W692" s="14">
        <f t="shared" si="72"/>
        <v>0</v>
      </c>
      <c r="X692" s="14">
        <f t="shared" si="73"/>
        <v>0</v>
      </c>
      <c r="Y692" s="14">
        <f t="shared" si="74"/>
        <v>0</v>
      </c>
      <c r="Z692" s="14">
        <f t="shared" si="75"/>
        <v>0</v>
      </c>
      <c r="AA692" s="14">
        <f t="shared" si="76"/>
        <v>0</v>
      </c>
      <c r="AB692" s="14">
        <f t="shared" si="77"/>
        <v>0</v>
      </c>
      <c r="AC692" s="14">
        <f t="shared" si="78"/>
        <v>0</v>
      </c>
      <c r="AD692" s="14">
        <f t="shared" si="79"/>
        <v>0</v>
      </c>
    </row>
    <row r="693" spans="5:30" ht="0.6" customHeight="1">
      <c r="U693">
        <v>0</v>
      </c>
      <c r="V693">
        <v>25</v>
      </c>
      <c r="W693" s="14">
        <f t="shared" si="72"/>
        <v>0</v>
      </c>
      <c r="X693" s="14">
        <f t="shared" si="73"/>
        <v>0</v>
      </c>
      <c r="Y693" s="14">
        <f t="shared" si="74"/>
        <v>0</v>
      </c>
      <c r="Z693" s="14">
        <f t="shared" si="75"/>
        <v>0</v>
      </c>
      <c r="AA693" s="14">
        <f t="shared" si="76"/>
        <v>0</v>
      </c>
      <c r="AB693" s="14">
        <f t="shared" si="77"/>
        <v>0</v>
      </c>
      <c r="AC693" s="14">
        <f t="shared" si="78"/>
        <v>0</v>
      </c>
      <c r="AD693" s="14" t="str">
        <f t="shared" si="79"/>
        <v/>
      </c>
    </row>
    <row r="694" spans="5:30">
      <c r="E694" s="4"/>
      <c r="F694" s="3" t="s">
        <v>32</v>
      </c>
      <c r="G694" s="5" t="s">
        <v>33</v>
      </c>
      <c r="H694" s="32" t="s">
        <v>33</v>
      </c>
      <c r="I694" s="18"/>
      <c r="J694" s="18"/>
      <c r="K694" s="32" t="s">
        <v>33</v>
      </c>
      <c r="L694" s="18"/>
      <c r="M694" s="5" t="s">
        <v>33</v>
      </c>
      <c r="N694" s="5" t="s">
        <v>33</v>
      </c>
      <c r="O694" s="5" t="s">
        <v>33</v>
      </c>
      <c r="P694" s="5" t="s">
        <v>33</v>
      </c>
      <c r="Q694" s="32" t="s">
        <v>33</v>
      </c>
      <c r="R694" s="18"/>
      <c r="S694" s="5" t="s">
        <v>33</v>
      </c>
      <c r="U694" t="s">
        <v>46</v>
      </c>
      <c r="V694" t="s">
        <v>33</v>
      </c>
      <c r="W694" s="14" t="str">
        <f t="shared" si="72"/>
        <v/>
      </c>
      <c r="X694" s="14" t="str">
        <f t="shared" si="73"/>
        <v/>
      </c>
      <c r="Y694" s="14" t="str">
        <f t="shared" si="74"/>
        <v/>
      </c>
      <c r="Z694" s="14" t="str">
        <f t="shared" si="75"/>
        <v/>
      </c>
      <c r="AA694" s="14" t="str">
        <f t="shared" si="76"/>
        <v/>
      </c>
      <c r="AB694" s="14" t="str">
        <f t="shared" si="77"/>
        <v/>
      </c>
      <c r="AC694" s="14" t="str">
        <f t="shared" si="78"/>
        <v/>
      </c>
      <c r="AD694" s="14" t="str">
        <f t="shared" si="79"/>
        <v>COMNCSN302</v>
      </c>
    </row>
    <row r="695" spans="5:30" ht="21">
      <c r="E695" s="4"/>
      <c r="F695" s="7" t="s">
        <v>35</v>
      </c>
      <c r="G695" s="7" t="s">
        <v>5</v>
      </c>
      <c r="H695" s="30" t="s">
        <v>7</v>
      </c>
      <c r="I695" s="24"/>
      <c r="J695" s="22"/>
      <c r="K695" s="30" t="s">
        <v>9</v>
      </c>
      <c r="L695" s="22"/>
      <c r="M695" s="7" t="s">
        <v>11</v>
      </c>
      <c r="N695" s="7" t="s">
        <v>15</v>
      </c>
      <c r="O695" s="7" t="s">
        <v>17</v>
      </c>
      <c r="P695" s="7" t="s">
        <v>21</v>
      </c>
      <c r="Q695" s="30" t="s">
        <v>23</v>
      </c>
      <c r="R695" s="22"/>
      <c r="S695" s="7" t="s">
        <v>36</v>
      </c>
      <c r="U695" t="s">
        <v>48</v>
      </c>
      <c r="V695">
        <v>207</v>
      </c>
      <c r="W695" s="14" t="str">
        <f t="shared" si="72"/>
        <v>BBABMCN301</v>
      </c>
      <c r="X695" s="14" t="str">
        <f t="shared" si="73"/>
        <v>BBABMCN302</v>
      </c>
      <c r="Y695" s="14" t="str">
        <f t="shared" si="74"/>
        <v>BBABMCN303</v>
      </c>
      <c r="Z695" s="14" t="str">
        <f t="shared" si="75"/>
        <v>BBAENLN301</v>
      </c>
      <c r="AA695" s="14" t="str">
        <f t="shared" si="76"/>
        <v>BBAKALN302</v>
      </c>
      <c r="AB695" s="14" t="str">
        <f t="shared" si="77"/>
        <v>BCACAEN302</v>
      </c>
      <c r="AC695" s="14" t="str">
        <f t="shared" si="78"/>
        <v>COMFISN301</v>
      </c>
      <c r="AD695" s="14" t="str">
        <f t="shared" si="79"/>
        <v xml:space="preserve"> - - + - - </v>
      </c>
    </row>
    <row r="696" spans="5:30" ht="22.5">
      <c r="E696" s="6" t="s">
        <v>488</v>
      </c>
      <c r="F696" s="8" t="s">
        <v>39</v>
      </c>
      <c r="G696" s="9" t="s">
        <v>236</v>
      </c>
      <c r="H696" s="23" t="s">
        <v>489</v>
      </c>
      <c r="I696" s="24"/>
      <c r="J696" s="22"/>
      <c r="K696" s="23" t="s">
        <v>227</v>
      </c>
      <c r="L696" s="22"/>
      <c r="M696" s="9" t="s">
        <v>490</v>
      </c>
      <c r="N696" s="9" t="s">
        <v>491</v>
      </c>
      <c r="O696" s="9" t="s">
        <v>490</v>
      </c>
      <c r="P696" s="9" t="s">
        <v>328</v>
      </c>
      <c r="Q696" s="23" t="s">
        <v>43</v>
      </c>
      <c r="R696" s="22"/>
      <c r="S696" s="8" t="s">
        <v>33</v>
      </c>
      <c r="U696" t="s">
        <v>50</v>
      </c>
      <c r="V696">
        <v>555</v>
      </c>
      <c r="W696" s="14" t="str">
        <f t="shared" si="72"/>
        <v>43.00 + 32.00</v>
      </c>
      <c r="X696" s="14" t="str">
        <f t="shared" si="73"/>
        <v>39.00 + 35.00</v>
      </c>
      <c r="Y696" s="14" t="str">
        <f t="shared" si="74"/>
        <v>55.00 + 39.00</v>
      </c>
      <c r="Z696" s="14" t="str">
        <f t="shared" si="75"/>
        <v>38.00 + 28.00</v>
      </c>
      <c r="AA696" s="14" t="str">
        <f t="shared" si="76"/>
        <v>50.00 + 37.00</v>
      </c>
      <c r="AB696" s="14" t="str">
        <f t="shared" si="77"/>
        <v>38.00 + 28.00</v>
      </c>
      <c r="AC696" s="14" t="str">
        <f t="shared" si="78"/>
        <v>28.00 + 16.00</v>
      </c>
      <c r="AD696" s="14" t="str">
        <f t="shared" si="79"/>
        <v xml:space="preserve"> - - +49.00</v>
      </c>
    </row>
    <row r="697" spans="5:30">
      <c r="E697" s="25"/>
      <c r="F697" s="8" t="s">
        <v>42</v>
      </c>
      <c r="G697" s="9" t="s">
        <v>43</v>
      </c>
      <c r="H697" s="23" t="s">
        <v>43</v>
      </c>
      <c r="I697" s="24"/>
      <c r="J697" s="22"/>
      <c r="K697" s="23" t="s">
        <v>43</v>
      </c>
      <c r="L697" s="22"/>
      <c r="M697" s="9" t="s">
        <v>43</v>
      </c>
      <c r="N697" s="9" t="s">
        <v>43</v>
      </c>
      <c r="O697" s="9" t="s">
        <v>43</v>
      </c>
      <c r="P697" s="9" t="s">
        <v>43</v>
      </c>
      <c r="Q697" s="23" t="s">
        <v>120</v>
      </c>
      <c r="R697" s="22"/>
      <c r="S697" s="8" t="s">
        <v>33</v>
      </c>
      <c r="U697" t="s">
        <v>51</v>
      </c>
      <c r="V697">
        <v>700</v>
      </c>
      <c r="W697" s="14" t="str">
        <f t="shared" si="72"/>
        <v xml:space="preserve"> - - + - - </v>
      </c>
      <c r="X697" s="14" t="str">
        <f t="shared" si="73"/>
        <v xml:space="preserve"> - - + - - </v>
      </c>
      <c r="Y697" s="14" t="str">
        <f t="shared" si="74"/>
        <v xml:space="preserve"> - - + - - </v>
      </c>
      <c r="Z697" s="14" t="str">
        <f t="shared" si="75"/>
        <v xml:space="preserve"> - - + - - </v>
      </c>
      <c r="AA697" s="14" t="str">
        <f t="shared" si="76"/>
        <v xml:space="preserve"> - - + - - </v>
      </c>
      <c r="AB697" s="14" t="str">
        <f t="shared" si="77"/>
        <v xml:space="preserve"> - - + - - </v>
      </c>
      <c r="AC697" s="14" t="str">
        <f t="shared" si="78"/>
        <v xml:space="preserve"> - - + - - </v>
      </c>
      <c r="AD697" s="14" t="str">
        <f t="shared" si="79"/>
        <v/>
      </c>
    </row>
    <row r="698" spans="5:30">
      <c r="E698" s="27"/>
      <c r="F698" s="8" t="s">
        <v>44</v>
      </c>
      <c r="G698" s="9" t="s">
        <v>33</v>
      </c>
      <c r="H698" s="23" t="s">
        <v>33</v>
      </c>
      <c r="I698" s="24"/>
      <c r="J698" s="22"/>
      <c r="K698" s="23" t="s">
        <v>33</v>
      </c>
      <c r="L698" s="22"/>
      <c r="M698" s="9" t="s">
        <v>33</v>
      </c>
      <c r="N698" s="9" t="s">
        <v>33</v>
      </c>
      <c r="O698" s="9" t="s">
        <v>33</v>
      </c>
      <c r="P698" s="9" t="s">
        <v>33</v>
      </c>
      <c r="Q698" s="23" t="s">
        <v>33</v>
      </c>
      <c r="R698" s="22"/>
      <c r="S698" s="8">
        <v>0</v>
      </c>
      <c r="U698" t="s">
        <v>159</v>
      </c>
      <c r="V698" t="s">
        <v>33</v>
      </c>
      <c r="W698" s="14" t="str">
        <f t="shared" si="72"/>
        <v/>
      </c>
      <c r="X698" s="14" t="str">
        <f t="shared" si="73"/>
        <v/>
      </c>
      <c r="Y698" s="14" t="str">
        <f t="shared" si="74"/>
        <v/>
      </c>
      <c r="Z698" s="14" t="str">
        <f t="shared" si="75"/>
        <v/>
      </c>
      <c r="AA698" s="14" t="str">
        <f t="shared" si="76"/>
        <v/>
      </c>
      <c r="AB698" s="14" t="str">
        <f t="shared" si="77"/>
        <v/>
      </c>
      <c r="AC698" s="14" t="str">
        <f t="shared" si="78"/>
        <v/>
      </c>
      <c r="AD698" s="14">
        <f t="shared" si="79"/>
        <v>2</v>
      </c>
    </row>
    <row r="699" spans="5:30">
      <c r="E699" s="29"/>
      <c r="F699" s="8" t="s">
        <v>45</v>
      </c>
      <c r="G699" s="9">
        <v>4</v>
      </c>
      <c r="H699" s="23">
        <v>4</v>
      </c>
      <c r="I699" s="24"/>
      <c r="J699" s="22"/>
      <c r="K699" s="23">
        <v>4</v>
      </c>
      <c r="L699" s="22"/>
      <c r="M699" s="9">
        <v>3</v>
      </c>
      <c r="N699" s="9">
        <v>3</v>
      </c>
      <c r="O699" s="9">
        <v>3</v>
      </c>
      <c r="P699" s="9">
        <v>2</v>
      </c>
      <c r="Q699" s="23">
        <v>2</v>
      </c>
      <c r="R699" s="22"/>
      <c r="S699" s="8">
        <v>25</v>
      </c>
      <c r="U699" t="s">
        <v>56</v>
      </c>
      <c r="V699" t="s">
        <v>33</v>
      </c>
      <c r="W699" s="14">
        <f t="shared" si="72"/>
        <v>4</v>
      </c>
      <c r="X699" s="14">
        <f t="shared" si="73"/>
        <v>4</v>
      </c>
      <c r="Y699" s="14">
        <f t="shared" si="74"/>
        <v>4</v>
      </c>
      <c r="Z699" s="14">
        <f t="shared" si="75"/>
        <v>3</v>
      </c>
      <c r="AA699" s="14">
        <f t="shared" si="76"/>
        <v>3</v>
      </c>
      <c r="AB699" s="14">
        <f t="shared" si="77"/>
        <v>3</v>
      </c>
      <c r="AC699" s="14">
        <f t="shared" si="78"/>
        <v>2</v>
      </c>
      <c r="AD699" s="14">
        <f t="shared" si="79"/>
        <v>10</v>
      </c>
    </row>
    <row r="700" spans="5:30">
      <c r="E700" s="6">
        <v>8.2799999999999994</v>
      </c>
      <c r="F700" s="8" t="s">
        <v>47</v>
      </c>
      <c r="G700" s="9">
        <v>8</v>
      </c>
      <c r="H700" s="23">
        <v>7.5</v>
      </c>
      <c r="I700" s="24"/>
      <c r="J700" s="22"/>
      <c r="K700" s="23">
        <v>9.5</v>
      </c>
      <c r="L700" s="22"/>
      <c r="M700" s="9">
        <v>7</v>
      </c>
      <c r="N700" s="9">
        <v>9</v>
      </c>
      <c r="O700" s="9">
        <v>7</v>
      </c>
      <c r="P700" s="9">
        <v>9</v>
      </c>
      <c r="Q700" s="23">
        <v>10</v>
      </c>
      <c r="R700" s="22"/>
      <c r="S700" s="8" t="s">
        <v>33</v>
      </c>
      <c r="U700" t="s">
        <v>33</v>
      </c>
      <c r="V700" t="s">
        <v>33</v>
      </c>
      <c r="W700" s="14">
        <f t="shared" si="72"/>
        <v>8</v>
      </c>
      <c r="X700" s="14">
        <f t="shared" si="73"/>
        <v>7.5</v>
      </c>
      <c r="Y700" s="14">
        <f t="shared" si="74"/>
        <v>9.5</v>
      </c>
      <c r="Z700" s="14">
        <f t="shared" si="75"/>
        <v>7</v>
      </c>
      <c r="AA700" s="14">
        <f t="shared" si="76"/>
        <v>9</v>
      </c>
      <c r="AB700" s="14">
        <f t="shared" si="77"/>
        <v>7</v>
      </c>
      <c r="AC700" s="14">
        <f t="shared" si="78"/>
        <v>9</v>
      </c>
      <c r="AD700" s="14">
        <f t="shared" si="79"/>
        <v>20</v>
      </c>
    </row>
    <row r="701" spans="5:30">
      <c r="E701" s="10">
        <v>7.91</v>
      </c>
      <c r="F701" s="8" t="s">
        <v>49</v>
      </c>
      <c r="G701" s="9">
        <v>32</v>
      </c>
      <c r="H701" s="23">
        <v>30</v>
      </c>
      <c r="I701" s="24"/>
      <c r="J701" s="22"/>
      <c r="K701" s="23">
        <v>38</v>
      </c>
      <c r="L701" s="22"/>
      <c r="M701" s="9">
        <v>21</v>
      </c>
      <c r="N701" s="9">
        <v>27</v>
      </c>
      <c r="O701" s="9">
        <v>21</v>
      </c>
      <c r="P701" s="9">
        <v>18</v>
      </c>
      <c r="Q701" s="23">
        <v>20</v>
      </c>
      <c r="R701" s="22"/>
      <c r="S701" s="8">
        <v>207</v>
      </c>
      <c r="U701">
        <v>0</v>
      </c>
      <c r="V701">
        <v>0</v>
      </c>
      <c r="W701" s="14">
        <f t="shared" si="72"/>
        <v>32</v>
      </c>
      <c r="X701" s="14">
        <f t="shared" si="73"/>
        <v>30</v>
      </c>
      <c r="Y701" s="14">
        <f t="shared" si="74"/>
        <v>38</v>
      </c>
      <c r="Z701" s="14">
        <f t="shared" si="75"/>
        <v>21</v>
      </c>
      <c r="AA701" s="14">
        <f t="shared" si="76"/>
        <v>27</v>
      </c>
      <c r="AB701" s="14">
        <f t="shared" si="77"/>
        <v>21</v>
      </c>
      <c r="AC701" s="14">
        <f t="shared" si="78"/>
        <v>18</v>
      </c>
      <c r="AD701" s="14">
        <f t="shared" si="79"/>
        <v>49</v>
      </c>
    </row>
    <row r="702" spans="5:30">
      <c r="E702" s="4"/>
      <c r="F702" s="8" t="s">
        <v>36</v>
      </c>
      <c r="G702" s="9">
        <v>75</v>
      </c>
      <c r="H702" s="23">
        <v>74</v>
      </c>
      <c r="I702" s="24"/>
      <c r="J702" s="22"/>
      <c r="K702" s="23">
        <v>94</v>
      </c>
      <c r="L702" s="22"/>
      <c r="M702" s="9">
        <v>66</v>
      </c>
      <c r="N702" s="9">
        <v>87</v>
      </c>
      <c r="O702" s="9">
        <v>66</v>
      </c>
      <c r="P702" s="9">
        <v>44</v>
      </c>
      <c r="Q702" s="23">
        <v>49</v>
      </c>
      <c r="R702" s="22"/>
      <c r="S702" s="8">
        <v>555</v>
      </c>
      <c r="U702">
        <v>0</v>
      </c>
      <c r="V702">
        <v>0</v>
      </c>
      <c r="W702" s="14">
        <f t="shared" si="72"/>
        <v>75</v>
      </c>
      <c r="X702" s="14">
        <f t="shared" si="73"/>
        <v>74</v>
      </c>
      <c r="Y702" s="14">
        <f t="shared" si="74"/>
        <v>94</v>
      </c>
      <c r="Z702" s="14">
        <f t="shared" si="75"/>
        <v>66</v>
      </c>
      <c r="AA702" s="14">
        <f t="shared" si="76"/>
        <v>87</v>
      </c>
      <c r="AB702" s="14">
        <f t="shared" si="77"/>
        <v>66</v>
      </c>
      <c r="AC702" s="14">
        <f t="shared" si="78"/>
        <v>44</v>
      </c>
      <c r="AD702" s="14">
        <f t="shared" si="79"/>
        <v>50</v>
      </c>
    </row>
    <row r="703" spans="5:30">
      <c r="E703" s="6"/>
      <c r="F703" s="8" t="s">
        <v>52</v>
      </c>
      <c r="G703" s="9">
        <v>100</v>
      </c>
      <c r="H703" s="23">
        <v>100</v>
      </c>
      <c r="I703" s="24"/>
      <c r="J703" s="22"/>
      <c r="K703" s="23">
        <v>100</v>
      </c>
      <c r="L703" s="22"/>
      <c r="M703" s="9">
        <v>100</v>
      </c>
      <c r="N703" s="9">
        <v>100</v>
      </c>
      <c r="O703" s="9">
        <v>100</v>
      </c>
      <c r="P703" s="9">
        <v>50</v>
      </c>
      <c r="Q703" s="23">
        <v>50</v>
      </c>
      <c r="R703" s="22"/>
      <c r="S703" s="8">
        <v>700</v>
      </c>
      <c r="U703" t="s">
        <v>31</v>
      </c>
      <c r="V703" t="s">
        <v>33</v>
      </c>
      <c r="W703" s="14">
        <f t="shared" si="72"/>
        <v>100</v>
      </c>
      <c r="X703" s="14">
        <f t="shared" si="73"/>
        <v>100</v>
      </c>
      <c r="Y703" s="14">
        <f t="shared" si="74"/>
        <v>100</v>
      </c>
      <c r="Z703" s="14">
        <f t="shared" si="75"/>
        <v>100</v>
      </c>
      <c r="AA703" s="14">
        <f t="shared" si="76"/>
        <v>100</v>
      </c>
      <c r="AB703" s="14">
        <f t="shared" si="77"/>
        <v>100</v>
      </c>
      <c r="AC703" s="14">
        <f t="shared" si="78"/>
        <v>50</v>
      </c>
      <c r="AD703" s="14" t="str">
        <f t="shared" si="79"/>
        <v>OO+</v>
      </c>
    </row>
    <row r="704" spans="5:30">
      <c r="E704" s="4"/>
      <c r="F704" s="8" t="s">
        <v>54</v>
      </c>
      <c r="G704" s="9" t="s">
        <v>135</v>
      </c>
      <c r="H704" s="23" t="s">
        <v>108</v>
      </c>
      <c r="I704" s="24"/>
      <c r="J704" s="22"/>
      <c r="K704" s="23" t="s">
        <v>94</v>
      </c>
      <c r="L704" s="22"/>
      <c r="M704" s="9" t="s">
        <v>109</v>
      </c>
      <c r="N704" s="9" t="s">
        <v>122</v>
      </c>
      <c r="O704" s="9" t="s">
        <v>109</v>
      </c>
      <c r="P704" s="9" t="s">
        <v>122</v>
      </c>
      <c r="Q704" s="23" t="s">
        <v>93</v>
      </c>
      <c r="R704" s="22"/>
      <c r="S704" s="8" t="s">
        <v>33</v>
      </c>
      <c r="U704" t="s">
        <v>494</v>
      </c>
      <c r="V704" t="s">
        <v>36</v>
      </c>
      <c r="W704" s="14" t="str">
        <f t="shared" si="72"/>
        <v>AA+</v>
      </c>
      <c r="X704" s="14" t="str">
        <f t="shared" si="73"/>
        <v>AA</v>
      </c>
      <c r="Y704" s="14" t="str">
        <f t="shared" si="74"/>
        <v>OO</v>
      </c>
      <c r="Z704" s="14" t="str">
        <f t="shared" si="75"/>
        <v>AB+</v>
      </c>
      <c r="AA704" s="14" t="str">
        <f t="shared" si="76"/>
        <v>OA+</v>
      </c>
      <c r="AB704" s="14" t="str">
        <f t="shared" si="77"/>
        <v>AB+</v>
      </c>
      <c r="AC704" s="14" t="str">
        <f t="shared" si="78"/>
        <v>OA+</v>
      </c>
      <c r="AD704" s="14" t="str">
        <f t="shared" si="79"/>
        <v>Pass</v>
      </c>
    </row>
    <row r="705" spans="5:30">
      <c r="E705" s="11" t="s">
        <v>493</v>
      </c>
      <c r="F705" s="8" t="s">
        <v>58</v>
      </c>
      <c r="G705" s="9" t="s">
        <v>59</v>
      </c>
      <c r="H705" s="23" t="s">
        <v>59</v>
      </c>
      <c r="I705" s="24"/>
      <c r="J705" s="22"/>
      <c r="K705" s="23" t="s">
        <v>59</v>
      </c>
      <c r="L705" s="22"/>
      <c r="M705" s="9" t="s">
        <v>59</v>
      </c>
      <c r="N705" s="9" t="s">
        <v>59</v>
      </c>
      <c r="O705" s="9" t="s">
        <v>59</v>
      </c>
      <c r="P705" s="9" t="s">
        <v>59</v>
      </c>
      <c r="Q705" s="23" t="s">
        <v>59</v>
      </c>
      <c r="R705" s="22"/>
      <c r="S705" s="8" t="s">
        <v>33</v>
      </c>
      <c r="U705" t="s">
        <v>37</v>
      </c>
      <c r="V705" t="s">
        <v>33</v>
      </c>
      <c r="W705" s="14" t="str">
        <f t="shared" si="72"/>
        <v>Pass</v>
      </c>
      <c r="X705" s="14" t="str">
        <f t="shared" si="73"/>
        <v>Pass</v>
      </c>
      <c r="Y705" s="14" t="str">
        <f t="shared" si="74"/>
        <v>Pass</v>
      </c>
      <c r="Z705" s="14" t="str">
        <f t="shared" si="75"/>
        <v>Pass</v>
      </c>
      <c r="AA705" s="14" t="str">
        <f t="shared" si="76"/>
        <v>Pass</v>
      </c>
      <c r="AB705" s="14" t="str">
        <f t="shared" si="77"/>
        <v>Pass</v>
      </c>
      <c r="AC705" s="14" t="str">
        <f t="shared" si="78"/>
        <v>Pass</v>
      </c>
      <c r="AD705" s="14" t="str">
        <f t="shared" si="79"/>
        <v/>
      </c>
    </row>
    <row r="706" spans="5:30">
      <c r="E706" s="12" t="s">
        <v>33</v>
      </c>
      <c r="F706" s="12" t="s">
        <v>33</v>
      </c>
      <c r="G706" s="13" t="s">
        <v>33</v>
      </c>
      <c r="H706" s="20" t="s">
        <v>33</v>
      </c>
      <c r="I706" s="18"/>
      <c r="J706" s="18"/>
      <c r="K706" s="20" t="s">
        <v>33</v>
      </c>
      <c r="L706" s="18"/>
      <c r="M706" s="13" t="s">
        <v>33</v>
      </c>
      <c r="N706" s="13" t="s">
        <v>33</v>
      </c>
      <c r="O706" s="13" t="s">
        <v>33</v>
      </c>
      <c r="P706" s="13" t="s">
        <v>33</v>
      </c>
      <c r="Q706" s="20" t="s">
        <v>33</v>
      </c>
      <c r="R706" s="18"/>
      <c r="S706" s="13" t="s">
        <v>33</v>
      </c>
      <c r="U706" t="s">
        <v>500</v>
      </c>
      <c r="V706" t="s">
        <v>33</v>
      </c>
      <c r="W706" s="14" t="str">
        <f t="shared" si="72"/>
        <v/>
      </c>
      <c r="X706" s="14" t="str">
        <f t="shared" si="73"/>
        <v/>
      </c>
      <c r="Y706" s="14" t="str">
        <f t="shared" si="74"/>
        <v/>
      </c>
      <c r="Z706" s="14" t="str">
        <f t="shared" si="75"/>
        <v/>
      </c>
      <c r="AA706" s="14" t="str">
        <f t="shared" si="76"/>
        <v/>
      </c>
      <c r="AB706" s="14" t="str">
        <f t="shared" si="77"/>
        <v/>
      </c>
      <c r="AC706" s="14" t="str">
        <f t="shared" si="78"/>
        <v/>
      </c>
      <c r="AD706" s="14">
        <f t="shared" si="79"/>
        <v>0</v>
      </c>
    </row>
    <row r="707" spans="5:30" ht="0" hidden="1" customHeight="1">
      <c r="U707">
        <v>0</v>
      </c>
      <c r="V707">
        <v>0</v>
      </c>
      <c r="W707" s="14">
        <f t="shared" si="72"/>
        <v>0</v>
      </c>
      <c r="X707" s="14">
        <f t="shared" si="73"/>
        <v>0</v>
      </c>
      <c r="Y707" s="14">
        <f t="shared" si="74"/>
        <v>0</v>
      </c>
      <c r="Z707" s="14">
        <f t="shared" si="75"/>
        <v>0</v>
      </c>
      <c r="AA707" s="14">
        <f t="shared" si="76"/>
        <v>0</v>
      </c>
      <c r="AB707" s="14">
        <f t="shared" si="77"/>
        <v>0</v>
      </c>
      <c r="AC707" s="14">
        <f t="shared" si="78"/>
        <v>0</v>
      </c>
      <c r="AD707" s="14">
        <f t="shared" si="79"/>
        <v>0</v>
      </c>
    </row>
    <row r="708" spans="5:30" ht="0.6" customHeight="1">
      <c r="U708">
        <v>0</v>
      </c>
      <c r="V708">
        <v>18</v>
      </c>
      <c r="W708" s="14">
        <f t="shared" si="72"/>
        <v>0</v>
      </c>
      <c r="X708" s="14">
        <f t="shared" si="73"/>
        <v>0</v>
      </c>
      <c r="Y708" s="14">
        <f t="shared" si="74"/>
        <v>0</v>
      </c>
      <c r="Z708" s="14">
        <f t="shared" si="75"/>
        <v>0</v>
      </c>
      <c r="AA708" s="14">
        <f t="shared" si="76"/>
        <v>0</v>
      </c>
      <c r="AB708" s="14">
        <f t="shared" si="77"/>
        <v>0</v>
      </c>
      <c r="AC708" s="14">
        <f t="shared" si="78"/>
        <v>0</v>
      </c>
      <c r="AD708" s="14" t="str">
        <f t="shared" si="79"/>
        <v/>
      </c>
    </row>
    <row r="709" spans="5:30">
      <c r="E709" s="4"/>
      <c r="F709" s="3" t="s">
        <v>32</v>
      </c>
      <c r="G709" s="5" t="s">
        <v>33</v>
      </c>
      <c r="H709" s="32" t="s">
        <v>33</v>
      </c>
      <c r="I709" s="18"/>
      <c r="J709" s="18"/>
      <c r="K709" s="32" t="s">
        <v>33</v>
      </c>
      <c r="L709" s="18"/>
      <c r="M709" s="5" t="s">
        <v>33</v>
      </c>
      <c r="N709" s="5" t="s">
        <v>33</v>
      </c>
      <c r="O709" s="5" t="s">
        <v>33</v>
      </c>
      <c r="P709" s="5" t="s">
        <v>33</v>
      </c>
      <c r="Q709" s="32" t="s">
        <v>33</v>
      </c>
      <c r="R709" s="18"/>
      <c r="S709" s="5" t="s">
        <v>33</v>
      </c>
      <c r="U709" t="s">
        <v>46</v>
      </c>
      <c r="V709" t="s">
        <v>33</v>
      </c>
      <c r="W709" s="14" t="str">
        <f t="shared" si="72"/>
        <v/>
      </c>
      <c r="X709" s="14" t="str">
        <f t="shared" si="73"/>
        <v/>
      </c>
      <c r="Y709" s="14" t="str">
        <f t="shared" si="74"/>
        <v/>
      </c>
      <c r="Z709" s="14" t="str">
        <f t="shared" si="75"/>
        <v/>
      </c>
      <c r="AA709" s="14" t="str">
        <f t="shared" si="76"/>
        <v/>
      </c>
      <c r="AB709" s="14" t="str">
        <f t="shared" si="77"/>
        <v/>
      </c>
      <c r="AC709" s="14" t="str">
        <f t="shared" si="78"/>
        <v/>
      </c>
      <c r="AD709" s="14" t="str">
        <f t="shared" si="79"/>
        <v>COMNCSN302</v>
      </c>
    </row>
    <row r="710" spans="5:30" ht="21">
      <c r="E710" s="4"/>
      <c r="F710" s="7" t="s">
        <v>35</v>
      </c>
      <c r="G710" s="7" t="s">
        <v>5</v>
      </c>
      <c r="H710" s="30" t="s">
        <v>7</v>
      </c>
      <c r="I710" s="24"/>
      <c r="J710" s="22"/>
      <c r="K710" s="30" t="s">
        <v>9</v>
      </c>
      <c r="L710" s="22"/>
      <c r="M710" s="7" t="s">
        <v>11</v>
      </c>
      <c r="N710" s="7" t="s">
        <v>15</v>
      </c>
      <c r="O710" s="7" t="s">
        <v>17</v>
      </c>
      <c r="P710" s="7" t="s">
        <v>21</v>
      </c>
      <c r="Q710" s="30" t="s">
        <v>23</v>
      </c>
      <c r="R710" s="22"/>
      <c r="S710" s="7" t="s">
        <v>36</v>
      </c>
      <c r="U710" t="s">
        <v>48</v>
      </c>
      <c r="V710">
        <v>127</v>
      </c>
      <c r="W710" s="14" t="str">
        <f t="shared" si="72"/>
        <v>BBABMCN301</v>
      </c>
      <c r="X710" s="14" t="str">
        <f t="shared" si="73"/>
        <v>BBABMCN302</v>
      </c>
      <c r="Y710" s="14" t="str">
        <f t="shared" si="74"/>
        <v>BBABMCN303</v>
      </c>
      <c r="Z710" s="14" t="str">
        <f t="shared" si="75"/>
        <v>BBAENLN301</v>
      </c>
      <c r="AA710" s="14" t="str">
        <f t="shared" si="76"/>
        <v>BBAKALN302</v>
      </c>
      <c r="AB710" s="14" t="str">
        <f t="shared" si="77"/>
        <v>BCACAEN302</v>
      </c>
      <c r="AC710" s="14" t="str">
        <f t="shared" si="78"/>
        <v>COMFISN301</v>
      </c>
      <c r="AD710" s="14" t="str">
        <f t="shared" si="79"/>
        <v xml:space="preserve"> - - + - - </v>
      </c>
    </row>
    <row r="711" spans="5:30" ht="22.5">
      <c r="E711" s="6" t="s">
        <v>495</v>
      </c>
      <c r="F711" s="8" t="s">
        <v>39</v>
      </c>
      <c r="G711" s="9" t="s">
        <v>496</v>
      </c>
      <c r="H711" s="23" t="s">
        <v>497</v>
      </c>
      <c r="I711" s="24"/>
      <c r="J711" s="22"/>
      <c r="K711" s="23" t="s">
        <v>447</v>
      </c>
      <c r="L711" s="22"/>
      <c r="M711" s="9" t="s">
        <v>498</v>
      </c>
      <c r="N711" s="9" t="s">
        <v>448</v>
      </c>
      <c r="O711" s="9" t="s">
        <v>499</v>
      </c>
      <c r="P711" s="9" t="s">
        <v>267</v>
      </c>
      <c r="Q711" s="23" t="s">
        <v>43</v>
      </c>
      <c r="R711" s="22"/>
      <c r="S711" s="8" t="s">
        <v>33</v>
      </c>
      <c r="U711" t="s">
        <v>65</v>
      </c>
      <c r="V711">
        <v>405</v>
      </c>
      <c r="W711" s="14" t="str">
        <f t="shared" ref="W711:W774" si="80">$G711</f>
        <v>9.00 + 23.00</v>
      </c>
      <c r="X711" s="14" t="str">
        <f t="shared" ref="X711:X774" si="81">$H711</f>
        <v>32.00 + 33.00</v>
      </c>
      <c r="Y711" s="14" t="str">
        <f t="shared" ref="Y711:Y774" si="82">$K711</f>
        <v>24.00 + 30.00</v>
      </c>
      <c r="Z711" s="14" t="str">
        <f t="shared" ref="Z711:Z774" si="83">$M711</f>
        <v>39.00 + 29.00</v>
      </c>
      <c r="AA711" s="14" t="str">
        <f t="shared" ref="AA711:AA774" si="84">$N711</f>
        <v>43.00 + 34.00</v>
      </c>
      <c r="AB711" s="14" t="str">
        <f t="shared" ref="AB711:AB774" si="85">$O711</f>
        <v>8.00 + 23.00</v>
      </c>
      <c r="AC711" s="14" t="str">
        <f t="shared" ref="AC711:AC774" si="86">$P711</f>
        <v>20.00 + 14.00</v>
      </c>
      <c r="AD711" s="14" t="str">
        <f t="shared" ref="AD711:AD774" si="87">$Q712</f>
        <v xml:space="preserve"> - - +44.00</v>
      </c>
    </row>
    <row r="712" spans="5:30">
      <c r="E712" s="25"/>
      <c r="F712" s="8" t="s">
        <v>42</v>
      </c>
      <c r="G712" s="9" t="s">
        <v>43</v>
      </c>
      <c r="H712" s="23" t="s">
        <v>43</v>
      </c>
      <c r="I712" s="24"/>
      <c r="J712" s="22"/>
      <c r="K712" s="23" t="s">
        <v>43</v>
      </c>
      <c r="L712" s="22"/>
      <c r="M712" s="9" t="s">
        <v>43</v>
      </c>
      <c r="N712" s="9" t="s">
        <v>43</v>
      </c>
      <c r="O712" s="9" t="s">
        <v>43</v>
      </c>
      <c r="P712" s="9" t="s">
        <v>43</v>
      </c>
      <c r="Q712" s="23" t="s">
        <v>360</v>
      </c>
      <c r="R712" s="22"/>
      <c r="S712" s="8" t="s">
        <v>33</v>
      </c>
      <c r="U712" t="s">
        <v>51</v>
      </c>
      <c r="V712">
        <v>700</v>
      </c>
      <c r="W712" s="14" t="str">
        <f t="shared" si="80"/>
        <v xml:space="preserve"> - - + - - </v>
      </c>
      <c r="X712" s="14" t="str">
        <f t="shared" si="81"/>
        <v xml:space="preserve"> - - + - - </v>
      </c>
      <c r="Y712" s="14" t="str">
        <f t="shared" si="82"/>
        <v xml:space="preserve"> - - + - - </v>
      </c>
      <c r="Z712" s="14" t="str">
        <f t="shared" si="83"/>
        <v xml:space="preserve"> - - + - - </v>
      </c>
      <c r="AA712" s="14" t="str">
        <f t="shared" si="84"/>
        <v xml:space="preserve"> - - + - - </v>
      </c>
      <c r="AB712" s="14" t="str">
        <f t="shared" si="85"/>
        <v xml:space="preserve"> - - + - - </v>
      </c>
      <c r="AC712" s="14" t="str">
        <f t="shared" si="86"/>
        <v xml:space="preserve"> - - + - - </v>
      </c>
      <c r="AD712" s="14" t="str">
        <f t="shared" si="87"/>
        <v/>
      </c>
    </row>
    <row r="713" spans="5:30">
      <c r="E713" s="27"/>
      <c r="F713" s="8" t="s">
        <v>44</v>
      </c>
      <c r="G713" s="9" t="s">
        <v>33</v>
      </c>
      <c r="H713" s="23" t="s">
        <v>33</v>
      </c>
      <c r="I713" s="24"/>
      <c r="J713" s="22"/>
      <c r="K713" s="23" t="s">
        <v>33</v>
      </c>
      <c r="L713" s="22"/>
      <c r="M713" s="9" t="s">
        <v>33</v>
      </c>
      <c r="N713" s="9" t="s">
        <v>33</v>
      </c>
      <c r="O713" s="9" t="s">
        <v>33</v>
      </c>
      <c r="P713" s="9" t="s">
        <v>33</v>
      </c>
      <c r="Q713" s="23" t="s">
        <v>33</v>
      </c>
      <c r="R713" s="22"/>
      <c r="S713" s="8">
        <v>0</v>
      </c>
      <c r="U713" t="s">
        <v>66</v>
      </c>
      <c r="V713" t="s">
        <v>33</v>
      </c>
      <c r="W713" s="14" t="str">
        <f t="shared" si="80"/>
        <v/>
      </c>
      <c r="X713" s="14" t="str">
        <f t="shared" si="81"/>
        <v/>
      </c>
      <c r="Y713" s="14" t="str">
        <f t="shared" si="82"/>
        <v/>
      </c>
      <c r="Z713" s="14" t="str">
        <f t="shared" si="83"/>
        <v/>
      </c>
      <c r="AA713" s="14" t="str">
        <f t="shared" si="84"/>
        <v/>
      </c>
      <c r="AB713" s="14" t="str">
        <f t="shared" si="85"/>
        <v/>
      </c>
      <c r="AC713" s="14" t="str">
        <f t="shared" si="86"/>
        <v/>
      </c>
      <c r="AD713" s="14">
        <f t="shared" si="87"/>
        <v>2</v>
      </c>
    </row>
    <row r="714" spans="5:30">
      <c r="E714" s="29"/>
      <c r="F714" s="8" t="s">
        <v>45</v>
      </c>
      <c r="G714" s="9">
        <v>4</v>
      </c>
      <c r="H714" s="23">
        <v>4</v>
      </c>
      <c r="I714" s="24"/>
      <c r="J714" s="22"/>
      <c r="K714" s="23">
        <v>4</v>
      </c>
      <c r="L714" s="22"/>
      <c r="M714" s="9">
        <v>3</v>
      </c>
      <c r="N714" s="9">
        <v>3</v>
      </c>
      <c r="O714" s="9">
        <v>3</v>
      </c>
      <c r="P714" s="9">
        <v>2</v>
      </c>
      <c r="Q714" s="23">
        <v>2</v>
      </c>
      <c r="R714" s="22"/>
      <c r="S714" s="8">
        <v>18</v>
      </c>
      <c r="U714" t="s">
        <v>56</v>
      </c>
      <c r="V714" t="s">
        <v>33</v>
      </c>
      <c r="W714" s="14">
        <f t="shared" si="80"/>
        <v>4</v>
      </c>
      <c r="X714" s="14">
        <f t="shared" si="81"/>
        <v>4</v>
      </c>
      <c r="Y714" s="14">
        <f t="shared" si="82"/>
        <v>4</v>
      </c>
      <c r="Z714" s="14">
        <f t="shared" si="83"/>
        <v>3</v>
      </c>
      <c r="AA714" s="14">
        <f t="shared" si="84"/>
        <v>3</v>
      </c>
      <c r="AB714" s="14">
        <f t="shared" si="85"/>
        <v>3</v>
      </c>
      <c r="AC714" s="14">
        <f t="shared" si="86"/>
        <v>2</v>
      </c>
      <c r="AD714" s="14">
        <f t="shared" si="87"/>
        <v>9</v>
      </c>
    </row>
    <row r="715" spans="5:30">
      <c r="E715" s="6"/>
      <c r="F715" s="8" t="s">
        <v>47</v>
      </c>
      <c r="G715" s="9"/>
      <c r="H715" s="23">
        <v>7</v>
      </c>
      <c r="I715" s="24"/>
      <c r="J715" s="22"/>
      <c r="K715" s="23">
        <v>5.5</v>
      </c>
      <c r="L715" s="22"/>
      <c r="M715" s="9">
        <v>7</v>
      </c>
      <c r="N715" s="9">
        <v>8</v>
      </c>
      <c r="O715" s="9"/>
      <c r="P715" s="9">
        <v>7</v>
      </c>
      <c r="Q715" s="23">
        <v>9</v>
      </c>
      <c r="R715" s="22"/>
      <c r="S715" s="8" t="s">
        <v>33</v>
      </c>
      <c r="U715" t="s">
        <v>33</v>
      </c>
      <c r="V715" t="s">
        <v>33</v>
      </c>
      <c r="W715" s="14">
        <f t="shared" si="80"/>
        <v>0</v>
      </c>
      <c r="X715" s="14">
        <f t="shared" si="81"/>
        <v>7</v>
      </c>
      <c r="Y715" s="14">
        <f t="shared" si="82"/>
        <v>5.5</v>
      </c>
      <c r="Z715" s="14">
        <f t="shared" si="83"/>
        <v>7</v>
      </c>
      <c r="AA715" s="14">
        <f t="shared" si="84"/>
        <v>8</v>
      </c>
      <c r="AB715" s="14">
        <f t="shared" si="85"/>
        <v>0</v>
      </c>
      <c r="AC715" s="14">
        <f t="shared" si="86"/>
        <v>7</v>
      </c>
      <c r="AD715" s="14">
        <f t="shared" si="87"/>
        <v>18</v>
      </c>
    </row>
    <row r="716" spans="5:30">
      <c r="E716" s="6"/>
      <c r="F716" s="8" t="s">
        <v>49</v>
      </c>
      <c r="G716" s="9"/>
      <c r="H716" s="23">
        <v>28</v>
      </c>
      <c r="I716" s="24"/>
      <c r="J716" s="22"/>
      <c r="K716" s="23">
        <v>22</v>
      </c>
      <c r="L716" s="22"/>
      <c r="M716" s="9">
        <v>21</v>
      </c>
      <c r="N716" s="9">
        <v>24</v>
      </c>
      <c r="O716" s="9"/>
      <c r="P716" s="9">
        <v>14</v>
      </c>
      <c r="Q716" s="23">
        <v>18</v>
      </c>
      <c r="R716" s="22"/>
      <c r="S716" s="8">
        <v>127</v>
      </c>
      <c r="U716">
        <v>0</v>
      </c>
      <c r="V716">
        <v>0</v>
      </c>
      <c r="W716" s="14">
        <f t="shared" si="80"/>
        <v>0</v>
      </c>
      <c r="X716" s="14">
        <f t="shared" si="81"/>
        <v>28</v>
      </c>
      <c r="Y716" s="14">
        <f t="shared" si="82"/>
        <v>22</v>
      </c>
      <c r="Z716" s="14">
        <f t="shared" si="83"/>
        <v>21</v>
      </c>
      <c r="AA716" s="14">
        <f t="shared" si="84"/>
        <v>24</v>
      </c>
      <c r="AB716" s="14">
        <f t="shared" si="85"/>
        <v>0</v>
      </c>
      <c r="AC716" s="14">
        <f t="shared" si="86"/>
        <v>14</v>
      </c>
      <c r="AD716" s="14">
        <f t="shared" si="87"/>
        <v>44</v>
      </c>
    </row>
    <row r="717" spans="5:30">
      <c r="E717" s="4"/>
      <c r="F717" s="8" t="s">
        <v>36</v>
      </c>
      <c r="G717" s="9">
        <v>32</v>
      </c>
      <c r="H717" s="23">
        <v>65</v>
      </c>
      <c r="I717" s="24"/>
      <c r="J717" s="22"/>
      <c r="K717" s="23">
        <v>54</v>
      </c>
      <c r="L717" s="22"/>
      <c r="M717" s="9">
        <v>68</v>
      </c>
      <c r="N717" s="9">
        <v>77</v>
      </c>
      <c r="O717" s="9">
        <v>31</v>
      </c>
      <c r="P717" s="9">
        <v>34</v>
      </c>
      <c r="Q717" s="23">
        <v>44</v>
      </c>
      <c r="R717" s="22"/>
      <c r="S717" s="8">
        <v>405</v>
      </c>
      <c r="U717" t="s">
        <v>31</v>
      </c>
      <c r="V717" t="s">
        <v>33</v>
      </c>
      <c r="W717" s="14">
        <f t="shared" si="80"/>
        <v>32</v>
      </c>
      <c r="X717" s="14">
        <f t="shared" si="81"/>
        <v>65</v>
      </c>
      <c r="Y717" s="14">
        <f t="shared" si="82"/>
        <v>54</v>
      </c>
      <c r="Z717" s="14">
        <f t="shared" si="83"/>
        <v>68</v>
      </c>
      <c r="AA717" s="14">
        <f t="shared" si="84"/>
        <v>77</v>
      </c>
      <c r="AB717" s="14">
        <f t="shared" si="85"/>
        <v>31</v>
      </c>
      <c r="AC717" s="14">
        <f t="shared" si="86"/>
        <v>34</v>
      </c>
      <c r="AD717" s="14">
        <f t="shared" si="87"/>
        <v>50</v>
      </c>
    </row>
    <row r="718" spans="5:30">
      <c r="E718" s="6"/>
      <c r="F718" s="8" t="s">
        <v>52</v>
      </c>
      <c r="G718" s="9">
        <v>100</v>
      </c>
      <c r="H718" s="23">
        <v>100</v>
      </c>
      <c r="I718" s="24"/>
      <c r="J718" s="22"/>
      <c r="K718" s="23">
        <v>100</v>
      </c>
      <c r="L718" s="22"/>
      <c r="M718" s="9">
        <v>100</v>
      </c>
      <c r="N718" s="9">
        <v>100</v>
      </c>
      <c r="O718" s="9">
        <v>100</v>
      </c>
      <c r="P718" s="9">
        <v>50</v>
      </c>
      <c r="Q718" s="23">
        <v>50</v>
      </c>
      <c r="R718" s="22"/>
      <c r="S718" s="8">
        <v>700</v>
      </c>
      <c r="U718" t="s">
        <v>502</v>
      </c>
      <c r="V718" t="s">
        <v>36</v>
      </c>
      <c r="W718" s="14">
        <f t="shared" si="80"/>
        <v>100</v>
      </c>
      <c r="X718" s="14">
        <f t="shared" si="81"/>
        <v>100</v>
      </c>
      <c r="Y718" s="14">
        <f t="shared" si="82"/>
        <v>100</v>
      </c>
      <c r="Z718" s="14">
        <f t="shared" si="83"/>
        <v>100</v>
      </c>
      <c r="AA718" s="14">
        <f t="shared" si="84"/>
        <v>100</v>
      </c>
      <c r="AB718" s="14">
        <f t="shared" si="85"/>
        <v>100</v>
      </c>
      <c r="AC718" s="14">
        <f t="shared" si="86"/>
        <v>50</v>
      </c>
      <c r="AD718" s="14" t="str">
        <f t="shared" si="87"/>
        <v>OA+</v>
      </c>
    </row>
    <row r="719" spans="5:30">
      <c r="E719" s="4"/>
      <c r="F719" s="8" t="s">
        <v>54</v>
      </c>
      <c r="G719" s="9"/>
      <c r="H719" s="23" t="s">
        <v>109</v>
      </c>
      <c r="I719" s="24"/>
      <c r="J719" s="22"/>
      <c r="K719" s="23" t="s">
        <v>123</v>
      </c>
      <c r="L719" s="22"/>
      <c r="M719" s="9" t="s">
        <v>109</v>
      </c>
      <c r="N719" s="9" t="s">
        <v>135</v>
      </c>
      <c r="O719" s="9"/>
      <c r="P719" s="9" t="s">
        <v>109</v>
      </c>
      <c r="Q719" s="23" t="s">
        <v>122</v>
      </c>
      <c r="R719" s="22"/>
      <c r="S719" s="8" t="s">
        <v>33</v>
      </c>
      <c r="U719" t="s">
        <v>37</v>
      </c>
      <c r="V719" t="s">
        <v>33</v>
      </c>
      <c r="W719" s="14">
        <f t="shared" si="80"/>
        <v>0</v>
      </c>
      <c r="X719" s="14" t="str">
        <f t="shared" si="81"/>
        <v>AB+</v>
      </c>
      <c r="Y719" s="14" t="str">
        <f t="shared" si="82"/>
        <v>BB</v>
      </c>
      <c r="Z719" s="14" t="str">
        <f t="shared" si="83"/>
        <v>AB+</v>
      </c>
      <c r="AA719" s="14" t="str">
        <f t="shared" si="84"/>
        <v>AA+</v>
      </c>
      <c r="AB719" s="14">
        <f t="shared" si="85"/>
        <v>0</v>
      </c>
      <c r="AC719" s="14" t="str">
        <f t="shared" si="86"/>
        <v>AB+</v>
      </c>
      <c r="AD719" s="14" t="str">
        <f t="shared" si="87"/>
        <v>Pass</v>
      </c>
    </row>
    <row r="720" spans="5:30">
      <c r="E720" s="11" t="s">
        <v>501</v>
      </c>
      <c r="F720" s="8" t="s">
        <v>58</v>
      </c>
      <c r="G720" s="9" t="s">
        <v>68</v>
      </c>
      <c r="H720" s="23" t="s">
        <v>59</v>
      </c>
      <c r="I720" s="24"/>
      <c r="J720" s="22"/>
      <c r="K720" s="23" t="s">
        <v>59</v>
      </c>
      <c r="L720" s="22"/>
      <c r="M720" s="9" t="s">
        <v>59</v>
      </c>
      <c r="N720" s="9" t="s">
        <v>59</v>
      </c>
      <c r="O720" s="9" t="s">
        <v>68</v>
      </c>
      <c r="P720" s="9" t="s">
        <v>59</v>
      </c>
      <c r="Q720" s="23" t="s">
        <v>59</v>
      </c>
      <c r="R720" s="22"/>
      <c r="S720" s="8" t="s">
        <v>33</v>
      </c>
      <c r="U720" t="s">
        <v>505</v>
      </c>
      <c r="V720" t="s">
        <v>33</v>
      </c>
      <c r="W720" s="14" t="str">
        <f t="shared" si="80"/>
        <v>Fail</v>
      </c>
      <c r="X720" s="14" t="str">
        <f t="shared" si="81"/>
        <v>Pass</v>
      </c>
      <c r="Y720" s="14" t="str">
        <f t="shared" si="82"/>
        <v>Pass</v>
      </c>
      <c r="Z720" s="14" t="str">
        <f t="shared" si="83"/>
        <v>Pass</v>
      </c>
      <c r="AA720" s="14" t="str">
        <f t="shared" si="84"/>
        <v>Pass</v>
      </c>
      <c r="AB720" s="14" t="str">
        <f t="shared" si="85"/>
        <v>Fail</v>
      </c>
      <c r="AC720" s="14" t="str">
        <f t="shared" si="86"/>
        <v>Pass</v>
      </c>
      <c r="AD720" s="14" t="str">
        <f t="shared" si="87"/>
        <v/>
      </c>
    </row>
    <row r="721" spans="5:30">
      <c r="E721" s="12" t="s">
        <v>33</v>
      </c>
      <c r="F721" s="12" t="s">
        <v>33</v>
      </c>
      <c r="G721" s="13" t="s">
        <v>33</v>
      </c>
      <c r="H721" s="20" t="s">
        <v>33</v>
      </c>
      <c r="I721" s="18"/>
      <c r="J721" s="18"/>
      <c r="K721" s="20" t="s">
        <v>33</v>
      </c>
      <c r="L721" s="18"/>
      <c r="M721" s="13" t="s">
        <v>33</v>
      </c>
      <c r="N721" s="13" t="s">
        <v>33</v>
      </c>
      <c r="O721" s="13" t="s">
        <v>33</v>
      </c>
      <c r="P721" s="13" t="s">
        <v>33</v>
      </c>
      <c r="Q721" s="20" t="s">
        <v>33</v>
      </c>
      <c r="R721" s="18"/>
      <c r="S721" s="13" t="s">
        <v>33</v>
      </c>
      <c r="U721">
        <v>0</v>
      </c>
      <c r="V721">
        <v>0</v>
      </c>
      <c r="W721" s="14" t="str">
        <f t="shared" si="80"/>
        <v/>
      </c>
      <c r="X721" s="14" t="str">
        <f t="shared" si="81"/>
        <v/>
      </c>
      <c r="Y721" s="14" t="str">
        <f t="shared" si="82"/>
        <v/>
      </c>
      <c r="Z721" s="14" t="str">
        <f t="shared" si="83"/>
        <v/>
      </c>
      <c r="AA721" s="14" t="str">
        <f t="shared" si="84"/>
        <v/>
      </c>
      <c r="AB721" s="14" t="str">
        <f t="shared" si="85"/>
        <v/>
      </c>
      <c r="AC721" s="14" t="str">
        <f t="shared" si="86"/>
        <v/>
      </c>
      <c r="AD721" s="14">
        <f t="shared" si="87"/>
        <v>0</v>
      </c>
    </row>
    <row r="722" spans="5:30" ht="0.6" customHeight="1">
      <c r="U722">
        <v>0</v>
      </c>
      <c r="V722">
        <v>25</v>
      </c>
      <c r="W722" s="14">
        <f t="shared" si="80"/>
        <v>0</v>
      </c>
      <c r="X722" s="14">
        <f t="shared" si="81"/>
        <v>0</v>
      </c>
      <c r="Y722" s="14">
        <f t="shared" si="82"/>
        <v>0</v>
      </c>
      <c r="Z722" s="14">
        <f t="shared" si="83"/>
        <v>0</v>
      </c>
      <c r="AA722" s="14">
        <f t="shared" si="84"/>
        <v>0</v>
      </c>
      <c r="AB722" s="14">
        <f t="shared" si="85"/>
        <v>0</v>
      </c>
      <c r="AC722" s="14">
        <f t="shared" si="86"/>
        <v>0</v>
      </c>
      <c r="AD722" s="14" t="str">
        <f t="shared" si="87"/>
        <v/>
      </c>
    </row>
    <row r="723" spans="5:30">
      <c r="E723" s="4"/>
      <c r="F723" s="3" t="s">
        <v>32</v>
      </c>
      <c r="G723" s="5" t="s">
        <v>33</v>
      </c>
      <c r="H723" s="32" t="s">
        <v>33</v>
      </c>
      <c r="I723" s="18"/>
      <c r="J723" s="18"/>
      <c r="K723" s="32" t="s">
        <v>33</v>
      </c>
      <c r="L723" s="18"/>
      <c r="M723" s="5" t="s">
        <v>33</v>
      </c>
      <c r="N723" s="5" t="s">
        <v>33</v>
      </c>
      <c r="O723" s="5" t="s">
        <v>33</v>
      </c>
      <c r="P723" s="5" t="s">
        <v>33</v>
      </c>
      <c r="Q723" s="32" t="s">
        <v>33</v>
      </c>
      <c r="R723" s="18"/>
      <c r="S723" s="5" t="s">
        <v>33</v>
      </c>
      <c r="U723" t="s">
        <v>46</v>
      </c>
      <c r="V723" t="s">
        <v>33</v>
      </c>
      <c r="W723" s="14" t="str">
        <f t="shared" si="80"/>
        <v/>
      </c>
      <c r="X723" s="14" t="str">
        <f t="shared" si="81"/>
        <v/>
      </c>
      <c r="Y723" s="14" t="str">
        <f t="shared" si="82"/>
        <v/>
      </c>
      <c r="Z723" s="14" t="str">
        <f t="shared" si="83"/>
        <v/>
      </c>
      <c r="AA723" s="14" t="str">
        <f t="shared" si="84"/>
        <v/>
      </c>
      <c r="AB723" s="14" t="str">
        <f t="shared" si="85"/>
        <v/>
      </c>
      <c r="AC723" s="14" t="str">
        <f t="shared" si="86"/>
        <v/>
      </c>
      <c r="AD723" s="14" t="str">
        <f t="shared" si="87"/>
        <v>COMSRSN302</v>
      </c>
    </row>
    <row r="724" spans="5:30" ht="21">
      <c r="E724" s="4"/>
      <c r="F724" s="7" t="s">
        <v>35</v>
      </c>
      <c r="G724" s="7" t="s">
        <v>5</v>
      </c>
      <c r="H724" s="30" t="s">
        <v>7</v>
      </c>
      <c r="I724" s="24"/>
      <c r="J724" s="22"/>
      <c r="K724" s="30" t="s">
        <v>9</v>
      </c>
      <c r="L724" s="22"/>
      <c r="M724" s="7" t="s">
        <v>11</v>
      </c>
      <c r="N724" s="7" t="s">
        <v>15</v>
      </c>
      <c r="O724" s="7" t="s">
        <v>17</v>
      </c>
      <c r="P724" s="7" t="s">
        <v>21</v>
      </c>
      <c r="Q724" s="30" t="s">
        <v>29</v>
      </c>
      <c r="R724" s="22"/>
      <c r="S724" s="7" t="s">
        <v>36</v>
      </c>
      <c r="U724" t="s">
        <v>48</v>
      </c>
      <c r="V724">
        <v>237</v>
      </c>
      <c r="W724" s="14" t="str">
        <f t="shared" si="80"/>
        <v>BBABMCN301</v>
      </c>
      <c r="X724" s="14" t="str">
        <f t="shared" si="81"/>
        <v>BBABMCN302</v>
      </c>
      <c r="Y724" s="14" t="str">
        <f t="shared" si="82"/>
        <v>BBABMCN303</v>
      </c>
      <c r="Z724" s="14" t="str">
        <f t="shared" si="83"/>
        <v>BBAENLN301</v>
      </c>
      <c r="AA724" s="14" t="str">
        <f t="shared" si="84"/>
        <v>BBAKALN302</v>
      </c>
      <c r="AB724" s="14" t="str">
        <f t="shared" si="85"/>
        <v>BCACAEN302</v>
      </c>
      <c r="AC724" s="14" t="str">
        <f t="shared" si="86"/>
        <v>COMFISN301</v>
      </c>
      <c r="AD724" s="14" t="str">
        <f t="shared" si="87"/>
        <v xml:space="preserve"> - - + - - </v>
      </c>
    </row>
    <row r="725" spans="5:30" ht="22.5">
      <c r="E725" s="6" t="s">
        <v>503</v>
      </c>
      <c r="F725" s="8" t="s">
        <v>39</v>
      </c>
      <c r="G725" s="9" t="s">
        <v>309</v>
      </c>
      <c r="H725" s="23" t="s">
        <v>432</v>
      </c>
      <c r="I725" s="24"/>
      <c r="J725" s="22"/>
      <c r="K725" s="23" t="s">
        <v>88</v>
      </c>
      <c r="L725" s="22"/>
      <c r="M725" s="9" t="s">
        <v>311</v>
      </c>
      <c r="N725" s="9" t="s">
        <v>504</v>
      </c>
      <c r="O725" s="9" t="s">
        <v>309</v>
      </c>
      <c r="P725" s="9" t="s">
        <v>89</v>
      </c>
      <c r="Q725" s="23" t="s">
        <v>43</v>
      </c>
      <c r="R725" s="22"/>
      <c r="S725" s="8" t="s">
        <v>33</v>
      </c>
      <c r="U725" t="s">
        <v>50</v>
      </c>
      <c r="V725">
        <v>639</v>
      </c>
      <c r="W725" s="14" t="str">
        <f t="shared" si="80"/>
        <v>55.00 + 40.00</v>
      </c>
      <c r="X725" s="14" t="str">
        <f t="shared" si="81"/>
        <v>48.00 + 40.00</v>
      </c>
      <c r="Y725" s="14" t="str">
        <f t="shared" si="82"/>
        <v>60.00 + 40.00</v>
      </c>
      <c r="Z725" s="14" t="str">
        <f t="shared" si="83"/>
        <v>40.00 + 36.00</v>
      </c>
      <c r="AA725" s="14" t="str">
        <f t="shared" si="84"/>
        <v>47.00 + 38.00</v>
      </c>
      <c r="AB725" s="14" t="str">
        <f t="shared" si="85"/>
        <v>55.00 + 40.00</v>
      </c>
      <c r="AC725" s="14" t="str">
        <f t="shared" si="86"/>
        <v>30.00 + 20.00</v>
      </c>
      <c r="AD725" s="14" t="str">
        <f t="shared" si="87"/>
        <v xml:space="preserve"> - - +50.00</v>
      </c>
    </row>
    <row r="726" spans="5:30">
      <c r="E726" s="25"/>
      <c r="F726" s="8" t="s">
        <v>42</v>
      </c>
      <c r="G726" s="9" t="s">
        <v>43</v>
      </c>
      <c r="H726" s="23" t="s">
        <v>43</v>
      </c>
      <c r="I726" s="24"/>
      <c r="J726" s="22"/>
      <c r="K726" s="23" t="s">
        <v>43</v>
      </c>
      <c r="L726" s="22"/>
      <c r="M726" s="9" t="s">
        <v>43</v>
      </c>
      <c r="N726" s="9" t="s">
        <v>43</v>
      </c>
      <c r="O726" s="9" t="s">
        <v>43</v>
      </c>
      <c r="P726" s="9" t="s">
        <v>43</v>
      </c>
      <c r="Q726" s="23" t="s">
        <v>91</v>
      </c>
      <c r="R726" s="22"/>
      <c r="S726" s="8" t="s">
        <v>33</v>
      </c>
      <c r="U726" t="s">
        <v>51</v>
      </c>
      <c r="V726">
        <v>700</v>
      </c>
      <c r="W726" s="14" t="str">
        <f t="shared" si="80"/>
        <v xml:space="preserve"> - - + - - </v>
      </c>
      <c r="X726" s="14" t="str">
        <f t="shared" si="81"/>
        <v xml:space="preserve"> - - + - - </v>
      </c>
      <c r="Y726" s="14" t="str">
        <f t="shared" si="82"/>
        <v xml:space="preserve"> - - + - - </v>
      </c>
      <c r="Z726" s="14" t="str">
        <f t="shared" si="83"/>
        <v xml:space="preserve"> - - + - - </v>
      </c>
      <c r="AA726" s="14" t="str">
        <f t="shared" si="84"/>
        <v xml:space="preserve"> - - + - - </v>
      </c>
      <c r="AB726" s="14" t="str">
        <f t="shared" si="85"/>
        <v xml:space="preserve"> - - + - - </v>
      </c>
      <c r="AC726" s="14" t="str">
        <f t="shared" si="86"/>
        <v xml:space="preserve"> - - + - - </v>
      </c>
      <c r="AD726" s="14" t="str">
        <f t="shared" si="87"/>
        <v/>
      </c>
    </row>
    <row r="727" spans="5:30">
      <c r="E727" s="27"/>
      <c r="F727" s="8" t="s">
        <v>44</v>
      </c>
      <c r="G727" s="9" t="s">
        <v>33</v>
      </c>
      <c r="H727" s="23" t="s">
        <v>33</v>
      </c>
      <c r="I727" s="24"/>
      <c r="J727" s="22"/>
      <c r="K727" s="23" t="s">
        <v>33</v>
      </c>
      <c r="L727" s="22"/>
      <c r="M727" s="9" t="s">
        <v>33</v>
      </c>
      <c r="N727" s="9" t="s">
        <v>33</v>
      </c>
      <c r="O727" s="9" t="s">
        <v>33</v>
      </c>
      <c r="P727" s="9" t="s">
        <v>33</v>
      </c>
      <c r="Q727" s="23" t="s">
        <v>33</v>
      </c>
      <c r="R727" s="22"/>
      <c r="S727" s="8">
        <v>0</v>
      </c>
      <c r="U727" t="s">
        <v>287</v>
      </c>
      <c r="V727" t="s">
        <v>33</v>
      </c>
      <c r="W727" s="14" t="str">
        <f t="shared" si="80"/>
        <v/>
      </c>
      <c r="X727" s="14" t="str">
        <f t="shared" si="81"/>
        <v/>
      </c>
      <c r="Y727" s="14" t="str">
        <f t="shared" si="82"/>
        <v/>
      </c>
      <c r="Z727" s="14" t="str">
        <f t="shared" si="83"/>
        <v/>
      </c>
      <c r="AA727" s="14" t="str">
        <f t="shared" si="84"/>
        <v/>
      </c>
      <c r="AB727" s="14" t="str">
        <f t="shared" si="85"/>
        <v/>
      </c>
      <c r="AC727" s="14" t="str">
        <f t="shared" si="86"/>
        <v/>
      </c>
      <c r="AD727" s="14">
        <f t="shared" si="87"/>
        <v>2</v>
      </c>
    </row>
    <row r="728" spans="5:30">
      <c r="E728" s="29"/>
      <c r="F728" s="8" t="s">
        <v>45</v>
      </c>
      <c r="G728" s="9">
        <v>4</v>
      </c>
      <c r="H728" s="23">
        <v>4</v>
      </c>
      <c r="I728" s="24"/>
      <c r="J728" s="22"/>
      <c r="K728" s="23">
        <v>4</v>
      </c>
      <c r="L728" s="22"/>
      <c r="M728" s="9">
        <v>3</v>
      </c>
      <c r="N728" s="9">
        <v>3</v>
      </c>
      <c r="O728" s="9">
        <v>3</v>
      </c>
      <c r="P728" s="9">
        <v>2</v>
      </c>
      <c r="Q728" s="23">
        <v>2</v>
      </c>
      <c r="R728" s="22"/>
      <c r="S728" s="8">
        <v>25</v>
      </c>
      <c r="U728" t="s">
        <v>56</v>
      </c>
      <c r="V728" t="s">
        <v>33</v>
      </c>
      <c r="W728" s="14">
        <f t="shared" si="80"/>
        <v>4</v>
      </c>
      <c r="X728" s="14">
        <f t="shared" si="81"/>
        <v>4</v>
      </c>
      <c r="Y728" s="14">
        <f t="shared" si="82"/>
        <v>4</v>
      </c>
      <c r="Z728" s="14">
        <f t="shared" si="83"/>
        <v>3</v>
      </c>
      <c r="AA728" s="14">
        <f t="shared" si="84"/>
        <v>3</v>
      </c>
      <c r="AB728" s="14">
        <f t="shared" si="85"/>
        <v>3</v>
      </c>
      <c r="AC728" s="14">
        <f t="shared" si="86"/>
        <v>2</v>
      </c>
      <c r="AD728" s="14">
        <f t="shared" si="87"/>
        <v>10</v>
      </c>
    </row>
    <row r="729" spans="5:30">
      <c r="E729" s="6">
        <v>9.48</v>
      </c>
      <c r="F729" s="8" t="s">
        <v>47</v>
      </c>
      <c r="G729" s="9">
        <v>10</v>
      </c>
      <c r="H729" s="23">
        <v>9</v>
      </c>
      <c r="I729" s="24"/>
      <c r="J729" s="22"/>
      <c r="K729" s="23">
        <v>10</v>
      </c>
      <c r="L729" s="22"/>
      <c r="M729" s="9">
        <v>8</v>
      </c>
      <c r="N729" s="9">
        <v>9</v>
      </c>
      <c r="O729" s="9">
        <v>10</v>
      </c>
      <c r="P729" s="9">
        <v>10</v>
      </c>
      <c r="Q729" s="23">
        <v>10</v>
      </c>
      <c r="R729" s="22"/>
      <c r="S729" s="8" t="s">
        <v>33</v>
      </c>
      <c r="U729" t="s">
        <v>33</v>
      </c>
      <c r="V729" t="s">
        <v>33</v>
      </c>
      <c r="W729" s="14">
        <f t="shared" si="80"/>
        <v>10</v>
      </c>
      <c r="X729" s="14">
        <f t="shared" si="81"/>
        <v>9</v>
      </c>
      <c r="Y729" s="14">
        <f t="shared" si="82"/>
        <v>10</v>
      </c>
      <c r="Z729" s="14">
        <f t="shared" si="83"/>
        <v>8</v>
      </c>
      <c r="AA729" s="14">
        <f t="shared" si="84"/>
        <v>9</v>
      </c>
      <c r="AB729" s="14">
        <f t="shared" si="85"/>
        <v>10</v>
      </c>
      <c r="AC729" s="14">
        <f t="shared" si="86"/>
        <v>10</v>
      </c>
      <c r="AD729" s="14">
        <f t="shared" si="87"/>
        <v>20</v>
      </c>
    </row>
    <row r="730" spans="5:30">
      <c r="E730" s="10">
        <v>9.14</v>
      </c>
      <c r="F730" s="8" t="s">
        <v>49</v>
      </c>
      <c r="G730" s="9">
        <v>40</v>
      </c>
      <c r="H730" s="23">
        <v>36</v>
      </c>
      <c r="I730" s="24"/>
      <c r="J730" s="22"/>
      <c r="K730" s="23">
        <v>40</v>
      </c>
      <c r="L730" s="22"/>
      <c r="M730" s="9">
        <v>24</v>
      </c>
      <c r="N730" s="9">
        <v>27</v>
      </c>
      <c r="O730" s="9">
        <v>30</v>
      </c>
      <c r="P730" s="9">
        <v>20</v>
      </c>
      <c r="Q730" s="23">
        <v>20</v>
      </c>
      <c r="R730" s="22"/>
      <c r="S730" s="8">
        <v>237</v>
      </c>
      <c r="U730">
        <v>0</v>
      </c>
      <c r="V730">
        <v>0</v>
      </c>
      <c r="W730" s="14">
        <f t="shared" si="80"/>
        <v>40</v>
      </c>
      <c r="X730" s="14">
        <f t="shared" si="81"/>
        <v>36</v>
      </c>
      <c r="Y730" s="14">
        <f t="shared" si="82"/>
        <v>40</v>
      </c>
      <c r="Z730" s="14">
        <f t="shared" si="83"/>
        <v>24</v>
      </c>
      <c r="AA730" s="14">
        <f t="shared" si="84"/>
        <v>27</v>
      </c>
      <c r="AB730" s="14">
        <f t="shared" si="85"/>
        <v>30</v>
      </c>
      <c r="AC730" s="14">
        <f t="shared" si="86"/>
        <v>20</v>
      </c>
      <c r="AD730" s="14">
        <f t="shared" si="87"/>
        <v>50</v>
      </c>
    </row>
    <row r="731" spans="5:30">
      <c r="E731" s="4"/>
      <c r="F731" s="8" t="s">
        <v>36</v>
      </c>
      <c r="G731" s="9">
        <v>95</v>
      </c>
      <c r="H731" s="23">
        <v>88</v>
      </c>
      <c r="I731" s="24"/>
      <c r="J731" s="22"/>
      <c r="K731" s="23">
        <v>100</v>
      </c>
      <c r="L731" s="22"/>
      <c r="M731" s="9">
        <v>76</v>
      </c>
      <c r="N731" s="9">
        <v>85</v>
      </c>
      <c r="O731" s="9">
        <v>95</v>
      </c>
      <c r="P731" s="9">
        <v>50</v>
      </c>
      <c r="Q731" s="23">
        <v>50</v>
      </c>
      <c r="R731" s="22"/>
      <c r="S731" s="8">
        <v>639</v>
      </c>
      <c r="U731">
        <v>0</v>
      </c>
      <c r="V731">
        <v>0</v>
      </c>
      <c r="W731" s="14">
        <f t="shared" si="80"/>
        <v>95</v>
      </c>
      <c r="X731" s="14">
        <f t="shared" si="81"/>
        <v>88</v>
      </c>
      <c r="Y731" s="14">
        <f t="shared" si="82"/>
        <v>100</v>
      </c>
      <c r="Z731" s="14">
        <f t="shared" si="83"/>
        <v>76</v>
      </c>
      <c r="AA731" s="14">
        <f t="shared" si="84"/>
        <v>85</v>
      </c>
      <c r="AB731" s="14">
        <f t="shared" si="85"/>
        <v>95</v>
      </c>
      <c r="AC731" s="14">
        <f t="shared" si="86"/>
        <v>50</v>
      </c>
      <c r="AD731" s="14">
        <f t="shared" si="87"/>
        <v>50</v>
      </c>
    </row>
    <row r="732" spans="5:30">
      <c r="E732" s="6"/>
      <c r="F732" s="8" t="s">
        <v>52</v>
      </c>
      <c r="G732" s="9">
        <v>100</v>
      </c>
      <c r="H732" s="23">
        <v>100</v>
      </c>
      <c r="I732" s="24"/>
      <c r="J732" s="22"/>
      <c r="K732" s="23">
        <v>100</v>
      </c>
      <c r="L732" s="22"/>
      <c r="M732" s="9">
        <v>100</v>
      </c>
      <c r="N732" s="9">
        <v>100</v>
      </c>
      <c r="O732" s="9">
        <v>100</v>
      </c>
      <c r="P732" s="9">
        <v>50</v>
      </c>
      <c r="Q732" s="23">
        <v>50</v>
      </c>
      <c r="R732" s="22"/>
      <c r="S732" s="8">
        <v>700</v>
      </c>
      <c r="U732" t="s">
        <v>31</v>
      </c>
      <c r="V732" t="s">
        <v>33</v>
      </c>
      <c r="W732" s="14">
        <f t="shared" si="80"/>
        <v>100</v>
      </c>
      <c r="X732" s="14">
        <f t="shared" si="81"/>
        <v>100</v>
      </c>
      <c r="Y732" s="14">
        <f t="shared" si="82"/>
        <v>100</v>
      </c>
      <c r="Z732" s="14">
        <f t="shared" si="83"/>
        <v>100</v>
      </c>
      <c r="AA732" s="14">
        <f t="shared" si="84"/>
        <v>100</v>
      </c>
      <c r="AB732" s="14">
        <f t="shared" si="85"/>
        <v>100</v>
      </c>
      <c r="AC732" s="14">
        <f t="shared" si="86"/>
        <v>50</v>
      </c>
      <c r="AD732" s="14" t="str">
        <f t="shared" si="87"/>
        <v>OO+</v>
      </c>
    </row>
    <row r="733" spans="5:30">
      <c r="E733" s="4"/>
      <c r="F733" s="8" t="s">
        <v>54</v>
      </c>
      <c r="G733" s="9" t="s">
        <v>93</v>
      </c>
      <c r="H733" s="23" t="s">
        <v>122</v>
      </c>
      <c r="I733" s="24"/>
      <c r="J733" s="22"/>
      <c r="K733" s="23" t="s">
        <v>93</v>
      </c>
      <c r="L733" s="22"/>
      <c r="M733" s="9" t="s">
        <v>135</v>
      </c>
      <c r="N733" s="9" t="s">
        <v>122</v>
      </c>
      <c r="O733" s="9" t="s">
        <v>93</v>
      </c>
      <c r="P733" s="9" t="s">
        <v>93</v>
      </c>
      <c r="Q733" s="23" t="s">
        <v>93</v>
      </c>
      <c r="R733" s="22"/>
      <c r="S733" s="8" t="s">
        <v>33</v>
      </c>
      <c r="U733" t="s">
        <v>507</v>
      </c>
      <c r="V733" t="s">
        <v>36</v>
      </c>
      <c r="W733" s="14" t="str">
        <f t="shared" si="80"/>
        <v>OO+</v>
      </c>
      <c r="X733" s="14" t="str">
        <f t="shared" si="81"/>
        <v>OA+</v>
      </c>
      <c r="Y733" s="14" t="str">
        <f t="shared" si="82"/>
        <v>OO+</v>
      </c>
      <c r="Z733" s="14" t="str">
        <f t="shared" si="83"/>
        <v>AA+</v>
      </c>
      <c r="AA733" s="14" t="str">
        <f t="shared" si="84"/>
        <v>OA+</v>
      </c>
      <c r="AB733" s="14" t="str">
        <f t="shared" si="85"/>
        <v>OO+</v>
      </c>
      <c r="AC733" s="14" t="str">
        <f t="shared" si="86"/>
        <v>OO+</v>
      </c>
      <c r="AD733" s="14" t="str">
        <f t="shared" si="87"/>
        <v>Pass</v>
      </c>
    </row>
    <row r="734" spans="5:30">
      <c r="E734" s="11" t="s">
        <v>506</v>
      </c>
      <c r="F734" s="8" t="s">
        <v>58</v>
      </c>
      <c r="G734" s="9" t="s">
        <v>59</v>
      </c>
      <c r="H734" s="23" t="s">
        <v>59</v>
      </c>
      <c r="I734" s="24"/>
      <c r="J734" s="22"/>
      <c r="K734" s="23" t="s">
        <v>59</v>
      </c>
      <c r="L734" s="22"/>
      <c r="M734" s="9" t="s">
        <v>59</v>
      </c>
      <c r="N734" s="9" t="s">
        <v>59</v>
      </c>
      <c r="O734" s="9" t="s">
        <v>59</v>
      </c>
      <c r="P734" s="9" t="s">
        <v>59</v>
      </c>
      <c r="Q734" s="23" t="s">
        <v>59</v>
      </c>
      <c r="R734" s="22"/>
      <c r="S734" s="8" t="s">
        <v>33</v>
      </c>
      <c r="U734" t="s">
        <v>37</v>
      </c>
      <c r="V734" t="s">
        <v>33</v>
      </c>
      <c r="W734" s="14" t="str">
        <f t="shared" si="80"/>
        <v>Pass</v>
      </c>
      <c r="X734" s="14" t="str">
        <f t="shared" si="81"/>
        <v>Pass</v>
      </c>
      <c r="Y734" s="14" t="str">
        <f t="shared" si="82"/>
        <v>Pass</v>
      </c>
      <c r="Z734" s="14" t="str">
        <f t="shared" si="83"/>
        <v>Pass</v>
      </c>
      <c r="AA734" s="14" t="str">
        <f t="shared" si="84"/>
        <v>Pass</v>
      </c>
      <c r="AB734" s="14" t="str">
        <f t="shared" si="85"/>
        <v>Pass</v>
      </c>
      <c r="AC734" s="14" t="str">
        <f t="shared" si="86"/>
        <v>Pass</v>
      </c>
      <c r="AD734" s="14" t="str">
        <f t="shared" si="87"/>
        <v/>
      </c>
    </row>
    <row r="735" spans="5:30">
      <c r="E735" s="12" t="s">
        <v>33</v>
      </c>
      <c r="F735" s="12" t="s">
        <v>33</v>
      </c>
      <c r="G735" s="13" t="s">
        <v>33</v>
      </c>
      <c r="H735" s="20" t="s">
        <v>33</v>
      </c>
      <c r="I735" s="18"/>
      <c r="J735" s="18"/>
      <c r="K735" s="20" t="s">
        <v>33</v>
      </c>
      <c r="L735" s="18"/>
      <c r="M735" s="13" t="s">
        <v>33</v>
      </c>
      <c r="N735" s="13" t="s">
        <v>33</v>
      </c>
      <c r="O735" s="13" t="s">
        <v>33</v>
      </c>
      <c r="P735" s="13" t="s">
        <v>33</v>
      </c>
      <c r="Q735" s="20" t="s">
        <v>33</v>
      </c>
      <c r="R735" s="18"/>
      <c r="S735" s="13" t="s">
        <v>33</v>
      </c>
      <c r="U735" t="s">
        <v>515</v>
      </c>
      <c r="V735" t="s">
        <v>33</v>
      </c>
      <c r="W735" s="14" t="str">
        <f t="shared" si="80"/>
        <v/>
      </c>
      <c r="X735" s="14" t="str">
        <f t="shared" si="81"/>
        <v/>
      </c>
      <c r="Y735" s="14" t="str">
        <f t="shared" si="82"/>
        <v/>
      </c>
      <c r="Z735" s="14" t="str">
        <f t="shared" si="83"/>
        <v/>
      </c>
      <c r="AA735" s="14" t="str">
        <f t="shared" si="84"/>
        <v/>
      </c>
      <c r="AB735" s="14" t="str">
        <f t="shared" si="85"/>
        <v/>
      </c>
      <c r="AC735" s="14" t="str">
        <f t="shared" si="86"/>
        <v/>
      </c>
      <c r="AD735" s="14">
        <f t="shared" si="87"/>
        <v>0</v>
      </c>
    </row>
    <row r="736" spans="5:30" ht="0" hidden="1" customHeight="1">
      <c r="U736">
        <v>0</v>
      </c>
      <c r="V736">
        <v>0</v>
      </c>
      <c r="W736" s="14">
        <f t="shared" si="80"/>
        <v>0</v>
      </c>
      <c r="X736" s="14">
        <f t="shared" si="81"/>
        <v>0</v>
      </c>
      <c r="Y736" s="14">
        <f t="shared" si="82"/>
        <v>0</v>
      </c>
      <c r="Z736" s="14">
        <f t="shared" si="83"/>
        <v>0</v>
      </c>
      <c r="AA736" s="14">
        <f t="shared" si="84"/>
        <v>0</v>
      </c>
      <c r="AB736" s="14">
        <f t="shared" si="85"/>
        <v>0</v>
      </c>
      <c r="AC736" s="14">
        <f t="shared" si="86"/>
        <v>0</v>
      </c>
      <c r="AD736" s="14">
        <f t="shared" si="87"/>
        <v>0</v>
      </c>
    </row>
    <row r="737" spans="5:30" ht="0.6" customHeight="1">
      <c r="U737">
        <v>0</v>
      </c>
      <c r="V737">
        <v>25</v>
      </c>
      <c r="W737" s="14">
        <f t="shared" si="80"/>
        <v>0</v>
      </c>
      <c r="X737" s="14">
        <f t="shared" si="81"/>
        <v>0</v>
      </c>
      <c r="Y737" s="14">
        <f t="shared" si="82"/>
        <v>0</v>
      </c>
      <c r="Z737" s="14">
        <f t="shared" si="83"/>
        <v>0</v>
      </c>
      <c r="AA737" s="14">
        <f t="shared" si="84"/>
        <v>0</v>
      </c>
      <c r="AB737" s="14">
        <f t="shared" si="85"/>
        <v>0</v>
      </c>
      <c r="AC737" s="14">
        <f t="shared" si="86"/>
        <v>0</v>
      </c>
      <c r="AD737" s="14" t="str">
        <f t="shared" si="87"/>
        <v/>
      </c>
    </row>
    <row r="738" spans="5:30">
      <c r="E738" s="4"/>
      <c r="F738" s="3" t="s">
        <v>32</v>
      </c>
      <c r="G738" s="5" t="s">
        <v>33</v>
      </c>
      <c r="H738" s="32" t="s">
        <v>33</v>
      </c>
      <c r="I738" s="18"/>
      <c r="J738" s="18"/>
      <c r="K738" s="32" t="s">
        <v>33</v>
      </c>
      <c r="L738" s="18"/>
      <c r="M738" s="5" t="s">
        <v>33</v>
      </c>
      <c r="N738" s="5" t="s">
        <v>33</v>
      </c>
      <c r="O738" s="5" t="s">
        <v>33</v>
      </c>
      <c r="P738" s="5" t="s">
        <v>33</v>
      </c>
      <c r="Q738" s="32" t="s">
        <v>33</v>
      </c>
      <c r="R738" s="18"/>
      <c r="S738" s="5" t="s">
        <v>33</v>
      </c>
      <c r="U738" t="s">
        <v>46</v>
      </c>
      <c r="V738" t="s">
        <v>33</v>
      </c>
      <c r="W738" s="14" t="str">
        <f t="shared" si="80"/>
        <v/>
      </c>
      <c r="X738" s="14" t="str">
        <f t="shared" si="81"/>
        <v/>
      </c>
      <c r="Y738" s="14" t="str">
        <f t="shared" si="82"/>
        <v/>
      </c>
      <c r="Z738" s="14" t="str">
        <f t="shared" si="83"/>
        <v/>
      </c>
      <c r="AA738" s="14" t="str">
        <f t="shared" si="84"/>
        <v/>
      </c>
      <c r="AB738" s="14" t="str">
        <f t="shared" si="85"/>
        <v/>
      </c>
      <c r="AC738" s="14" t="str">
        <f t="shared" si="86"/>
        <v/>
      </c>
      <c r="AD738" s="14" t="str">
        <f t="shared" si="87"/>
        <v>COMFISN301</v>
      </c>
    </row>
    <row r="739" spans="5:30" ht="21">
      <c r="E739" s="4"/>
      <c r="F739" s="7" t="s">
        <v>35</v>
      </c>
      <c r="G739" s="7" t="s">
        <v>5</v>
      </c>
      <c r="H739" s="30" t="s">
        <v>7</v>
      </c>
      <c r="I739" s="24"/>
      <c r="J739" s="22"/>
      <c r="K739" s="30" t="s">
        <v>9</v>
      </c>
      <c r="L739" s="22"/>
      <c r="M739" s="7" t="s">
        <v>11</v>
      </c>
      <c r="N739" s="7" t="s">
        <v>15</v>
      </c>
      <c r="O739" s="7" t="s">
        <v>17</v>
      </c>
      <c r="P739" s="7" t="s">
        <v>19</v>
      </c>
      <c r="Q739" s="30" t="s">
        <v>21</v>
      </c>
      <c r="R739" s="22"/>
      <c r="S739" s="7" t="s">
        <v>36</v>
      </c>
      <c r="U739" t="s">
        <v>48</v>
      </c>
      <c r="V739">
        <v>177.5</v>
      </c>
      <c r="W739" s="14" t="str">
        <f t="shared" si="80"/>
        <v>BBABMCN301</v>
      </c>
      <c r="X739" s="14" t="str">
        <f t="shared" si="81"/>
        <v>BBABMCN302</v>
      </c>
      <c r="Y739" s="14" t="str">
        <f t="shared" si="82"/>
        <v>BBABMCN303</v>
      </c>
      <c r="Z739" s="14" t="str">
        <f t="shared" si="83"/>
        <v>BBAENLN301</v>
      </c>
      <c r="AA739" s="14" t="str">
        <f t="shared" si="84"/>
        <v>BBAKALN302</v>
      </c>
      <c r="AB739" s="14" t="str">
        <f t="shared" si="85"/>
        <v>BCACAEN302</v>
      </c>
      <c r="AC739" s="14" t="str">
        <f t="shared" si="86"/>
        <v>COMCUSN302</v>
      </c>
      <c r="AD739" s="14" t="str">
        <f t="shared" si="87"/>
        <v>22.00 + 20.00</v>
      </c>
    </row>
    <row r="740" spans="5:30" ht="22.5">
      <c r="E740" s="6" t="s">
        <v>508</v>
      </c>
      <c r="F740" s="8" t="s">
        <v>39</v>
      </c>
      <c r="G740" s="9" t="s">
        <v>509</v>
      </c>
      <c r="H740" s="23" t="s">
        <v>510</v>
      </c>
      <c r="I740" s="24"/>
      <c r="J740" s="22"/>
      <c r="K740" s="23" t="s">
        <v>511</v>
      </c>
      <c r="L740" s="22"/>
      <c r="M740" s="9" t="s">
        <v>113</v>
      </c>
      <c r="N740" s="9" t="s">
        <v>512</v>
      </c>
      <c r="O740" s="9" t="s">
        <v>513</v>
      </c>
      <c r="P740" s="9" t="s">
        <v>43</v>
      </c>
      <c r="Q740" s="23" t="s">
        <v>514</v>
      </c>
      <c r="R740" s="22"/>
      <c r="S740" s="8" t="s">
        <v>33</v>
      </c>
      <c r="U740" t="s">
        <v>50</v>
      </c>
      <c r="V740">
        <v>473</v>
      </c>
      <c r="W740" s="14" t="str">
        <f t="shared" si="80"/>
        <v>39.00 + 24.00</v>
      </c>
      <c r="X740" s="14" t="str">
        <f t="shared" si="81"/>
        <v>47.00 + 31.00</v>
      </c>
      <c r="Y740" s="14" t="str">
        <f t="shared" si="82"/>
        <v>40.00 + 32.00</v>
      </c>
      <c r="Z740" s="14" t="str">
        <f t="shared" si="83"/>
        <v>36.00 + 28.00</v>
      </c>
      <c r="AA740" s="14" t="str">
        <f t="shared" si="84"/>
        <v>30.00 + 31.00</v>
      </c>
      <c r="AB740" s="14" t="str">
        <f t="shared" si="85"/>
        <v>21.00 + 23.00</v>
      </c>
      <c r="AC740" s="14" t="str">
        <f t="shared" si="86"/>
        <v xml:space="preserve"> - - + - - </v>
      </c>
      <c r="AD740" s="14" t="str">
        <f t="shared" si="87"/>
        <v xml:space="preserve"> - - + - - </v>
      </c>
    </row>
    <row r="741" spans="5:30">
      <c r="E741" s="25"/>
      <c r="F741" s="8" t="s">
        <v>42</v>
      </c>
      <c r="G741" s="9" t="s">
        <v>43</v>
      </c>
      <c r="H741" s="23" t="s">
        <v>43</v>
      </c>
      <c r="I741" s="24"/>
      <c r="J741" s="22"/>
      <c r="K741" s="23" t="s">
        <v>43</v>
      </c>
      <c r="L741" s="22"/>
      <c r="M741" s="9" t="s">
        <v>43</v>
      </c>
      <c r="N741" s="9" t="s">
        <v>43</v>
      </c>
      <c r="O741" s="9" t="s">
        <v>43</v>
      </c>
      <c r="P741" s="9" t="s">
        <v>120</v>
      </c>
      <c r="Q741" s="23" t="s">
        <v>43</v>
      </c>
      <c r="R741" s="22"/>
      <c r="S741" s="8" t="s">
        <v>33</v>
      </c>
      <c r="U741" t="s">
        <v>51</v>
      </c>
      <c r="V741">
        <v>700</v>
      </c>
      <c r="W741" s="14" t="str">
        <f t="shared" si="80"/>
        <v xml:space="preserve"> - - + - - </v>
      </c>
      <c r="X741" s="14" t="str">
        <f t="shared" si="81"/>
        <v xml:space="preserve"> - - + - - </v>
      </c>
      <c r="Y741" s="14" t="str">
        <f t="shared" si="82"/>
        <v xml:space="preserve"> - - + - - </v>
      </c>
      <c r="Z741" s="14" t="str">
        <f t="shared" si="83"/>
        <v xml:space="preserve"> - - + - - </v>
      </c>
      <c r="AA741" s="14" t="str">
        <f t="shared" si="84"/>
        <v xml:space="preserve"> - - + - - </v>
      </c>
      <c r="AB741" s="14" t="str">
        <f t="shared" si="85"/>
        <v xml:space="preserve"> - - + - - </v>
      </c>
      <c r="AC741" s="14" t="str">
        <f t="shared" si="86"/>
        <v xml:space="preserve"> - - +49.00</v>
      </c>
      <c r="AD741" s="14" t="str">
        <f t="shared" si="87"/>
        <v/>
      </c>
    </row>
    <row r="742" spans="5:30">
      <c r="E742" s="27"/>
      <c r="F742" s="8" t="s">
        <v>44</v>
      </c>
      <c r="G742" s="9" t="s">
        <v>33</v>
      </c>
      <c r="H742" s="23" t="s">
        <v>33</v>
      </c>
      <c r="I742" s="24"/>
      <c r="J742" s="22"/>
      <c r="K742" s="23" t="s">
        <v>33</v>
      </c>
      <c r="L742" s="22"/>
      <c r="M742" s="9" t="s">
        <v>33</v>
      </c>
      <c r="N742" s="9" t="s">
        <v>33</v>
      </c>
      <c r="O742" s="9" t="s">
        <v>33</v>
      </c>
      <c r="P742" s="9" t="s">
        <v>33</v>
      </c>
      <c r="Q742" s="23" t="s">
        <v>33</v>
      </c>
      <c r="R742" s="22"/>
      <c r="S742" s="8">
        <v>0</v>
      </c>
      <c r="U742" t="s">
        <v>361</v>
      </c>
      <c r="V742" t="s">
        <v>33</v>
      </c>
      <c r="W742" s="14" t="str">
        <f t="shared" si="80"/>
        <v/>
      </c>
      <c r="X742" s="14" t="str">
        <f t="shared" si="81"/>
        <v/>
      </c>
      <c r="Y742" s="14" t="str">
        <f t="shared" si="82"/>
        <v/>
      </c>
      <c r="Z742" s="14" t="str">
        <f t="shared" si="83"/>
        <v/>
      </c>
      <c r="AA742" s="14" t="str">
        <f t="shared" si="84"/>
        <v/>
      </c>
      <c r="AB742" s="14" t="str">
        <f t="shared" si="85"/>
        <v/>
      </c>
      <c r="AC742" s="14" t="str">
        <f t="shared" si="86"/>
        <v/>
      </c>
      <c r="AD742" s="14">
        <f t="shared" si="87"/>
        <v>2</v>
      </c>
    </row>
    <row r="743" spans="5:30">
      <c r="E743" s="29"/>
      <c r="F743" s="8" t="s">
        <v>45</v>
      </c>
      <c r="G743" s="9">
        <v>4</v>
      </c>
      <c r="H743" s="23">
        <v>4</v>
      </c>
      <c r="I743" s="24"/>
      <c r="J743" s="22"/>
      <c r="K743" s="23">
        <v>4</v>
      </c>
      <c r="L743" s="22"/>
      <c r="M743" s="9">
        <v>3</v>
      </c>
      <c r="N743" s="9">
        <v>3</v>
      </c>
      <c r="O743" s="9">
        <v>3</v>
      </c>
      <c r="P743" s="9">
        <v>2</v>
      </c>
      <c r="Q743" s="23">
        <v>2</v>
      </c>
      <c r="R743" s="22"/>
      <c r="S743" s="8">
        <v>25</v>
      </c>
      <c r="U743" t="s">
        <v>56</v>
      </c>
      <c r="V743" t="s">
        <v>33</v>
      </c>
      <c r="W743" s="14">
        <f t="shared" si="80"/>
        <v>4</v>
      </c>
      <c r="X743" s="14">
        <f t="shared" si="81"/>
        <v>4</v>
      </c>
      <c r="Y743" s="14">
        <f t="shared" si="82"/>
        <v>4</v>
      </c>
      <c r="Z743" s="14">
        <f t="shared" si="83"/>
        <v>3</v>
      </c>
      <c r="AA743" s="14">
        <f t="shared" si="84"/>
        <v>3</v>
      </c>
      <c r="AB743" s="14">
        <f t="shared" si="85"/>
        <v>3</v>
      </c>
      <c r="AC743" s="14">
        <f t="shared" si="86"/>
        <v>2</v>
      </c>
      <c r="AD743" s="14">
        <f t="shared" si="87"/>
        <v>8.5</v>
      </c>
    </row>
    <row r="744" spans="5:30">
      <c r="E744" s="6">
        <v>7.1</v>
      </c>
      <c r="F744" s="8" t="s">
        <v>47</v>
      </c>
      <c r="G744" s="9">
        <v>6.5</v>
      </c>
      <c r="H744" s="23">
        <v>8</v>
      </c>
      <c r="I744" s="24"/>
      <c r="J744" s="22"/>
      <c r="K744" s="23">
        <v>7.5</v>
      </c>
      <c r="L744" s="22"/>
      <c r="M744" s="9">
        <v>6.5</v>
      </c>
      <c r="N744" s="9">
        <v>6.5</v>
      </c>
      <c r="O744" s="9">
        <v>4.5</v>
      </c>
      <c r="P744" s="9">
        <v>10</v>
      </c>
      <c r="Q744" s="23">
        <v>8.5</v>
      </c>
      <c r="R744" s="22"/>
      <c r="S744" s="8" t="s">
        <v>33</v>
      </c>
      <c r="U744" t="s">
        <v>33</v>
      </c>
      <c r="V744" t="s">
        <v>33</v>
      </c>
      <c r="W744" s="14">
        <f t="shared" si="80"/>
        <v>6.5</v>
      </c>
      <c r="X744" s="14">
        <f t="shared" si="81"/>
        <v>8</v>
      </c>
      <c r="Y744" s="14">
        <f t="shared" si="82"/>
        <v>7.5</v>
      </c>
      <c r="Z744" s="14">
        <f t="shared" si="83"/>
        <v>6.5</v>
      </c>
      <c r="AA744" s="14">
        <f t="shared" si="84"/>
        <v>6.5</v>
      </c>
      <c r="AB744" s="14">
        <f t="shared" si="85"/>
        <v>4.5</v>
      </c>
      <c r="AC744" s="14">
        <f t="shared" si="86"/>
        <v>10</v>
      </c>
      <c r="AD744" s="14">
        <f t="shared" si="87"/>
        <v>17</v>
      </c>
    </row>
    <row r="745" spans="5:30">
      <c r="E745" s="10">
        <v>6.71</v>
      </c>
      <c r="F745" s="8" t="s">
        <v>49</v>
      </c>
      <c r="G745" s="9">
        <v>26</v>
      </c>
      <c r="H745" s="23">
        <v>32</v>
      </c>
      <c r="I745" s="24"/>
      <c r="J745" s="22"/>
      <c r="K745" s="23">
        <v>30</v>
      </c>
      <c r="L745" s="22"/>
      <c r="M745" s="9">
        <v>19.5</v>
      </c>
      <c r="N745" s="9">
        <v>19.5</v>
      </c>
      <c r="O745" s="9">
        <v>13.5</v>
      </c>
      <c r="P745" s="9">
        <v>20</v>
      </c>
      <c r="Q745" s="23">
        <v>17</v>
      </c>
      <c r="R745" s="22"/>
      <c r="S745" s="8">
        <v>177.5</v>
      </c>
      <c r="U745">
        <v>0</v>
      </c>
      <c r="V745">
        <v>0</v>
      </c>
      <c r="W745" s="14">
        <f t="shared" si="80"/>
        <v>26</v>
      </c>
      <c r="X745" s="14">
        <f t="shared" si="81"/>
        <v>32</v>
      </c>
      <c r="Y745" s="14">
        <f t="shared" si="82"/>
        <v>30</v>
      </c>
      <c r="Z745" s="14">
        <f t="shared" si="83"/>
        <v>19.5</v>
      </c>
      <c r="AA745" s="14">
        <f t="shared" si="84"/>
        <v>19.5</v>
      </c>
      <c r="AB745" s="14">
        <f t="shared" si="85"/>
        <v>13.5</v>
      </c>
      <c r="AC745" s="14">
        <f t="shared" si="86"/>
        <v>20</v>
      </c>
      <c r="AD745" s="14">
        <f t="shared" si="87"/>
        <v>42</v>
      </c>
    </row>
    <row r="746" spans="5:30">
      <c r="E746" s="4"/>
      <c r="F746" s="8" t="s">
        <v>36</v>
      </c>
      <c r="G746" s="9">
        <v>63</v>
      </c>
      <c r="H746" s="23">
        <v>78</v>
      </c>
      <c r="I746" s="24"/>
      <c r="J746" s="22"/>
      <c r="K746" s="23">
        <v>72</v>
      </c>
      <c r="L746" s="22"/>
      <c r="M746" s="9">
        <v>64</v>
      </c>
      <c r="N746" s="9">
        <v>61</v>
      </c>
      <c r="O746" s="9">
        <v>44</v>
      </c>
      <c r="P746" s="9">
        <v>49</v>
      </c>
      <c r="Q746" s="23">
        <v>42</v>
      </c>
      <c r="R746" s="22"/>
      <c r="S746" s="8">
        <v>473</v>
      </c>
      <c r="U746">
        <v>0</v>
      </c>
      <c r="V746">
        <v>0</v>
      </c>
      <c r="W746" s="14">
        <f t="shared" si="80"/>
        <v>63</v>
      </c>
      <c r="X746" s="14">
        <f t="shared" si="81"/>
        <v>78</v>
      </c>
      <c r="Y746" s="14">
        <f t="shared" si="82"/>
        <v>72</v>
      </c>
      <c r="Z746" s="14">
        <f t="shared" si="83"/>
        <v>64</v>
      </c>
      <c r="AA746" s="14">
        <f t="shared" si="84"/>
        <v>61</v>
      </c>
      <c r="AB746" s="14">
        <f t="shared" si="85"/>
        <v>44</v>
      </c>
      <c r="AC746" s="14">
        <f t="shared" si="86"/>
        <v>49</v>
      </c>
      <c r="AD746" s="14">
        <f t="shared" si="87"/>
        <v>50</v>
      </c>
    </row>
    <row r="747" spans="5:30">
      <c r="E747" s="6"/>
      <c r="F747" s="8" t="s">
        <v>52</v>
      </c>
      <c r="G747" s="9">
        <v>100</v>
      </c>
      <c r="H747" s="23">
        <v>100</v>
      </c>
      <c r="I747" s="24"/>
      <c r="J747" s="22"/>
      <c r="K747" s="23">
        <v>100</v>
      </c>
      <c r="L747" s="22"/>
      <c r="M747" s="9">
        <v>100</v>
      </c>
      <c r="N747" s="9">
        <v>100</v>
      </c>
      <c r="O747" s="9">
        <v>100</v>
      </c>
      <c r="P747" s="9">
        <v>50</v>
      </c>
      <c r="Q747" s="23">
        <v>50</v>
      </c>
      <c r="R747" s="22"/>
      <c r="S747" s="8">
        <v>700</v>
      </c>
      <c r="U747" t="s">
        <v>31</v>
      </c>
      <c r="V747" t="s">
        <v>33</v>
      </c>
      <c r="W747" s="14">
        <f t="shared" si="80"/>
        <v>100</v>
      </c>
      <c r="X747" s="14">
        <f t="shared" si="81"/>
        <v>100</v>
      </c>
      <c r="Y747" s="14">
        <f t="shared" si="82"/>
        <v>100</v>
      </c>
      <c r="Z747" s="14">
        <f t="shared" si="83"/>
        <v>100</v>
      </c>
      <c r="AA747" s="14">
        <f t="shared" si="84"/>
        <v>100</v>
      </c>
      <c r="AB747" s="14">
        <f t="shared" si="85"/>
        <v>100</v>
      </c>
      <c r="AC747" s="14">
        <f t="shared" si="86"/>
        <v>50</v>
      </c>
      <c r="AD747" s="14" t="str">
        <f t="shared" si="87"/>
        <v>OA</v>
      </c>
    </row>
    <row r="748" spans="5:30">
      <c r="E748" s="4"/>
      <c r="F748" s="8" t="s">
        <v>54</v>
      </c>
      <c r="G748" s="9" t="s">
        <v>76</v>
      </c>
      <c r="H748" s="23" t="s">
        <v>135</v>
      </c>
      <c r="I748" s="24"/>
      <c r="J748" s="22"/>
      <c r="K748" s="23" t="s">
        <v>108</v>
      </c>
      <c r="L748" s="22"/>
      <c r="M748" s="9" t="s">
        <v>76</v>
      </c>
      <c r="N748" s="9" t="s">
        <v>76</v>
      </c>
      <c r="O748" s="9" t="s">
        <v>75</v>
      </c>
      <c r="P748" s="9" t="s">
        <v>93</v>
      </c>
      <c r="Q748" s="23" t="s">
        <v>95</v>
      </c>
      <c r="R748" s="22"/>
      <c r="S748" s="8" t="s">
        <v>33</v>
      </c>
      <c r="U748" t="s">
        <v>517</v>
      </c>
      <c r="V748" t="s">
        <v>36</v>
      </c>
      <c r="W748" s="14" t="str">
        <f t="shared" si="80"/>
        <v>AB</v>
      </c>
      <c r="X748" s="14" t="str">
        <f t="shared" si="81"/>
        <v>AA+</v>
      </c>
      <c r="Y748" s="14" t="str">
        <f t="shared" si="82"/>
        <v>AA</v>
      </c>
      <c r="Z748" s="14" t="str">
        <f t="shared" si="83"/>
        <v>AB</v>
      </c>
      <c r="AA748" s="14" t="str">
        <f t="shared" si="84"/>
        <v>AB</v>
      </c>
      <c r="AB748" s="14" t="str">
        <f t="shared" si="85"/>
        <v>PP</v>
      </c>
      <c r="AC748" s="14" t="str">
        <f t="shared" si="86"/>
        <v>OO+</v>
      </c>
      <c r="AD748" s="14" t="str">
        <f t="shared" si="87"/>
        <v>Pass</v>
      </c>
    </row>
    <row r="749" spans="5:30">
      <c r="E749" s="11" t="s">
        <v>516</v>
      </c>
      <c r="F749" s="8" t="s">
        <v>58</v>
      </c>
      <c r="G749" s="9" t="s">
        <v>59</v>
      </c>
      <c r="H749" s="23" t="s">
        <v>59</v>
      </c>
      <c r="I749" s="24"/>
      <c r="J749" s="22"/>
      <c r="K749" s="23" t="s">
        <v>59</v>
      </c>
      <c r="L749" s="22"/>
      <c r="M749" s="9" t="s">
        <v>59</v>
      </c>
      <c r="N749" s="9" t="s">
        <v>59</v>
      </c>
      <c r="O749" s="9" t="s">
        <v>59</v>
      </c>
      <c r="P749" s="9" t="s">
        <v>59</v>
      </c>
      <c r="Q749" s="23" t="s">
        <v>59</v>
      </c>
      <c r="R749" s="22"/>
      <c r="S749" s="8" t="s">
        <v>33</v>
      </c>
      <c r="U749" t="s">
        <v>37</v>
      </c>
      <c r="V749" t="s">
        <v>33</v>
      </c>
      <c r="W749" s="14" t="str">
        <f t="shared" si="80"/>
        <v>Pass</v>
      </c>
      <c r="X749" s="14" t="str">
        <f t="shared" si="81"/>
        <v>Pass</v>
      </c>
      <c r="Y749" s="14" t="str">
        <f t="shared" si="82"/>
        <v>Pass</v>
      </c>
      <c r="Z749" s="14" t="str">
        <f t="shared" si="83"/>
        <v>Pass</v>
      </c>
      <c r="AA749" s="14" t="str">
        <f t="shared" si="84"/>
        <v>Pass</v>
      </c>
      <c r="AB749" s="14" t="str">
        <f t="shared" si="85"/>
        <v>Pass</v>
      </c>
      <c r="AC749" s="14" t="str">
        <f t="shared" si="86"/>
        <v>Pass</v>
      </c>
      <c r="AD749" s="14" t="str">
        <f t="shared" si="87"/>
        <v/>
      </c>
    </row>
    <row r="750" spans="5:30">
      <c r="E750" s="12" t="s">
        <v>33</v>
      </c>
      <c r="F750" s="12" t="s">
        <v>33</v>
      </c>
      <c r="G750" s="13" t="s">
        <v>33</v>
      </c>
      <c r="H750" s="20" t="s">
        <v>33</v>
      </c>
      <c r="I750" s="18"/>
      <c r="J750" s="18"/>
      <c r="K750" s="20" t="s">
        <v>33</v>
      </c>
      <c r="L750" s="18"/>
      <c r="M750" s="13" t="s">
        <v>33</v>
      </c>
      <c r="N750" s="13" t="s">
        <v>33</v>
      </c>
      <c r="O750" s="13" t="s">
        <v>33</v>
      </c>
      <c r="P750" s="13" t="s">
        <v>33</v>
      </c>
      <c r="Q750" s="20" t="s">
        <v>33</v>
      </c>
      <c r="R750" s="18"/>
      <c r="S750" s="13" t="s">
        <v>33</v>
      </c>
      <c r="U750" t="s">
        <v>523</v>
      </c>
      <c r="V750" t="s">
        <v>33</v>
      </c>
      <c r="W750" s="14" t="str">
        <f t="shared" si="80"/>
        <v/>
      </c>
      <c r="X750" s="14" t="str">
        <f t="shared" si="81"/>
        <v/>
      </c>
      <c r="Y750" s="14" t="str">
        <f t="shared" si="82"/>
        <v/>
      </c>
      <c r="Z750" s="14" t="str">
        <f t="shared" si="83"/>
        <v/>
      </c>
      <c r="AA750" s="14" t="str">
        <f t="shared" si="84"/>
        <v/>
      </c>
      <c r="AB750" s="14" t="str">
        <f t="shared" si="85"/>
        <v/>
      </c>
      <c r="AC750" s="14" t="str">
        <f t="shared" si="86"/>
        <v/>
      </c>
      <c r="AD750" s="14">
        <f t="shared" si="87"/>
        <v>0</v>
      </c>
    </row>
    <row r="751" spans="5:30" ht="0" hidden="1" customHeight="1">
      <c r="U751">
        <v>0</v>
      </c>
      <c r="V751">
        <v>0</v>
      </c>
      <c r="W751" s="14">
        <f t="shared" si="80"/>
        <v>0</v>
      </c>
      <c r="X751" s="14">
        <f t="shared" si="81"/>
        <v>0</v>
      </c>
      <c r="Y751" s="14">
        <f t="shared" si="82"/>
        <v>0</v>
      </c>
      <c r="Z751" s="14">
        <f t="shared" si="83"/>
        <v>0</v>
      </c>
      <c r="AA751" s="14">
        <f t="shared" si="84"/>
        <v>0</v>
      </c>
      <c r="AB751" s="14">
        <f t="shared" si="85"/>
        <v>0</v>
      </c>
      <c r="AC751" s="14">
        <f t="shared" si="86"/>
        <v>0</v>
      </c>
      <c r="AD751" s="14">
        <f t="shared" si="87"/>
        <v>0</v>
      </c>
    </row>
    <row r="752" spans="5:30" ht="0.6" customHeight="1">
      <c r="U752">
        <v>0</v>
      </c>
      <c r="V752">
        <v>22</v>
      </c>
      <c r="W752" s="14">
        <f t="shared" si="80"/>
        <v>0</v>
      </c>
      <c r="X752" s="14">
        <f t="shared" si="81"/>
        <v>0</v>
      </c>
      <c r="Y752" s="14">
        <f t="shared" si="82"/>
        <v>0</v>
      </c>
      <c r="Z752" s="14">
        <f t="shared" si="83"/>
        <v>0</v>
      </c>
      <c r="AA752" s="14">
        <f t="shared" si="84"/>
        <v>0</v>
      </c>
      <c r="AB752" s="14">
        <f t="shared" si="85"/>
        <v>0</v>
      </c>
      <c r="AC752" s="14">
        <f t="shared" si="86"/>
        <v>0</v>
      </c>
      <c r="AD752" s="14" t="str">
        <f t="shared" si="87"/>
        <v/>
      </c>
    </row>
    <row r="753" spans="5:30">
      <c r="E753" s="4"/>
      <c r="F753" s="3" t="s">
        <v>32</v>
      </c>
      <c r="G753" s="5" t="s">
        <v>33</v>
      </c>
      <c r="H753" s="32" t="s">
        <v>33</v>
      </c>
      <c r="I753" s="18"/>
      <c r="J753" s="18"/>
      <c r="K753" s="32" t="s">
        <v>33</v>
      </c>
      <c r="L753" s="18"/>
      <c r="M753" s="5" t="s">
        <v>33</v>
      </c>
      <c r="N753" s="5" t="s">
        <v>33</v>
      </c>
      <c r="O753" s="5" t="s">
        <v>33</v>
      </c>
      <c r="P753" s="5" t="s">
        <v>33</v>
      </c>
      <c r="Q753" s="32" t="s">
        <v>33</v>
      </c>
      <c r="R753" s="18"/>
      <c r="S753" s="5" t="s">
        <v>33</v>
      </c>
      <c r="U753" t="s">
        <v>46</v>
      </c>
      <c r="V753" t="s">
        <v>33</v>
      </c>
      <c r="W753" s="14" t="str">
        <f t="shared" si="80"/>
        <v/>
      </c>
      <c r="X753" s="14" t="str">
        <f t="shared" si="81"/>
        <v/>
      </c>
      <c r="Y753" s="14" t="str">
        <f t="shared" si="82"/>
        <v/>
      </c>
      <c r="Z753" s="14" t="str">
        <f t="shared" si="83"/>
        <v/>
      </c>
      <c r="AA753" s="14" t="str">
        <f t="shared" si="84"/>
        <v/>
      </c>
      <c r="AB753" s="14" t="str">
        <f t="shared" si="85"/>
        <v/>
      </c>
      <c r="AC753" s="14" t="str">
        <f t="shared" si="86"/>
        <v/>
      </c>
      <c r="AD753" s="14" t="str">
        <f t="shared" si="87"/>
        <v>COMNCSN302</v>
      </c>
    </row>
    <row r="754" spans="5:30" ht="21">
      <c r="E754" s="4"/>
      <c r="F754" s="7" t="s">
        <v>35</v>
      </c>
      <c r="G754" s="7" t="s">
        <v>5</v>
      </c>
      <c r="H754" s="30" t="s">
        <v>7</v>
      </c>
      <c r="I754" s="24"/>
      <c r="J754" s="22"/>
      <c r="K754" s="30" t="s">
        <v>9</v>
      </c>
      <c r="L754" s="22"/>
      <c r="M754" s="7" t="s">
        <v>11</v>
      </c>
      <c r="N754" s="7" t="s">
        <v>15</v>
      </c>
      <c r="O754" s="7" t="s">
        <v>17</v>
      </c>
      <c r="P754" s="7" t="s">
        <v>21</v>
      </c>
      <c r="Q754" s="30" t="s">
        <v>23</v>
      </c>
      <c r="R754" s="22"/>
      <c r="S754" s="7" t="s">
        <v>36</v>
      </c>
      <c r="U754" t="s">
        <v>48</v>
      </c>
      <c r="V754">
        <v>152.5</v>
      </c>
      <c r="W754" s="14" t="str">
        <f t="shared" si="80"/>
        <v>BBABMCN301</v>
      </c>
      <c r="X754" s="14" t="str">
        <f t="shared" si="81"/>
        <v>BBABMCN302</v>
      </c>
      <c r="Y754" s="14" t="str">
        <f t="shared" si="82"/>
        <v>BBABMCN303</v>
      </c>
      <c r="Z754" s="14" t="str">
        <f t="shared" si="83"/>
        <v>BBAENLN301</v>
      </c>
      <c r="AA754" s="14" t="str">
        <f t="shared" si="84"/>
        <v>BBAKALN302</v>
      </c>
      <c r="AB754" s="14" t="str">
        <f t="shared" si="85"/>
        <v>BCACAEN302</v>
      </c>
      <c r="AC754" s="14" t="str">
        <f t="shared" si="86"/>
        <v>COMFISN301</v>
      </c>
      <c r="AD754" s="14" t="str">
        <f t="shared" si="87"/>
        <v xml:space="preserve"> - - + - - </v>
      </c>
    </row>
    <row r="755" spans="5:30" ht="22.5">
      <c r="E755" s="6" t="s">
        <v>518</v>
      </c>
      <c r="F755" s="8" t="s">
        <v>39</v>
      </c>
      <c r="G755" s="9" t="s">
        <v>99</v>
      </c>
      <c r="H755" s="23" t="s">
        <v>320</v>
      </c>
      <c r="I755" s="24"/>
      <c r="J755" s="22"/>
      <c r="K755" s="23" t="s">
        <v>519</v>
      </c>
      <c r="L755" s="22"/>
      <c r="M755" s="9" t="s">
        <v>520</v>
      </c>
      <c r="N755" s="9" t="s">
        <v>490</v>
      </c>
      <c r="O755" s="9" t="s">
        <v>521</v>
      </c>
      <c r="P755" s="9" t="s">
        <v>522</v>
      </c>
      <c r="Q755" s="23" t="s">
        <v>43</v>
      </c>
      <c r="R755" s="22"/>
      <c r="S755" s="8" t="s">
        <v>33</v>
      </c>
      <c r="U755" t="s">
        <v>65</v>
      </c>
      <c r="V755">
        <v>427</v>
      </c>
      <c r="W755" s="14" t="str">
        <f t="shared" si="80"/>
        <v>24.00 + 23.00</v>
      </c>
      <c r="X755" s="14" t="str">
        <f t="shared" si="81"/>
        <v>33.00 + 29.00</v>
      </c>
      <c r="Y755" s="14" t="str">
        <f t="shared" si="82"/>
        <v>46.00 + 33.00</v>
      </c>
      <c r="Z755" s="14" t="str">
        <f t="shared" si="83"/>
        <v>39.00 + 23.00</v>
      </c>
      <c r="AA755" s="14" t="str">
        <f t="shared" si="84"/>
        <v>38.00 + 28.00</v>
      </c>
      <c r="AB755" s="14" t="str">
        <f t="shared" si="85"/>
        <v>7.00 + 20.00</v>
      </c>
      <c r="AC755" s="14" t="str">
        <f t="shared" si="86"/>
        <v>28.00 + 14.00</v>
      </c>
      <c r="AD755" s="14" t="str">
        <f t="shared" si="87"/>
        <v xml:space="preserve"> - - +42.00</v>
      </c>
    </row>
    <row r="756" spans="5:30">
      <c r="E756" s="25"/>
      <c r="F756" s="8" t="s">
        <v>42</v>
      </c>
      <c r="G756" s="9" t="s">
        <v>43</v>
      </c>
      <c r="H756" s="23" t="s">
        <v>43</v>
      </c>
      <c r="I756" s="24"/>
      <c r="J756" s="22"/>
      <c r="K756" s="23" t="s">
        <v>43</v>
      </c>
      <c r="L756" s="22"/>
      <c r="M756" s="9" t="s">
        <v>43</v>
      </c>
      <c r="N756" s="9" t="s">
        <v>43</v>
      </c>
      <c r="O756" s="9" t="s">
        <v>43</v>
      </c>
      <c r="P756" s="9" t="s">
        <v>43</v>
      </c>
      <c r="Q756" s="23" t="s">
        <v>485</v>
      </c>
      <c r="R756" s="22"/>
      <c r="S756" s="8" t="s">
        <v>33</v>
      </c>
      <c r="U756" t="s">
        <v>51</v>
      </c>
      <c r="V756">
        <v>700</v>
      </c>
      <c r="W756" s="14" t="str">
        <f t="shared" si="80"/>
        <v xml:space="preserve"> - - + - - </v>
      </c>
      <c r="X756" s="14" t="str">
        <f t="shared" si="81"/>
        <v xml:space="preserve"> - - + - - </v>
      </c>
      <c r="Y756" s="14" t="str">
        <f t="shared" si="82"/>
        <v xml:space="preserve"> - - + - - </v>
      </c>
      <c r="Z756" s="14" t="str">
        <f t="shared" si="83"/>
        <v xml:space="preserve"> - - + - - </v>
      </c>
      <c r="AA756" s="14" t="str">
        <f t="shared" si="84"/>
        <v xml:space="preserve"> - - + - - </v>
      </c>
      <c r="AB756" s="14" t="str">
        <f t="shared" si="85"/>
        <v xml:space="preserve"> - - + - - </v>
      </c>
      <c r="AC756" s="14" t="str">
        <f t="shared" si="86"/>
        <v xml:space="preserve"> - - + - - </v>
      </c>
      <c r="AD756" s="14" t="str">
        <f t="shared" si="87"/>
        <v/>
      </c>
    </row>
    <row r="757" spans="5:30">
      <c r="E757" s="27"/>
      <c r="F757" s="8" t="s">
        <v>44</v>
      </c>
      <c r="G757" s="9" t="s">
        <v>33</v>
      </c>
      <c r="H757" s="23" t="s">
        <v>33</v>
      </c>
      <c r="I757" s="24"/>
      <c r="J757" s="22"/>
      <c r="K757" s="23" t="s">
        <v>33</v>
      </c>
      <c r="L757" s="22"/>
      <c r="M757" s="9" t="s">
        <v>33</v>
      </c>
      <c r="N757" s="9" t="s">
        <v>33</v>
      </c>
      <c r="O757" s="9" t="s">
        <v>33</v>
      </c>
      <c r="P757" s="9" t="s">
        <v>33</v>
      </c>
      <c r="Q757" s="23" t="s">
        <v>33</v>
      </c>
      <c r="R757" s="22"/>
      <c r="S757" s="8">
        <v>0</v>
      </c>
      <c r="U757" t="s">
        <v>66</v>
      </c>
      <c r="V757" t="s">
        <v>33</v>
      </c>
      <c r="W757" s="14" t="str">
        <f t="shared" si="80"/>
        <v/>
      </c>
      <c r="X757" s="14" t="str">
        <f t="shared" si="81"/>
        <v/>
      </c>
      <c r="Y757" s="14" t="str">
        <f t="shared" si="82"/>
        <v/>
      </c>
      <c r="Z757" s="14" t="str">
        <f t="shared" si="83"/>
        <v/>
      </c>
      <c r="AA757" s="14" t="str">
        <f t="shared" si="84"/>
        <v/>
      </c>
      <c r="AB757" s="14" t="str">
        <f t="shared" si="85"/>
        <v/>
      </c>
      <c r="AC757" s="14" t="str">
        <f t="shared" si="86"/>
        <v/>
      </c>
      <c r="AD757" s="14">
        <f t="shared" si="87"/>
        <v>2</v>
      </c>
    </row>
    <row r="758" spans="5:30">
      <c r="E758" s="29"/>
      <c r="F758" s="8" t="s">
        <v>45</v>
      </c>
      <c r="G758" s="9">
        <v>4</v>
      </c>
      <c r="H758" s="23">
        <v>4</v>
      </c>
      <c r="I758" s="24"/>
      <c r="J758" s="22"/>
      <c r="K758" s="23">
        <v>4</v>
      </c>
      <c r="L758" s="22"/>
      <c r="M758" s="9">
        <v>3</v>
      </c>
      <c r="N758" s="9">
        <v>3</v>
      </c>
      <c r="O758" s="9">
        <v>3</v>
      </c>
      <c r="P758" s="9">
        <v>2</v>
      </c>
      <c r="Q758" s="23">
        <v>2</v>
      </c>
      <c r="R758" s="22"/>
      <c r="S758" s="8">
        <v>22</v>
      </c>
      <c r="U758" t="s">
        <v>56</v>
      </c>
      <c r="V758" t="s">
        <v>33</v>
      </c>
      <c r="W758" s="14">
        <f t="shared" si="80"/>
        <v>4</v>
      </c>
      <c r="X758" s="14">
        <f t="shared" si="81"/>
        <v>4</v>
      </c>
      <c r="Y758" s="14">
        <f t="shared" si="82"/>
        <v>4</v>
      </c>
      <c r="Z758" s="14">
        <f t="shared" si="83"/>
        <v>3</v>
      </c>
      <c r="AA758" s="14">
        <f t="shared" si="84"/>
        <v>3</v>
      </c>
      <c r="AB758" s="14">
        <f t="shared" si="85"/>
        <v>3</v>
      </c>
      <c r="AC758" s="14">
        <f t="shared" si="86"/>
        <v>2</v>
      </c>
      <c r="AD758" s="14">
        <f t="shared" si="87"/>
        <v>8.5</v>
      </c>
    </row>
    <row r="759" spans="5:30">
      <c r="E759" s="6"/>
      <c r="F759" s="8" t="s">
        <v>47</v>
      </c>
      <c r="G759" s="9">
        <v>5</v>
      </c>
      <c r="H759" s="23">
        <v>6.5</v>
      </c>
      <c r="I759" s="24"/>
      <c r="J759" s="22"/>
      <c r="K759" s="23">
        <v>8</v>
      </c>
      <c r="L759" s="22"/>
      <c r="M759" s="9">
        <v>6.5</v>
      </c>
      <c r="N759" s="9">
        <v>7</v>
      </c>
      <c r="O759" s="9"/>
      <c r="P759" s="9">
        <v>8.5</v>
      </c>
      <c r="Q759" s="23">
        <v>8.5</v>
      </c>
      <c r="R759" s="22"/>
      <c r="S759" s="8" t="s">
        <v>33</v>
      </c>
      <c r="U759" t="s">
        <v>33</v>
      </c>
      <c r="V759" t="s">
        <v>33</v>
      </c>
      <c r="W759" s="14">
        <f t="shared" si="80"/>
        <v>5</v>
      </c>
      <c r="X759" s="14">
        <f t="shared" si="81"/>
        <v>6.5</v>
      </c>
      <c r="Y759" s="14">
        <f t="shared" si="82"/>
        <v>8</v>
      </c>
      <c r="Z759" s="14">
        <f t="shared" si="83"/>
        <v>6.5</v>
      </c>
      <c r="AA759" s="14">
        <f t="shared" si="84"/>
        <v>7</v>
      </c>
      <c r="AB759" s="14">
        <f t="shared" si="85"/>
        <v>0</v>
      </c>
      <c r="AC759" s="14">
        <f t="shared" si="86"/>
        <v>8.5</v>
      </c>
      <c r="AD759" s="14">
        <f t="shared" si="87"/>
        <v>17</v>
      </c>
    </row>
    <row r="760" spans="5:30">
      <c r="E760" s="6"/>
      <c r="F760" s="8" t="s">
        <v>49</v>
      </c>
      <c r="G760" s="9">
        <v>20</v>
      </c>
      <c r="H760" s="23">
        <v>26</v>
      </c>
      <c r="I760" s="24"/>
      <c r="J760" s="22"/>
      <c r="K760" s="23">
        <v>32</v>
      </c>
      <c r="L760" s="22"/>
      <c r="M760" s="9">
        <v>19.5</v>
      </c>
      <c r="N760" s="9">
        <v>21</v>
      </c>
      <c r="O760" s="9"/>
      <c r="P760" s="9">
        <v>17</v>
      </c>
      <c r="Q760" s="23">
        <v>17</v>
      </c>
      <c r="R760" s="22"/>
      <c r="S760" s="8">
        <v>152.5</v>
      </c>
      <c r="U760">
        <v>0</v>
      </c>
      <c r="V760">
        <v>0</v>
      </c>
      <c r="W760" s="14">
        <f t="shared" si="80"/>
        <v>20</v>
      </c>
      <c r="X760" s="14">
        <f t="shared" si="81"/>
        <v>26</v>
      </c>
      <c r="Y760" s="14">
        <f t="shared" si="82"/>
        <v>32</v>
      </c>
      <c r="Z760" s="14">
        <f t="shared" si="83"/>
        <v>19.5</v>
      </c>
      <c r="AA760" s="14">
        <f t="shared" si="84"/>
        <v>21</v>
      </c>
      <c r="AB760" s="14">
        <f t="shared" si="85"/>
        <v>0</v>
      </c>
      <c r="AC760" s="14">
        <f t="shared" si="86"/>
        <v>17</v>
      </c>
      <c r="AD760" s="14">
        <f t="shared" si="87"/>
        <v>42</v>
      </c>
    </row>
    <row r="761" spans="5:30">
      <c r="E761" s="4"/>
      <c r="F761" s="8" t="s">
        <v>36</v>
      </c>
      <c r="G761" s="9">
        <v>47</v>
      </c>
      <c r="H761" s="23">
        <v>62</v>
      </c>
      <c r="I761" s="24"/>
      <c r="J761" s="22"/>
      <c r="K761" s="23">
        <v>79</v>
      </c>
      <c r="L761" s="22"/>
      <c r="M761" s="9">
        <v>62</v>
      </c>
      <c r="N761" s="9">
        <v>66</v>
      </c>
      <c r="O761" s="9">
        <v>27</v>
      </c>
      <c r="P761" s="9">
        <v>42</v>
      </c>
      <c r="Q761" s="23">
        <v>42</v>
      </c>
      <c r="R761" s="22"/>
      <c r="S761" s="8">
        <v>427</v>
      </c>
      <c r="U761">
        <v>0</v>
      </c>
      <c r="V761">
        <v>0</v>
      </c>
      <c r="W761" s="14">
        <f t="shared" si="80"/>
        <v>47</v>
      </c>
      <c r="X761" s="14">
        <f t="shared" si="81"/>
        <v>62</v>
      </c>
      <c r="Y761" s="14">
        <f t="shared" si="82"/>
        <v>79</v>
      </c>
      <c r="Z761" s="14">
        <f t="shared" si="83"/>
        <v>62</v>
      </c>
      <c r="AA761" s="14">
        <f t="shared" si="84"/>
        <v>66</v>
      </c>
      <c r="AB761" s="14">
        <f t="shared" si="85"/>
        <v>27</v>
      </c>
      <c r="AC761" s="14">
        <f t="shared" si="86"/>
        <v>42</v>
      </c>
      <c r="AD761" s="14">
        <f t="shared" si="87"/>
        <v>50</v>
      </c>
    </row>
    <row r="762" spans="5:30">
      <c r="E762" s="6"/>
      <c r="F762" s="8" t="s">
        <v>52</v>
      </c>
      <c r="G762" s="9">
        <v>100</v>
      </c>
      <c r="H762" s="23">
        <v>100</v>
      </c>
      <c r="I762" s="24"/>
      <c r="J762" s="22"/>
      <c r="K762" s="23">
        <v>100</v>
      </c>
      <c r="L762" s="22"/>
      <c r="M762" s="9">
        <v>100</v>
      </c>
      <c r="N762" s="9">
        <v>100</v>
      </c>
      <c r="O762" s="9">
        <v>100</v>
      </c>
      <c r="P762" s="9">
        <v>50</v>
      </c>
      <c r="Q762" s="23">
        <v>50</v>
      </c>
      <c r="R762" s="22"/>
      <c r="S762" s="8">
        <v>700</v>
      </c>
      <c r="U762" t="s">
        <v>31</v>
      </c>
      <c r="V762" t="s">
        <v>33</v>
      </c>
      <c r="W762" s="14">
        <f t="shared" si="80"/>
        <v>100</v>
      </c>
      <c r="X762" s="14">
        <f t="shared" si="81"/>
        <v>100</v>
      </c>
      <c r="Y762" s="14">
        <f t="shared" si="82"/>
        <v>100</v>
      </c>
      <c r="Z762" s="14">
        <f t="shared" si="83"/>
        <v>100</v>
      </c>
      <c r="AA762" s="14">
        <f t="shared" si="84"/>
        <v>100</v>
      </c>
      <c r="AB762" s="14">
        <f t="shared" si="85"/>
        <v>100</v>
      </c>
      <c r="AC762" s="14">
        <f t="shared" si="86"/>
        <v>50</v>
      </c>
      <c r="AD762" s="14" t="str">
        <f t="shared" si="87"/>
        <v>OA</v>
      </c>
    </row>
    <row r="763" spans="5:30">
      <c r="E763" s="4"/>
      <c r="F763" s="8" t="s">
        <v>54</v>
      </c>
      <c r="G763" s="9" t="s">
        <v>55</v>
      </c>
      <c r="H763" s="23" t="s">
        <v>76</v>
      </c>
      <c r="I763" s="24"/>
      <c r="J763" s="22"/>
      <c r="K763" s="23" t="s">
        <v>135</v>
      </c>
      <c r="L763" s="22"/>
      <c r="M763" s="9" t="s">
        <v>76</v>
      </c>
      <c r="N763" s="9" t="s">
        <v>109</v>
      </c>
      <c r="O763" s="9"/>
      <c r="P763" s="9" t="s">
        <v>95</v>
      </c>
      <c r="Q763" s="23" t="s">
        <v>95</v>
      </c>
      <c r="R763" s="22"/>
      <c r="S763" s="8" t="s">
        <v>33</v>
      </c>
      <c r="U763" t="s">
        <v>525</v>
      </c>
      <c r="V763" t="s">
        <v>36</v>
      </c>
      <c r="W763" s="14" t="str">
        <f t="shared" si="80"/>
        <v>BC</v>
      </c>
      <c r="X763" s="14" t="str">
        <f t="shared" si="81"/>
        <v>AB</v>
      </c>
      <c r="Y763" s="14" t="str">
        <f t="shared" si="82"/>
        <v>AA+</v>
      </c>
      <c r="Z763" s="14" t="str">
        <f t="shared" si="83"/>
        <v>AB</v>
      </c>
      <c r="AA763" s="14" t="str">
        <f t="shared" si="84"/>
        <v>AB+</v>
      </c>
      <c r="AB763" s="14">
        <f t="shared" si="85"/>
        <v>0</v>
      </c>
      <c r="AC763" s="14" t="str">
        <f t="shared" si="86"/>
        <v>OA</v>
      </c>
      <c r="AD763" s="14" t="str">
        <f t="shared" si="87"/>
        <v>Pass</v>
      </c>
    </row>
    <row r="764" spans="5:30">
      <c r="E764" s="11" t="s">
        <v>524</v>
      </c>
      <c r="F764" s="8" t="s">
        <v>58</v>
      </c>
      <c r="G764" s="9" t="s">
        <v>59</v>
      </c>
      <c r="H764" s="23" t="s">
        <v>59</v>
      </c>
      <c r="I764" s="24"/>
      <c r="J764" s="22"/>
      <c r="K764" s="23" t="s">
        <v>59</v>
      </c>
      <c r="L764" s="22"/>
      <c r="M764" s="9" t="s">
        <v>59</v>
      </c>
      <c r="N764" s="9" t="s">
        <v>59</v>
      </c>
      <c r="O764" s="9" t="s">
        <v>68</v>
      </c>
      <c r="P764" s="9" t="s">
        <v>59</v>
      </c>
      <c r="Q764" s="23" t="s">
        <v>59</v>
      </c>
      <c r="R764" s="22"/>
      <c r="S764" s="8" t="s">
        <v>33</v>
      </c>
      <c r="U764" t="s">
        <v>37</v>
      </c>
      <c r="V764" t="s">
        <v>33</v>
      </c>
      <c r="W764" s="14" t="str">
        <f t="shared" si="80"/>
        <v>Pass</v>
      </c>
      <c r="X764" s="14" t="str">
        <f t="shared" si="81"/>
        <v>Pass</v>
      </c>
      <c r="Y764" s="14" t="str">
        <f t="shared" si="82"/>
        <v>Pass</v>
      </c>
      <c r="Z764" s="14" t="str">
        <f t="shared" si="83"/>
        <v>Pass</v>
      </c>
      <c r="AA764" s="14" t="str">
        <f t="shared" si="84"/>
        <v>Pass</v>
      </c>
      <c r="AB764" s="14" t="str">
        <f t="shared" si="85"/>
        <v>Fail</v>
      </c>
      <c r="AC764" s="14" t="str">
        <f t="shared" si="86"/>
        <v>Pass</v>
      </c>
      <c r="AD764" s="14" t="str">
        <f t="shared" si="87"/>
        <v/>
      </c>
    </row>
    <row r="765" spans="5:30">
      <c r="E765" s="12" t="s">
        <v>33</v>
      </c>
      <c r="F765" s="12" t="s">
        <v>33</v>
      </c>
      <c r="G765" s="13" t="s">
        <v>33</v>
      </c>
      <c r="H765" s="20" t="s">
        <v>33</v>
      </c>
      <c r="I765" s="18"/>
      <c r="J765" s="18"/>
      <c r="K765" s="20" t="s">
        <v>33</v>
      </c>
      <c r="L765" s="18"/>
      <c r="M765" s="13" t="s">
        <v>33</v>
      </c>
      <c r="N765" s="13" t="s">
        <v>33</v>
      </c>
      <c r="O765" s="13" t="s">
        <v>33</v>
      </c>
      <c r="P765" s="13" t="s">
        <v>33</v>
      </c>
      <c r="Q765" s="20" t="s">
        <v>33</v>
      </c>
      <c r="R765" s="18"/>
      <c r="S765" s="13" t="s">
        <v>33</v>
      </c>
      <c r="U765" t="s">
        <v>528</v>
      </c>
      <c r="V765" t="s">
        <v>33</v>
      </c>
      <c r="W765" s="14" t="str">
        <f t="shared" si="80"/>
        <v/>
      </c>
      <c r="X765" s="14" t="str">
        <f t="shared" si="81"/>
        <v/>
      </c>
      <c r="Y765" s="14" t="str">
        <f t="shared" si="82"/>
        <v/>
      </c>
      <c r="Z765" s="14" t="str">
        <f t="shared" si="83"/>
        <v/>
      </c>
      <c r="AA765" s="14" t="str">
        <f t="shared" si="84"/>
        <v/>
      </c>
      <c r="AB765" s="14" t="str">
        <f t="shared" si="85"/>
        <v/>
      </c>
      <c r="AC765" s="14" t="str">
        <f t="shared" si="86"/>
        <v/>
      </c>
      <c r="AD765" s="14">
        <f t="shared" si="87"/>
        <v>0</v>
      </c>
    </row>
    <row r="766" spans="5:30" ht="0" hidden="1" customHeight="1">
      <c r="U766">
        <v>0</v>
      </c>
      <c r="V766">
        <v>0</v>
      </c>
      <c r="W766" s="14">
        <f t="shared" si="80"/>
        <v>0</v>
      </c>
      <c r="X766" s="14">
        <f t="shared" si="81"/>
        <v>0</v>
      </c>
      <c r="Y766" s="14">
        <f t="shared" si="82"/>
        <v>0</v>
      </c>
      <c r="Z766" s="14">
        <f t="shared" si="83"/>
        <v>0</v>
      </c>
      <c r="AA766" s="14">
        <f t="shared" si="84"/>
        <v>0</v>
      </c>
      <c r="AB766" s="14">
        <f t="shared" si="85"/>
        <v>0</v>
      </c>
      <c r="AC766" s="14">
        <f t="shared" si="86"/>
        <v>0</v>
      </c>
      <c r="AD766" s="14">
        <f t="shared" si="87"/>
        <v>0</v>
      </c>
    </row>
    <row r="767" spans="5:30" ht="0.6" customHeight="1">
      <c r="U767">
        <v>0</v>
      </c>
      <c r="V767">
        <v>25</v>
      </c>
      <c r="W767" s="14">
        <f t="shared" si="80"/>
        <v>0</v>
      </c>
      <c r="X767" s="14">
        <f t="shared" si="81"/>
        <v>0</v>
      </c>
      <c r="Y767" s="14">
        <f t="shared" si="82"/>
        <v>0</v>
      </c>
      <c r="Z767" s="14">
        <f t="shared" si="83"/>
        <v>0</v>
      </c>
      <c r="AA767" s="14">
        <f t="shared" si="84"/>
        <v>0</v>
      </c>
      <c r="AB767" s="14">
        <f t="shared" si="85"/>
        <v>0</v>
      </c>
      <c r="AC767" s="14">
        <f t="shared" si="86"/>
        <v>0</v>
      </c>
      <c r="AD767" s="14" t="str">
        <f t="shared" si="87"/>
        <v/>
      </c>
    </row>
    <row r="768" spans="5:30">
      <c r="E768" s="4"/>
      <c r="F768" s="3" t="s">
        <v>32</v>
      </c>
      <c r="G768" s="5" t="s">
        <v>33</v>
      </c>
      <c r="H768" s="32" t="s">
        <v>33</v>
      </c>
      <c r="I768" s="18"/>
      <c r="J768" s="18"/>
      <c r="K768" s="32" t="s">
        <v>33</v>
      </c>
      <c r="L768" s="18"/>
      <c r="M768" s="5" t="s">
        <v>33</v>
      </c>
      <c r="N768" s="5" t="s">
        <v>33</v>
      </c>
      <c r="O768" s="5" t="s">
        <v>33</v>
      </c>
      <c r="P768" s="5" t="s">
        <v>33</v>
      </c>
      <c r="Q768" s="32" t="s">
        <v>33</v>
      </c>
      <c r="R768" s="18"/>
      <c r="S768" s="5" t="s">
        <v>33</v>
      </c>
      <c r="U768" t="s">
        <v>46</v>
      </c>
      <c r="V768" t="s">
        <v>33</v>
      </c>
      <c r="W768" s="14" t="str">
        <f t="shared" si="80"/>
        <v/>
      </c>
      <c r="X768" s="14" t="str">
        <f t="shared" si="81"/>
        <v/>
      </c>
      <c r="Y768" s="14" t="str">
        <f t="shared" si="82"/>
        <v/>
      </c>
      <c r="Z768" s="14" t="str">
        <f t="shared" si="83"/>
        <v/>
      </c>
      <c r="AA768" s="14" t="str">
        <f t="shared" si="84"/>
        <v/>
      </c>
      <c r="AB768" s="14" t="str">
        <f t="shared" si="85"/>
        <v/>
      </c>
      <c r="AC768" s="14" t="str">
        <f t="shared" si="86"/>
        <v/>
      </c>
      <c r="AD768" s="14" t="str">
        <f t="shared" si="87"/>
        <v>COMRRSN302</v>
      </c>
    </row>
    <row r="769" spans="5:30" ht="21">
      <c r="E769" s="4"/>
      <c r="F769" s="7" t="s">
        <v>35</v>
      </c>
      <c r="G769" s="7" t="s">
        <v>5</v>
      </c>
      <c r="H769" s="30" t="s">
        <v>7</v>
      </c>
      <c r="I769" s="24"/>
      <c r="J769" s="22"/>
      <c r="K769" s="30" t="s">
        <v>9</v>
      </c>
      <c r="L769" s="22"/>
      <c r="M769" s="7" t="s">
        <v>11</v>
      </c>
      <c r="N769" s="7" t="s">
        <v>15</v>
      </c>
      <c r="O769" s="7" t="s">
        <v>17</v>
      </c>
      <c r="P769" s="7" t="s">
        <v>21</v>
      </c>
      <c r="Q769" s="30" t="s">
        <v>27</v>
      </c>
      <c r="R769" s="22"/>
      <c r="S769" s="7" t="s">
        <v>36</v>
      </c>
      <c r="U769" t="s">
        <v>48</v>
      </c>
      <c r="V769">
        <v>236.5</v>
      </c>
      <c r="W769" s="14" t="str">
        <f t="shared" si="80"/>
        <v>BBABMCN301</v>
      </c>
      <c r="X769" s="14" t="str">
        <f t="shared" si="81"/>
        <v>BBABMCN302</v>
      </c>
      <c r="Y769" s="14" t="str">
        <f t="shared" si="82"/>
        <v>BBABMCN303</v>
      </c>
      <c r="Z769" s="14" t="str">
        <f t="shared" si="83"/>
        <v>BBAENLN301</v>
      </c>
      <c r="AA769" s="14" t="str">
        <f t="shared" si="84"/>
        <v>BBAKALN302</v>
      </c>
      <c r="AB769" s="14" t="str">
        <f t="shared" si="85"/>
        <v>BCACAEN302</v>
      </c>
      <c r="AC769" s="14" t="str">
        <f t="shared" si="86"/>
        <v>COMFISN301</v>
      </c>
      <c r="AD769" s="14" t="str">
        <f t="shared" si="87"/>
        <v xml:space="preserve"> - - + - - </v>
      </c>
    </row>
    <row r="770" spans="5:30" ht="22.5">
      <c r="E770" s="6" t="s">
        <v>526</v>
      </c>
      <c r="F770" s="8" t="s">
        <v>39</v>
      </c>
      <c r="G770" s="9" t="s">
        <v>273</v>
      </c>
      <c r="H770" s="23" t="s">
        <v>527</v>
      </c>
      <c r="I770" s="24"/>
      <c r="J770" s="22"/>
      <c r="K770" s="23" t="s">
        <v>88</v>
      </c>
      <c r="L770" s="22"/>
      <c r="M770" s="9" t="s">
        <v>464</v>
      </c>
      <c r="N770" s="9" t="s">
        <v>284</v>
      </c>
      <c r="O770" s="9" t="s">
        <v>284</v>
      </c>
      <c r="P770" s="9" t="s">
        <v>89</v>
      </c>
      <c r="Q770" s="23" t="s">
        <v>43</v>
      </c>
      <c r="R770" s="22"/>
      <c r="S770" s="8" t="s">
        <v>33</v>
      </c>
      <c r="U770" t="s">
        <v>50</v>
      </c>
      <c r="V770">
        <v>642</v>
      </c>
      <c r="W770" s="14" t="str">
        <f t="shared" si="80"/>
        <v>53.00 + 40.00</v>
      </c>
      <c r="X770" s="14" t="str">
        <f t="shared" si="81"/>
        <v>45.00 + 40.00</v>
      </c>
      <c r="Y770" s="14" t="str">
        <f t="shared" si="82"/>
        <v>60.00 + 40.00</v>
      </c>
      <c r="Z770" s="14" t="str">
        <f t="shared" si="83"/>
        <v>37.00 + 35.00</v>
      </c>
      <c r="AA770" s="14" t="str">
        <f t="shared" si="84"/>
        <v>56.00 + 40.00</v>
      </c>
      <c r="AB770" s="14" t="str">
        <f t="shared" si="85"/>
        <v>56.00 + 40.00</v>
      </c>
      <c r="AC770" s="14" t="str">
        <f t="shared" si="86"/>
        <v>30.00 + 20.00</v>
      </c>
      <c r="AD770" s="14" t="str">
        <f t="shared" si="87"/>
        <v xml:space="preserve"> - - +50.00</v>
      </c>
    </row>
    <row r="771" spans="5:30">
      <c r="E771" s="25"/>
      <c r="F771" s="8" t="s">
        <v>42</v>
      </c>
      <c r="G771" s="9" t="s">
        <v>43</v>
      </c>
      <c r="H771" s="23" t="s">
        <v>43</v>
      </c>
      <c r="I771" s="24"/>
      <c r="J771" s="22"/>
      <c r="K771" s="23" t="s">
        <v>43</v>
      </c>
      <c r="L771" s="22"/>
      <c r="M771" s="9" t="s">
        <v>43</v>
      </c>
      <c r="N771" s="9" t="s">
        <v>43</v>
      </c>
      <c r="O771" s="9" t="s">
        <v>43</v>
      </c>
      <c r="P771" s="9" t="s">
        <v>43</v>
      </c>
      <c r="Q771" s="23" t="s">
        <v>91</v>
      </c>
      <c r="R771" s="22"/>
      <c r="S771" s="8" t="s">
        <v>33</v>
      </c>
      <c r="U771" t="s">
        <v>51</v>
      </c>
      <c r="V771">
        <v>700</v>
      </c>
      <c r="W771" s="14" t="str">
        <f t="shared" si="80"/>
        <v xml:space="preserve"> - - + - - </v>
      </c>
      <c r="X771" s="14" t="str">
        <f t="shared" si="81"/>
        <v xml:space="preserve"> - - + - - </v>
      </c>
      <c r="Y771" s="14" t="str">
        <f t="shared" si="82"/>
        <v xml:space="preserve"> - - + - - </v>
      </c>
      <c r="Z771" s="14" t="str">
        <f t="shared" si="83"/>
        <v xml:space="preserve"> - - + - - </v>
      </c>
      <c r="AA771" s="14" t="str">
        <f t="shared" si="84"/>
        <v xml:space="preserve"> - - + - - </v>
      </c>
      <c r="AB771" s="14" t="str">
        <f t="shared" si="85"/>
        <v xml:space="preserve"> - - + - - </v>
      </c>
      <c r="AC771" s="14" t="str">
        <f t="shared" si="86"/>
        <v xml:space="preserve"> - - + - - </v>
      </c>
      <c r="AD771" s="14" t="str">
        <f t="shared" si="87"/>
        <v/>
      </c>
    </row>
    <row r="772" spans="5:30">
      <c r="E772" s="27"/>
      <c r="F772" s="8" t="s">
        <v>44</v>
      </c>
      <c r="G772" s="9" t="s">
        <v>33</v>
      </c>
      <c r="H772" s="23" t="s">
        <v>33</v>
      </c>
      <c r="I772" s="24"/>
      <c r="J772" s="22"/>
      <c r="K772" s="23" t="s">
        <v>33</v>
      </c>
      <c r="L772" s="22"/>
      <c r="M772" s="9" t="s">
        <v>33</v>
      </c>
      <c r="N772" s="9" t="s">
        <v>33</v>
      </c>
      <c r="O772" s="9" t="s">
        <v>33</v>
      </c>
      <c r="P772" s="9" t="s">
        <v>33</v>
      </c>
      <c r="Q772" s="23" t="s">
        <v>33</v>
      </c>
      <c r="R772" s="22"/>
      <c r="S772" s="8">
        <v>0</v>
      </c>
      <c r="U772" t="s">
        <v>287</v>
      </c>
      <c r="V772" t="s">
        <v>33</v>
      </c>
      <c r="W772" s="14" t="str">
        <f t="shared" si="80"/>
        <v/>
      </c>
      <c r="X772" s="14" t="str">
        <f t="shared" si="81"/>
        <v/>
      </c>
      <c r="Y772" s="14" t="str">
        <f t="shared" si="82"/>
        <v/>
      </c>
      <c r="Z772" s="14" t="str">
        <f t="shared" si="83"/>
        <v/>
      </c>
      <c r="AA772" s="14" t="str">
        <f t="shared" si="84"/>
        <v/>
      </c>
      <c r="AB772" s="14" t="str">
        <f t="shared" si="85"/>
        <v/>
      </c>
      <c r="AC772" s="14" t="str">
        <f t="shared" si="86"/>
        <v/>
      </c>
      <c r="AD772" s="14">
        <f t="shared" si="87"/>
        <v>2</v>
      </c>
    </row>
    <row r="773" spans="5:30">
      <c r="E773" s="29"/>
      <c r="F773" s="8" t="s">
        <v>45</v>
      </c>
      <c r="G773" s="9">
        <v>4</v>
      </c>
      <c r="H773" s="23">
        <v>4</v>
      </c>
      <c r="I773" s="24"/>
      <c r="J773" s="22"/>
      <c r="K773" s="23">
        <v>4</v>
      </c>
      <c r="L773" s="22"/>
      <c r="M773" s="9">
        <v>3</v>
      </c>
      <c r="N773" s="9">
        <v>3</v>
      </c>
      <c r="O773" s="9">
        <v>3</v>
      </c>
      <c r="P773" s="9">
        <v>2</v>
      </c>
      <c r="Q773" s="23">
        <v>2</v>
      </c>
      <c r="R773" s="22"/>
      <c r="S773" s="8">
        <v>25</v>
      </c>
      <c r="U773" t="s">
        <v>56</v>
      </c>
      <c r="V773" t="s">
        <v>33</v>
      </c>
      <c r="W773" s="14">
        <f t="shared" si="80"/>
        <v>4</v>
      </c>
      <c r="X773" s="14">
        <f t="shared" si="81"/>
        <v>4</v>
      </c>
      <c r="Y773" s="14">
        <f t="shared" si="82"/>
        <v>4</v>
      </c>
      <c r="Z773" s="14">
        <f t="shared" si="83"/>
        <v>3</v>
      </c>
      <c r="AA773" s="14">
        <f t="shared" si="84"/>
        <v>3</v>
      </c>
      <c r="AB773" s="14">
        <f t="shared" si="85"/>
        <v>3</v>
      </c>
      <c r="AC773" s="14">
        <f t="shared" si="86"/>
        <v>2</v>
      </c>
      <c r="AD773" s="14">
        <f t="shared" si="87"/>
        <v>10</v>
      </c>
    </row>
    <row r="774" spans="5:30">
      <c r="E774" s="6">
        <v>9.4600000000000009</v>
      </c>
      <c r="F774" s="8" t="s">
        <v>47</v>
      </c>
      <c r="G774" s="9">
        <v>9.5</v>
      </c>
      <c r="H774" s="23">
        <v>9</v>
      </c>
      <c r="I774" s="24"/>
      <c r="J774" s="22"/>
      <c r="K774" s="23">
        <v>10</v>
      </c>
      <c r="L774" s="22"/>
      <c r="M774" s="9">
        <v>7.5</v>
      </c>
      <c r="N774" s="9">
        <v>10</v>
      </c>
      <c r="O774" s="9">
        <v>10</v>
      </c>
      <c r="P774" s="9">
        <v>10</v>
      </c>
      <c r="Q774" s="23">
        <v>10</v>
      </c>
      <c r="R774" s="22"/>
      <c r="S774" s="8" t="s">
        <v>33</v>
      </c>
      <c r="U774" t="s">
        <v>33</v>
      </c>
      <c r="V774" t="s">
        <v>33</v>
      </c>
      <c r="W774" s="14">
        <f t="shared" si="80"/>
        <v>9.5</v>
      </c>
      <c r="X774" s="14">
        <f t="shared" si="81"/>
        <v>9</v>
      </c>
      <c r="Y774" s="14">
        <f t="shared" si="82"/>
        <v>10</v>
      </c>
      <c r="Z774" s="14">
        <f t="shared" si="83"/>
        <v>7.5</v>
      </c>
      <c r="AA774" s="14">
        <f t="shared" si="84"/>
        <v>10</v>
      </c>
      <c r="AB774" s="14">
        <f t="shared" si="85"/>
        <v>10</v>
      </c>
      <c r="AC774" s="14">
        <f t="shared" si="86"/>
        <v>10</v>
      </c>
      <c r="AD774" s="14">
        <f t="shared" si="87"/>
        <v>20</v>
      </c>
    </row>
    <row r="775" spans="5:30">
      <c r="E775" s="10">
        <v>9.34</v>
      </c>
      <c r="F775" s="8" t="s">
        <v>49</v>
      </c>
      <c r="G775" s="9">
        <v>38</v>
      </c>
      <c r="H775" s="23">
        <v>36</v>
      </c>
      <c r="I775" s="24"/>
      <c r="J775" s="22"/>
      <c r="K775" s="23">
        <v>40</v>
      </c>
      <c r="L775" s="22"/>
      <c r="M775" s="9">
        <v>22.5</v>
      </c>
      <c r="N775" s="9">
        <v>30</v>
      </c>
      <c r="O775" s="9">
        <v>30</v>
      </c>
      <c r="P775" s="9">
        <v>20</v>
      </c>
      <c r="Q775" s="23">
        <v>20</v>
      </c>
      <c r="R775" s="22"/>
      <c r="S775" s="8">
        <v>236.5</v>
      </c>
      <c r="U775">
        <v>0</v>
      </c>
      <c r="V775">
        <v>0</v>
      </c>
      <c r="W775" s="14">
        <f t="shared" ref="W775:W838" si="88">$G775</f>
        <v>38</v>
      </c>
      <c r="X775" s="14">
        <f t="shared" ref="X775:X838" si="89">$H775</f>
        <v>36</v>
      </c>
      <c r="Y775" s="14">
        <f t="shared" ref="Y775:Y838" si="90">$K775</f>
        <v>40</v>
      </c>
      <c r="Z775" s="14">
        <f t="shared" ref="Z775:Z838" si="91">$M775</f>
        <v>22.5</v>
      </c>
      <c r="AA775" s="14">
        <f t="shared" ref="AA775:AA838" si="92">$N775</f>
        <v>30</v>
      </c>
      <c r="AB775" s="14">
        <f t="shared" ref="AB775:AB838" si="93">$O775</f>
        <v>30</v>
      </c>
      <c r="AC775" s="14">
        <f t="shared" ref="AC775:AC838" si="94">$P775</f>
        <v>20</v>
      </c>
      <c r="AD775" s="14">
        <f t="shared" ref="AD775:AD838" si="95">$Q776</f>
        <v>50</v>
      </c>
    </row>
    <row r="776" spans="5:30">
      <c r="E776" s="4"/>
      <c r="F776" s="8" t="s">
        <v>36</v>
      </c>
      <c r="G776" s="9">
        <v>93</v>
      </c>
      <c r="H776" s="23">
        <v>85</v>
      </c>
      <c r="I776" s="24"/>
      <c r="J776" s="22"/>
      <c r="K776" s="23">
        <v>100</v>
      </c>
      <c r="L776" s="22"/>
      <c r="M776" s="9">
        <v>72</v>
      </c>
      <c r="N776" s="9">
        <v>96</v>
      </c>
      <c r="O776" s="9">
        <v>96</v>
      </c>
      <c r="P776" s="9">
        <v>50</v>
      </c>
      <c r="Q776" s="23">
        <v>50</v>
      </c>
      <c r="R776" s="22"/>
      <c r="S776" s="8">
        <v>642</v>
      </c>
      <c r="U776">
        <v>0</v>
      </c>
      <c r="V776">
        <v>0</v>
      </c>
      <c r="W776" s="14">
        <f t="shared" si="88"/>
        <v>93</v>
      </c>
      <c r="X776" s="14">
        <f t="shared" si="89"/>
        <v>85</v>
      </c>
      <c r="Y776" s="14">
        <f t="shared" si="90"/>
        <v>100</v>
      </c>
      <c r="Z776" s="14">
        <f t="shared" si="91"/>
        <v>72</v>
      </c>
      <c r="AA776" s="14">
        <f t="shared" si="92"/>
        <v>96</v>
      </c>
      <c r="AB776" s="14">
        <f t="shared" si="93"/>
        <v>96</v>
      </c>
      <c r="AC776" s="14">
        <f t="shared" si="94"/>
        <v>50</v>
      </c>
      <c r="AD776" s="14">
        <f t="shared" si="95"/>
        <v>50</v>
      </c>
    </row>
    <row r="777" spans="5:30">
      <c r="E777" s="6"/>
      <c r="F777" s="8" t="s">
        <v>52</v>
      </c>
      <c r="G777" s="9">
        <v>100</v>
      </c>
      <c r="H777" s="23">
        <v>100</v>
      </c>
      <c r="I777" s="24"/>
      <c r="J777" s="22"/>
      <c r="K777" s="23">
        <v>100</v>
      </c>
      <c r="L777" s="22"/>
      <c r="M777" s="9">
        <v>100</v>
      </c>
      <c r="N777" s="9">
        <v>100</v>
      </c>
      <c r="O777" s="9">
        <v>100</v>
      </c>
      <c r="P777" s="9">
        <v>50</v>
      </c>
      <c r="Q777" s="23">
        <v>50</v>
      </c>
      <c r="R777" s="22"/>
      <c r="S777" s="8">
        <v>700</v>
      </c>
      <c r="U777" t="s">
        <v>31</v>
      </c>
      <c r="V777" t="s">
        <v>33</v>
      </c>
      <c r="W777" s="14">
        <f t="shared" si="88"/>
        <v>100</v>
      </c>
      <c r="X777" s="14">
        <f t="shared" si="89"/>
        <v>100</v>
      </c>
      <c r="Y777" s="14">
        <f t="shared" si="90"/>
        <v>100</v>
      </c>
      <c r="Z777" s="14">
        <f t="shared" si="91"/>
        <v>100</v>
      </c>
      <c r="AA777" s="14">
        <f t="shared" si="92"/>
        <v>100</v>
      </c>
      <c r="AB777" s="14">
        <f t="shared" si="93"/>
        <v>100</v>
      </c>
      <c r="AC777" s="14">
        <f t="shared" si="94"/>
        <v>50</v>
      </c>
      <c r="AD777" s="14" t="str">
        <f t="shared" si="95"/>
        <v>OO+</v>
      </c>
    </row>
    <row r="778" spans="5:30">
      <c r="E778" s="4"/>
      <c r="F778" s="8" t="s">
        <v>54</v>
      </c>
      <c r="G778" s="9" t="s">
        <v>94</v>
      </c>
      <c r="H778" s="23" t="s">
        <v>122</v>
      </c>
      <c r="I778" s="24"/>
      <c r="J778" s="22"/>
      <c r="K778" s="23" t="s">
        <v>93</v>
      </c>
      <c r="L778" s="22"/>
      <c r="M778" s="9" t="s">
        <v>108</v>
      </c>
      <c r="N778" s="9" t="s">
        <v>93</v>
      </c>
      <c r="O778" s="9" t="s">
        <v>93</v>
      </c>
      <c r="P778" s="9" t="s">
        <v>93</v>
      </c>
      <c r="Q778" s="23" t="s">
        <v>93</v>
      </c>
      <c r="R778" s="22"/>
      <c r="S778" s="8" t="s">
        <v>33</v>
      </c>
      <c r="U778" t="s">
        <v>530</v>
      </c>
      <c r="V778" t="s">
        <v>36</v>
      </c>
      <c r="W778" s="14" t="str">
        <f t="shared" si="88"/>
        <v>OO</v>
      </c>
      <c r="X778" s="14" t="str">
        <f t="shared" si="89"/>
        <v>OA+</v>
      </c>
      <c r="Y778" s="14" t="str">
        <f t="shared" si="90"/>
        <v>OO+</v>
      </c>
      <c r="Z778" s="14" t="str">
        <f t="shared" si="91"/>
        <v>AA</v>
      </c>
      <c r="AA778" s="14" t="str">
        <f t="shared" si="92"/>
        <v>OO+</v>
      </c>
      <c r="AB778" s="14" t="str">
        <f t="shared" si="93"/>
        <v>OO+</v>
      </c>
      <c r="AC778" s="14" t="str">
        <f t="shared" si="94"/>
        <v>OO+</v>
      </c>
      <c r="AD778" s="14" t="str">
        <f t="shared" si="95"/>
        <v>Pass</v>
      </c>
    </row>
    <row r="779" spans="5:30">
      <c r="E779" s="11" t="s">
        <v>529</v>
      </c>
      <c r="F779" s="8" t="s">
        <v>58</v>
      </c>
      <c r="G779" s="9" t="s">
        <v>59</v>
      </c>
      <c r="H779" s="23" t="s">
        <v>59</v>
      </c>
      <c r="I779" s="24"/>
      <c r="J779" s="22"/>
      <c r="K779" s="23" t="s">
        <v>59</v>
      </c>
      <c r="L779" s="22"/>
      <c r="M779" s="9" t="s">
        <v>59</v>
      </c>
      <c r="N779" s="9" t="s">
        <v>59</v>
      </c>
      <c r="O779" s="9" t="s">
        <v>59</v>
      </c>
      <c r="P779" s="9" t="s">
        <v>59</v>
      </c>
      <c r="Q779" s="23" t="s">
        <v>59</v>
      </c>
      <c r="R779" s="22"/>
      <c r="S779" s="8" t="s">
        <v>33</v>
      </c>
      <c r="U779" t="s">
        <v>37</v>
      </c>
      <c r="V779" t="s">
        <v>33</v>
      </c>
      <c r="W779" s="14" t="str">
        <f t="shared" si="88"/>
        <v>Pass</v>
      </c>
      <c r="X779" s="14" t="str">
        <f t="shared" si="89"/>
        <v>Pass</v>
      </c>
      <c r="Y779" s="14" t="str">
        <f t="shared" si="90"/>
        <v>Pass</v>
      </c>
      <c r="Z779" s="14" t="str">
        <f t="shared" si="91"/>
        <v>Pass</v>
      </c>
      <c r="AA779" s="14" t="str">
        <f t="shared" si="92"/>
        <v>Pass</v>
      </c>
      <c r="AB779" s="14" t="str">
        <f t="shared" si="93"/>
        <v>Pass</v>
      </c>
      <c r="AC779" s="14" t="str">
        <f t="shared" si="94"/>
        <v>Pass</v>
      </c>
      <c r="AD779" s="14" t="str">
        <f t="shared" si="95"/>
        <v/>
      </c>
    </row>
    <row r="780" spans="5:30">
      <c r="E780" s="12" t="s">
        <v>33</v>
      </c>
      <c r="F780" s="12" t="s">
        <v>33</v>
      </c>
      <c r="G780" s="13" t="s">
        <v>33</v>
      </c>
      <c r="H780" s="20" t="s">
        <v>33</v>
      </c>
      <c r="I780" s="18"/>
      <c r="J780" s="18"/>
      <c r="K780" s="20" t="s">
        <v>33</v>
      </c>
      <c r="L780" s="18"/>
      <c r="M780" s="13" t="s">
        <v>33</v>
      </c>
      <c r="N780" s="13" t="s">
        <v>33</v>
      </c>
      <c r="O780" s="13" t="s">
        <v>33</v>
      </c>
      <c r="P780" s="13" t="s">
        <v>33</v>
      </c>
      <c r="Q780" s="20" t="s">
        <v>33</v>
      </c>
      <c r="R780" s="18"/>
      <c r="S780" s="13" t="s">
        <v>33</v>
      </c>
      <c r="U780" t="s">
        <v>536</v>
      </c>
      <c r="V780" t="s">
        <v>33</v>
      </c>
      <c r="W780" s="14" t="str">
        <f t="shared" si="88"/>
        <v/>
      </c>
      <c r="X780" s="14" t="str">
        <f t="shared" si="89"/>
        <v/>
      </c>
      <c r="Y780" s="14" t="str">
        <f t="shared" si="90"/>
        <v/>
      </c>
      <c r="Z780" s="14" t="str">
        <f t="shared" si="91"/>
        <v/>
      </c>
      <c r="AA780" s="14" t="str">
        <f t="shared" si="92"/>
        <v/>
      </c>
      <c r="AB780" s="14" t="str">
        <f t="shared" si="93"/>
        <v/>
      </c>
      <c r="AC780" s="14" t="str">
        <f t="shared" si="94"/>
        <v/>
      </c>
      <c r="AD780" s="14">
        <f t="shared" si="95"/>
        <v>0</v>
      </c>
    </row>
    <row r="781" spans="5:30" ht="0" hidden="1" customHeight="1">
      <c r="U781">
        <v>0</v>
      </c>
      <c r="V781">
        <v>0</v>
      </c>
      <c r="W781" s="14">
        <f t="shared" si="88"/>
        <v>0</v>
      </c>
      <c r="X781" s="14">
        <f t="shared" si="89"/>
        <v>0</v>
      </c>
      <c r="Y781" s="14">
        <f t="shared" si="90"/>
        <v>0</v>
      </c>
      <c r="Z781" s="14">
        <f t="shared" si="91"/>
        <v>0</v>
      </c>
      <c r="AA781" s="14">
        <f t="shared" si="92"/>
        <v>0</v>
      </c>
      <c r="AB781" s="14">
        <f t="shared" si="93"/>
        <v>0</v>
      </c>
      <c r="AC781" s="14">
        <f t="shared" si="94"/>
        <v>0</v>
      </c>
      <c r="AD781" s="14">
        <f t="shared" si="95"/>
        <v>0</v>
      </c>
    </row>
    <row r="782" spans="5:30" ht="0.6" customHeight="1">
      <c r="U782">
        <v>0</v>
      </c>
      <c r="V782">
        <v>25</v>
      </c>
      <c r="W782" s="14">
        <f t="shared" si="88"/>
        <v>0</v>
      </c>
      <c r="X782" s="14">
        <f t="shared" si="89"/>
        <v>0</v>
      </c>
      <c r="Y782" s="14">
        <f t="shared" si="90"/>
        <v>0</v>
      </c>
      <c r="Z782" s="14">
        <f t="shared" si="91"/>
        <v>0</v>
      </c>
      <c r="AA782" s="14">
        <f t="shared" si="92"/>
        <v>0</v>
      </c>
      <c r="AB782" s="14">
        <f t="shared" si="93"/>
        <v>0</v>
      </c>
      <c r="AC782" s="14">
        <f t="shared" si="94"/>
        <v>0</v>
      </c>
      <c r="AD782" s="14" t="str">
        <f t="shared" si="95"/>
        <v/>
      </c>
    </row>
    <row r="783" spans="5:30">
      <c r="E783" s="4"/>
      <c r="F783" s="3" t="s">
        <v>32</v>
      </c>
      <c r="G783" s="5" t="s">
        <v>33</v>
      </c>
      <c r="H783" s="32" t="s">
        <v>33</v>
      </c>
      <c r="I783" s="18"/>
      <c r="J783" s="18"/>
      <c r="K783" s="32" t="s">
        <v>33</v>
      </c>
      <c r="L783" s="18"/>
      <c r="M783" s="5" t="s">
        <v>33</v>
      </c>
      <c r="N783" s="5" t="s">
        <v>33</v>
      </c>
      <c r="O783" s="5" t="s">
        <v>33</v>
      </c>
      <c r="P783" s="5" t="s">
        <v>33</v>
      </c>
      <c r="Q783" s="32" t="s">
        <v>33</v>
      </c>
      <c r="R783" s="18"/>
      <c r="S783" s="5" t="s">
        <v>33</v>
      </c>
      <c r="U783" t="s">
        <v>46</v>
      </c>
      <c r="V783" t="s">
        <v>33</v>
      </c>
      <c r="W783" s="14" t="str">
        <f t="shared" si="88"/>
        <v/>
      </c>
      <c r="X783" s="14" t="str">
        <f t="shared" si="89"/>
        <v/>
      </c>
      <c r="Y783" s="14" t="str">
        <f t="shared" si="90"/>
        <v/>
      </c>
      <c r="Z783" s="14" t="str">
        <f t="shared" si="91"/>
        <v/>
      </c>
      <c r="AA783" s="14" t="str">
        <f t="shared" si="92"/>
        <v/>
      </c>
      <c r="AB783" s="14" t="str">
        <f t="shared" si="93"/>
        <v/>
      </c>
      <c r="AC783" s="14" t="str">
        <f t="shared" si="94"/>
        <v/>
      </c>
      <c r="AD783" s="14" t="str">
        <f t="shared" si="95"/>
        <v>COMNSSN302</v>
      </c>
    </row>
    <row r="784" spans="5:30" ht="21">
      <c r="E784" s="4"/>
      <c r="F784" s="7" t="s">
        <v>35</v>
      </c>
      <c r="G784" s="7" t="s">
        <v>5</v>
      </c>
      <c r="H784" s="30" t="s">
        <v>7</v>
      </c>
      <c r="I784" s="24"/>
      <c r="J784" s="22"/>
      <c r="K784" s="30" t="s">
        <v>9</v>
      </c>
      <c r="L784" s="22"/>
      <c r="M784" s="7" t="s">
        <v>11</v>
      </c>
      <c r="N784" s="7" t="s">
        <v>15</v>
      </c>
      <c r="O784" s="7" t="s">
        <v>17</v>
      </c>
      <c r="P784" s="7" t="s">
        <v>21</v>
      </c>
      <c r="Q784" s="30" t="s">
        <v>25</v>
      </c>
      <c r="R784" s="22"/>
      <c r="S784" s="7" t="s">
        <v>36</v>
      </c>
      <c r="U784" t="s">
        <v>48</v>
      </c>
      <c r="V784">
        <v>209.5</v>
      </c>
      <c r="W784" s="14" t="str">
        <f t="shared" si="88"/>
        <v>BBABMCN301</v>
      </c>
      <c r="X784" s="14" t="str">
        <f t="shared" si="89"/>
        <v>BBABMCN302</v>
      </c>
      <c r="Y784" s="14" t="str">
        <f t="shared" si="90"/>
        <v>BBABMCN303</v>
      </c>
      <c r="Z784" s="14" t="str">
        <f t="shared" si="91"/>
        <v>BBAENLN301</v>
      </c>
      <c r="AA784" s="14" t="str">
        <f t="shared" si="92"/>
        <v>BBAKALN302</v>
      </c>
      <c r="AB784" s="14" t="str">
        <f t="shared" si="93"/>
        <v>BCACAEN302</v>
      </c>
      <c r="AC784" s="14" t="str">
        <f t="shared" si="94"/>
        <v>COMFISN301</v>
      </c>
      <c r="AD784" s="14" t="str">
        <f t="shared" si="95"/>
        <v xml:space="preserve"> - - + - - </v>
      </c>
    </row>
    <row r="785" spans="5:30" ht="22.5">
      <c r="E785" s="6" t="s">
        <v>531</v>
      </c>
      <c r="F785" s="8" t="s">
        <v>39</v>
      </c>
      <c r="G785" s="9" t="s">
        <v>532</v>
      </c>
      <c r="H785" s="23" t="s">
        <v>533</v>
      </c>
      <c r="I785" s="24"/>
      <c r="J785" s="22"/>
      <c r="K785" s="23" t="s">
        <v>281</v>
      </c>
      <c r="L785" s="22"/>
      <c r="M785" s="9" t="s">
        <v>228</v>
      </c>
      <c r="N785" s="9" t="s">
        <v>227</v>
      </c>
      <c r="O785" s="9" t="s">
        <v>534</v>
      </c>
      <c r="P785" s="9" t="s">
        <v>535</v>
      </c>
      <c r="Q785" s="23" t="s">
        <v>43</v>
      </c>
      <c r="R785" s="22"/>
      <c r="S785" s="8" t="s">
        <v>33</v>
      </c>
      <c r="U785" t="s">
        <v>50</v>
      </c>
      <c r="V785">
        <v>566</v>
      </c>
      <c r="W785" s="14" t="str">
        <f t="shared" si="88"/>
        <v>44.00 + 29.00</v>
      </c>
      <c r="X785" s="14" t="str">
        <f t="shared" si="89"/>
        <v>42.00 + 34.00</v>
      </c>
      <c r="Y785" s="14" t="str">
        <f t="shared" si="90"/>
        <v>54.00 + 39.00</v>
      </c>
      <c r="Z785" s="14" t="str">
        <f t="shared" si="91"/>
        <v>45.00 + 32.00</v>
      </c>
      <c r="AA785" s="14" t="str">
        <f t="shared" si="92"/>
        <v>55.00 + 39.00</v>
      </c>
      <c r="AB785" s="14" t="str">
        <f t="shared" si="93"/>
        <v>36.00 + 22.00</v>
      </c>
      <c r="AC785" s="14" t="str">
        <f t="shared" si="94"/>
        <v>30.00 + 15.00</v>
      </c>
      <c r="AD785" s="14" t="str">
        <f t="shared" si="95"/>
        <v xml:space="preserve"> - - +50.00</v>
      </c>
    </row>
    <row r="786" spans="5:30">
      <c r="E786" s="25"/>
      <c r="F786" s="8" t="s">
        <v>42</v>
      </c>
      <c r="G786" s="9" t="s">
        <v>43</v>
      </c>
      <c r="H786" s="23" t="s">
        <v>43</v>
      </c>
      <c r="I786" s="24"/>
      <c r="J786" s="22"/>
      <c r="K786" s="23" t="s">
        <v>43</v>
      </c>
      <c r="L786" s="22"/>
      <c r="M786" s="9" t="s">
        <v>43</v>
      </c>
      <c r="N786" s="9" t="s">
        <v>43</v>
      </c>
      <c r="O786" s="9" t="s">
        <v>43</v>
      </c>
      <c r="P786" s="9" t="s">
        <v>43</v>
      </c>
      <c r="Q786" s="23" t="s">
        <v>91</v>
      </c>
      <c r="R786" s="22"/>
      <c r="S786" s="8" t="s">
        <v>33</v>
      </c>
      <c r="U786" t="s">
        <v>51</v>
      </c>
      <c r="V786">
        <v>700</v>
      </c>
      <c r="W786" s="14" t="str">
        <f t="shared" si="88"/>
        <v xml:space="preserve"> - - + - - </v>
      </c>
      <c r="X786" s="14" t="str">
        <f t="shared" si="89"/>
        <v xml:space="preserve"> - - + - - </v>
      </c>
      <c r="Y786" s="14" t="str">
        <f t="shared" si="90"/>
        <v xml:space="preserve"> - - + - - </v>
      </c>
      <c r="Z786" s="14" t="str">
        <f t="shared" si="91"/>
        <v xml:space="preserve"> - - + - - </v>
      </c>
      <c r="AA786" s="14" t="str">
        <f t="shared" si="92"/>
        <v xml:space="preserve"> - - + - - </v>
      </c>
      <c r="AB786" s="14" t="str">
        <f t="shared" si="93"/>
        <v xml:space="preserve"> - - + - - </v>
      </c>
      <c r="AC786" s="14" t="str">
        <f t="shared" si="94"/>
        <v xml:space="preserve"> - - + - - </v>
      </c>
      <c r="AD786" s="14" t="str">
        <f t="shared" si="95"/>
        <v/>
      </c>
    </row>
    <row r="787" spans="5:30">
      <c r="E787" s="27"/>
      <c r="F787" s="8" t="s">
        <v>44</v>
      </c>
      <c r="G787" s="9" t="s">
        <v>33</v>
      </c>
      <c r="H787" s="23" t="s">
        <v>33</v>
      </c>
      <c r="I787" s="24"/>
      <c r="J787" s="22"/>
      <c r="K787" s="23" t="s">
        <v>33</v>
      </c>
      <c r="L787" s="22"/>
      <c r="M787" s="9" t="s">
        <v>33</v>
      </c>
      <c r="N787" s="9" t="s">
        <v>33</v>
      </c>
      <c r="O787" s="9" t="s">
        <v>33</v>
      </c>
      <c r="P787" s="9" t="s">
        <v>33</v>
      </c>
      <c r="Q787" s="23" t="s">
        <v>33</v>
      </c>
      <c r="R787" s="22"/>
      <c r="S787" s="8">
        <v>0</v>
      </c>
      <c r="U787" t="s">
        <v>159</v>
      </c>
      <c r="V787" t="s">
        <v>33</v>
      </c>
      <c r="W787" s="14" t="str">
        <f t="shared" si="88"/>
        <v/>
      </c>
      <c r="X787" s="14" t="str">
        <f t="shared" si="89"/>
        <v/>
      </c>
      <c r="Y787" s="14" t="str">
        <f t="shared" si="90"/>
        <v/>
      </c>
      <c r="Z787" s="14" t="str">
        <f t="shared" si="91"/>
        <v/>
      </c>
      <c r="AA787" s="14" t="str">
        <f t="shared" si="92"/>
        <v/>
      </c>
      <c r="AB787" s="14" t="str">
        <f t="shared" si="93"/>
        <v/>
      </c>
      <c r="AC787" s="14" t="str">
        <f t="shared" si="94"/>
        <v/>
      </c>
      <c r="AD787" s="14">
        <f t="shared" si="95"/>
        <v>2</v>
      </c>
    </row>
    <row r="788" spans="5:30">
      <c r="E788" s="29"/>
      <c r="F788" s="8" t="s">
        <v>45</v>
      </c>
      <c r="G788" s="9">
        <v>4</v>
      </c>
      <c r="H788" s="23">
        <v>4</v>
      </c>
      <c r="I788" s="24"/>
      <c r="J788" s="22"/>
      <c r="K788" s="23">
        <v>4</v>
      </c>
      <c r="L788" s="22"/>
      <c r="M788" s="9">
        <v>3</v>
      </c>
      <c r="N788" s="9">
        <v>3</v>
      </c>
      <c r="O788" s="9">
        <v>3</v>
      </c>
      <c r="P788" s="9">
        <v>2</v>
      </c>
      <c r="Q788" s="23">
        <v>2</v>
      </c>
      <c r="R788" s="22"/>
      <c r="S788" s="8">
        <v>25</v>
      </c>
      <c r="U788" t="s">
        <v>56</v>
      </c>
      <c r="V788" t="s">
        <v>33</v>
      </c>
      <c r="W788" s="14">
        <f t="shared" si="88"/>
        <v>4</v>
      </c>
      <c r="X788" s="14">
        <f t="shared" si="89"/>
        <v>4</v>
      </c>
      <c r="Y788" s="14">
        <f t="shared" si="90"/>
        <v>4</v>
      </c>
      <c r="Z788" s="14">
        <f t="shared" si="91"/>
        <v>3</v>
      </c>
      <c r="AA788" s="14">
        <f t="shared" si="92"/>
        <v>3</v>
      </c>
      <c r="AB788" s="14">
        <f t="shared" si="93"/>
        <v>3</v>
      </c>
      <c r="AC788" s="14">
        <f t="shared" si="94"/>
        <v>2</v>
      </c>
      <c r="AD788" s="14">
        <f t="shared" si="95"/>
        <v>10</v>
      </c>
    </row>
    <row r="789" spans="5:30">
      <c r="E789" s="6">
        <v>8.3800000000000008</v>
      </c>
      <c r="F789" s="8" t="s">
        <v>47</v>
      </c>
      <c r="G789" s="9">
        <v>7.5</v>
      </c>
      <c r="H789" s="23">
        <v>8</v>
      </c>
      <c r="I789" s="24"/>
      <c r="J789" s="22"/>
      <c r="K789" s="23">
        <v>9.5</v>
      </c>
      <c r="L789" s="22"/>
      <c r="M789" s="9">
        <v>8</v>
      </c>
      <c r="N789" s="9">
        <v>9.5</v>
      </c>
      <c r="O789" s="9">
        <v>6</v>
      </c>
      <c r="P789" s="9">
        <v>9.5</v>
      </c>
      <c r="Q789" s="23">
        <v>10</v>
      </c>
      <c r="R789" s="22"/>
      <c r="S789" s="8" t="s">
        <v>33</v>
      </c>
      <c r="U789" t="s">
        <v>33</v>
      </c>
      <c r="V789" t="s">
        <v>33</v>
      </c>
      <c r="W789" s="14">
        <f t="shared" si="88"/>
        <v>7.5</v>
      </c>
      <c r="X789" s="14">
        <f t="shared" si="89"/>
        <v>8</v>
      </c>
      <c r="Y789" s="14">
        <f t="shared" si="90"/>
        <v>9.5</v>
      </c>
      <c r="Z789" s="14">
        <f t="shared" si="91"/>
        <v>8</v>
      </c>
      <c r="AA789" s="14">
        <f t="shared" si="92"/>
        <v>9.5</v>
      </c>
      <c r="AB789" s="14">
        <f t="shared" si="93"/>
        <v>6</v>
      </c>
      <c r="AC789" s="14">
        <f t="shared" si="94"/>
        <v>9.5</v>
      </c>
      <c r="AD789" s="14">
        <f t="shared" si="95"/>
        <v>20</v>
      </c>
    </row>
    <row r="790" spans="5:30">
      <c r="E790" s="10">
        <v>8.25</v>
      </c>
      <c r="F790" s="8" t="s">
        <v>49</v>
      </c>
      <c r="G790" s="9">
        <v>30</v>
      </c>
      <c r="H790" s="23">
        <v>32</v>
      </c>
      <c r="I790" s="24"/>
      <c r="J790" s="22"/>
      <c r="K790" s="23">
        <v>38</v>
      </c>
      <c r="L790" s="22"/>
      <c r="M790" s="9">
        <v>24</v>
      </c>
      <c r="N790" s="9">
        <v>28.5</v>
      </c>
      <c r="O790" s="9">
        <v>18</v>
      </c>
      <c r="P790" s="9">
        <v>19</v>
      </c>
      <c r="Q790" s="23">
        <v>20</v>
      </c>
      <c r="R790" s="22"/>
      <c r="S790" s="8">
        <v>209.5</v>
      </c>
      <c r="U790">
        <v>0</v>
      </c>
      <c r="V790">
        <v>0</v>
      </c>
      <c r="W790" s="14">
        <f t="shared" si="88"/>
        <v>30</v>
      </c>
      <c r="X790" s="14">
        <f t="shared" si="89"/>
        <v>32</v>
      </c>
      <c r="Y790" s="14">
        <f t="shared" si="90"/>
        <v>38</v>
      </c>
      <c r="Z790" s="14">
        <f t="shared" si="91"/>
        <v>24</v>
      </c>
      <c r="AA790" s="14">
        <f t="shared" si="92"/>
        <v>28.5</v>
      </c>
      <c r="AB790" s="14">
        <f t="shared" si="93"/>
        <v>18</v>
      </c>
      <c r="AC790" s="14">
        <f t="shared" si="94"/>
        <v>19</v>
      </c>
      <c r="AD790" s="14">
        <f t="shared" si="95"/>
        <v>50</v>
      </c>
    </row>
    <row r="791" spans="5:30">
      <c r="E791" s="4"/>
      <c r="F791" s="8" t="s">
        <v>36</v>
      </c>
      <c r="G791" s="9">
        <v>73</v>
      </c>
      <c r="H791" s="23">
        <v>76</v>
      </c>
      <c r="I791" s="24"/>
      <c r="J791" s="22"/>
      <c r="K791" s="23">
        <v>93</v>
      </c>
      <c r="L791" s="22"/>
      <c r="M791" s="9">
        <v>77</v>
      </c>
      <c r="N791" s="9">
        <v>94</v>
      </c>
      <c r="O791" s="9">
        <v>58</v>
      </c>
      <c r="P791" s="9">
        <v>45</v>
      </c>
      <c r="Q791" s="23">
        <v>50</v>
      </c>
      <c r="R791" s="22"/>
      <c r="S791" s="8">
        <v>566</v>
      </c>
      <c r="U791">
        <v>0</v>
      </c>
      <c r="V791">
        <v>0</v>
      </c>
      <c r="W791" s="14">
        <f t="shared" si="88"/>
        <v>73</v>
      </c>
      <c r="X791" s="14">
        <f t="shared" si="89"/>
        <v>76</v>
      </c>
      <c r="Y791" s="14">
        <f t="shared" si="90"/>
        <v>93</v>
      </c>
      <c r="Z791" s="14">
        <f t="shared" si="91"/>
        <v>77</v>
      </c>
      <c r="AA791" s="14">
        <f t="shared" si="92"/>
        <v>94</v>
      </c>
      <c r="AB791" s="14">
        <f t="shared" si="93"/>
        <v>58</v>
      </c>
      <c r="AC791" s="14">
        <f t="shared" si="94"/>
        <v>45</v>
      </c>
      <c r="AD791" s="14">
        <f t="shared" si="95"/>
        <v>50</v>
      </c>
    </row>
    <row r="792" spans="5:30">
      <c r="E792" s="6"/>
      <c r="F792" s="8" t="s">
        <v>52</v>
      </c>
      <c r="G792" s="9">
        <v>100</v>
      </c>
      <c r="H792" s="23">
        <v>100</v>
      </c>
      <c r="I792" s="24"/>
      <c r="J792" s="22"/>
      <c r="K792" s="23">
        <v>100</v>
      </c>
      <c r="L792" s="22"/>
      <c r="M792" s="9">
        <v>100</v>
      </c>
      <c r="N792" s="9">
        <v>100</v>
      </c>
      <c r="O792" s="9">
        <v>100</v>
      </c>
      <c r="P792" s="9">
        <v>50</v>
      </c>
      <c r="Q792" s="23">
        <v>50</v>
      </c>
      <c r="R792" s="22"/>
      <c r="S792" s="8">
        <v>700</v>
      </c>
      <c r="U792" t="s">
        <v>31</v>
      </c>
      <c r="V792" t="s">
        <v>33</v>
      </c>
      <c r="W792" s="14">
        <f t="shared" si="88"/>
        <v>100</v>
      </c>
      <c r="X792" s="14">
        <f t="shared" si="89"/>
        <v>100</v>
      </c>
      <c r="Y792" s="14">
        <f t="shared" si="90"/>
        <v>100</v>
      </c>
      <c r="Z792" s="14">
        <f t="shared" si="91"/>
        <v>100</v>
      </c>
      <c r="AA792" s="14">
        <f t="shared" si="92"/>
        <v>100</v>
      </c>
      <c r="AB792" s="14">
        <f t="shared" si="93"/>
        <v>100</v>
      </c>
      <c r="AC792" s="14">
        <f t="shared" si="94"/>
        <v>50</v>
      </c>
      <c r="AD792" s="14" t="str">
        <f t="shared" si="95"/>
        <v>OO+</v>
      </c>
    </row>
    <row r="793" spans="5:30">
      <c r="E793" s="4"/>
      <c r="F793" s="8" t="s">
        <v>54</v>
      </c>
      <c r="G793" s="9" t="s">
        <v>108</v>
      </c>
      <c r="H793" s="23" t="s">
        <v>135</v>
      </c>
      <c r="I793" s="24"/>
      <c r="J793" s="22"/>
      <c r="K793" s="23" t="s">
        <v>94</v>
      </c>
      <c r="L793" s="22"/>
      <c r="M793" s="9" t="s">
        <v>135</v>
      </c>
      <c r="N793" s="9" t="s">
        <v>94</v>
      </c>
      <c r="O793" s="9" t="s">
        <v>147</v>
      </c>
      <c r="P793" s="9" t="s">
        <v>94</v>
      </c>
      <c r="Q793" s="23" t="s">
        <v>93</v>
      </c>
      <c r="R793" s="22"/>
      <c r="S793" s="8" t="s">
        <v>33</v>
      </c>
      <c r="U793" t="s">
        <v>538</v>
      </c>
      <c r="V793" t="s">
        <v>36</v>
      </c>
      <c r="W793" s="14" t="str">
        <f t="shared" si="88"/>
        <v>AA</v>
      </c>
      <c r="X793" s="14" t="str">
        <f t="shared" si="89"/>
        <v>AA+</v>
      </c>
      <c r="Y793" s="14" t="str">
        <f t="shared" si="90"/>
        <v>OO</v>
      </c>
      <c r="Z793" s="14" t="str">
        <f t="shared" si="91"/>
        <v>AA+</v>
      </c>
      <c r="AA793" s="14" t="str">
        <f t="shared" si="92"/>
        <v>OO</v>
      </c>
      <c r="AB793" s="14" t="str">
        <f t="shared" si="93"/>
        <v>BB+</v>
      </c>
      <c r="AC793" s="14" t="str">
        <f t="shared" si="94"/>
        <v>OO</v>
      </c>
      <c r="AD793" s="14" t="str">
        <f t="shared" si="95"/>
        <v>Pass</v>
      </c>
    </row>
    <row r="794" spans="5:30">
      <c r="E794" s="11" t="s">
        <v>537</v>
      </c>
      <c r="F794" s="8" t="s">
        <v>58</v>
      </c>
      <c r="G794" s="9" t="s">
        <v>59</v>
      </c>
      <c r="H794" s="23" t="s">
        <v>59</v>
      </c>
      <c r="I794" s="24"/>
      <c r="J794" s="22"/>
      <c r="K794" s="23" t="s">
        <v>59</v>
      </c>
      <c r="L794" s="22"/>
      <c r="M794" s="9" t="s">
        <v>59</v>
      </c>
      <c r="N794" s="9" t="s">
        <v>59</v>
      </c>
      <c r="O794" s="9" t="s">
        <v>59</v>
      </c>
      <c r="P794" s="9" t="s">
        <v>59</v>
      </c>
      <c r="Q794" s="23" t="s">
        <v>59</v>
      </c>
      <c r="R794" s="22"/>
      <c r="S794" s="8" t="s">
        <v>33</v>
      </c>
      <c r="U794" t="s">
        <v>37</v>
      </c>
      <c r="V794" t="s">
        <v>33</v>
      </c>
      <c r="W794" s="14" t="str">
        <f t="shared" si="88"/>
        <v>Pass</v>
      </c>
      <c r="X794" s="14" t="str">
        <f t="shared" si="89"/>
        <v>Pass</v>
      </c>
      <c r="Y794" s="14" t="str">
        <f t="shared" si="90"/>
        <v>Pass</v>
      </c>
      <c r="Z794" s="14" t="str">
        <f t="shared" si="91"/>
        <v>Pass</v>
      </c>
      <c r="AA794" s="14" t="str">
        <f t="shared" si="92"/>
        <v>Pass</v>
      </c>
      <c r="AB794" s="14" t="str">
        <f t="shared" si="93"/>
        <v>Pass</v>
      </c>
      <c r="AC794" s="14" t="str">
        <f t="shared" si="94"/>
        <v>Pass</v>
      </c>
      <c r="AD794" s="14" t="str">
        <f t="shared" si="95"/>
        <v/>
      </c>
    </row>
    <row r="795" spans="5:30">
      <c r="E795" s="12" t="s">
        <v>33</v>
      </c>
      <c r="F795" s="12" t="s">
        <v>33</v>
      </c>
      <c r="G795" s="13" t="s">
        <v>33</v>
      </c>
      <c r="H795" s="20" t="s">
        <v>33</v>
      </c>
      <c r="I795" s="18"/>
      <c r="J795" s="18"/>
      <c r="K795" s="20" t="s">
        <v>33</v>
      </c>
      <c r="L795" s="18"/>
      <c r="M795" s="13" t="s">
        <v>33</v>
      </c>
      <c r="N795" s="13" t="s">
        <v>33</v>
      </c>
      <c r="O795" s="13" t="s">
        <v>33</v>
      </c>
      <c r="P795" s="13" t="s">
        <v>33</v>
      </c>
      <c r="Q795" s="20" t="s">
        <v>33</v>
      </c>
      <c r="R795" s="18"/>
      <c r="S795" s="13" t="s">
        <v>33</v>
      </c>
      <c r="U795" t="s">
        <v>542</v>
      </c>
      <c r="V795" t="s">
        <v>33</v>
      </c>
      <c r="W795" s="14" t="str">
        <f t="shared" si="88"/>
        <v/>
      </c>
      <c r="X795" s="14" t="str">
        <f t="shared" si="89"/>
        <v/>
      </c>
      <c r="Y795" s="14" t="str">
        <f t="shared" si="90"/>
        <v/>
      </c>
      <c r="Z795" s="14" t="str">
        <f t="shared" si="91"/>
        <v/>
      </c>
      <c r="AA795" s="14" t="str">
        <f t="shared" si="92"/>
        <v/>
      </c>
      <c r="AB795" s="14" t="str">
        <f t="shared" si="93"/>
        <v/>
      </c>
      <c r="AC795" s="14" t="str">
        <f t="shared" si="94"/>
        <v/>
      </c>
      <c r="AD795" s="14">
        <f t="shared" si="95"/>
        <v>0</v>
      </c>
    </row>
    <row r="796" spans="5:30" ht="0" hidden="1" customHeight="1">
      <c r="U796">
        <v>0</v>
      </c>
      <c r="V796">
        <v>0</v>
      </c>
      <c r="W796" s="14">
        <f t="shared" si="88"/>
        <v>0</v>
      </c>
      <c r="X796" s="14">
        <f t="shared" si="89"/>
        <v>0</v>
      </c>
      <c r="Y796" s="14">
        <f t="shared" si="90"/>
        <v>0</v>
      </c>
      <c r="Z796" s="14">
        <f t="shared" si="91"/>
        <v>0</v>
      </c>
      <c r="AA796" s="14">
        <f t="shared" si="92"/>
        <v>0</v>
      </c>
      <c r="AB796" s="14">
        <f t="shared" si="93"/>
        <v>0</v>
      </c>
      <c r="AC796" s="14">
        <f t="shared" si="94"/>
        <v>0</v>
      </c>
      <c r="AD796" s="14">
        <f t="shared" si="95"/>
        <v>0</v>
      </c>
    </row>
    <row r="797" spans="5:30" ht="0.6" customHeight="1">
      <c r="U797">
        <v>0</v>
      </c>
      <c r="V797">
        <v>25</v>
      </c>
      <c r="W797" s="14">
        <f t="shared" si="88"/>
        <v>0</v>
      </c>
      <c r="X797" s="14">
        <f t="shared" si="89"/>
        <v>0</v>
      </c>
      <c r="Y797" s="14">
        <f t="shared" si="90"/>
        <v>0</v>
      </c>
      <c r="Z797" s="14">
        <f t="shared" si="91"/>
        <v>0</v>
      </c>
      <c r="AA797" s="14">
        <f t="shared" si="92"/>
        <v>0</v>
      </c>
      <c r="AB797" s="14">
        <f t="shared" si="93"/>
        <v>0</v>
      </c>
      <c r="AC797" s="14">
        <f t="shared" si="94"/>
        <v>0</v>
      </c>
      <c r="AD797" s="14" t="str">
        <f t="shared" si="95"/>
        <v/>
      </c>
    </row>
    <row r="798" spans="5:30">
      <c r="E798" s="4"/>
      <c r="F798" s="3" t="s">
        <v>32</v>
      </c>
      <c r="G798" s="5" t="s">
        <v>33</v>
      </c>
      <c r="H798" s="32" t="s">
        <v>33</v>
      </c>
      <c r="I798" s="18"/>
      <c r="J798" s="18"/>
      <c r="K798" s="32" t="s">
        <v>33</v>
      </c>
      <c r="L798" s="18"/>
      <c r="M798" s="5" t="s">
        <v>33</v>
      </c>
      <c r="N798" s="5" t="s">
        <v>33</v>
      </c>
      <c r="O798" s="5" t="s">
        <v>33</v>
      </c>
      <c r="P798" s="5" t="s">
        <v>33</v>
      </c>
      <c r="Q798" s="32" t="s">
        <v>33</v>
      </c>
      <c r="R798" s="18"/>
      <c r="S798" s="5" t="s">
        <v>33</v>
      </c>
      <c r="U798" t="s">
        <v>46</v>
      </c>
      <c r="V798" t="s">
        <v>33</v>
      </c>
      <c r="W798" s="14" t="str">
        <f t="shared" si="88"/>
        <v/>
      </c>
      <c r="X798" s="14" t="str">
        <f t="shared" si="89"/>
        <v/>
      </c>
      <c r="Y798" s="14" t="str">
        <f t="shared" si="90"/>
        <v/>
      </c>
      <c r="Z798" s="14" t="str">
        <f t="shared" si="91"/>
        <v/>
      </c>
      <c r="AA798" s="14" t="str">
        <f t="shared" si="92"/>
        <v/>
      </c>
      <c r="AB798" s="14" t="str">
        <f t="shared" si="93"/>
        <v/>
      </c>
      <c r="AC798" s="14" t="str">
        <f t="shared" si="94"/>
        <v/>
      </c>
      <c r="AD798" s="14" t="str">
        <f t="shared" si="95"/>
        <v>COMFISN301</v>
      </c>
    </row>
    <row r="799" spans="5:30" ht="21">
      <c r="E799" s="4"/>
      <c r="F799" s="7" t="s">
        <v>35</v>
      </c>
      <c r="G799" s="7" t="s">
        <v>5</v>
      </c>
      <c r="H799" s="30" t="s">
        <v>7</v>
      </c>
      <c r="I799" s="24"/>
      <c r="J799" s="22"/>
      <c r="K799" s="30" t="s">
        <v>9</v>
      </c>
      <c r="L799" s="22"/>
      <c r="M799" s="7" t="s">
        <v>11</v>
      </c>
      <c r="N799" s="7" t="s">
        <v>15</v>
      </c>
      <c r="O799" s="7" t="s">
        <v>17</v>
      </c>
      <c r="P799" s="7" t="s">
        <v>19</v>
      </c>
      <c r="Q799" s="30" t="s">
        <v>21</v>
      </c>
      <c r="R799" s="22"/>
      <c r="S799" s="7" t="s">
        <v>36</v>
      </c>
      <c r="U799" t="s">
        <v>48</v>
      </c>
      <c r="V799">
        <v>202.5</v>
      </c>
      <c r="W799" s="14" t="str">
        <f t="shared" si="88"/>
        <v>BBABMCN301</v>
      </c>
      <c r="X799" s="14" t="str">
        <f t="shared" si="89"/>
        <v>BBABMCN302</v>
      </c>
      <c r="Y799" s="14" t="str">
        <f t="shared" si="90"/>
        <v>BBABMCN303</v>
      </c>
      <c r="Z799" s="14" t="str">
        <f t="shared" si="91"/>
        <v>BBAENLN301</v>
      </c>
      <c r="AA799" s="14" t="str">
        <f t="shared" si="92"/>
        <v>BBAKALN302</v>
      </c>
      <c r="AB799" s="14" t="str">
        <f t="shared" si="93"/>
        <v>BCACAEN302</v>
      </c>
      <c r="AC799" s="14" t="str">
        <f t="shared" si="94"/>
        <v>COMCUSN302</v>
      </c>
      <c r="AD799" s="14" t="str">
        <f t="shared" si="95"/>
        <v>29.00 + 16.00</v>
      </c>
    </row>
    <row r="800" spans="5:30" ht="22.5">
      <c r="E800" s="6" t="s">
        <v>539</v>
      </c>
      <c r="F800" s="8" t="s">
        <v>39</v>
      </c>
      <c r="G800" s="9" t="s">
        <v>151</v>
      </c>
      <c r="H800" s="23" t="s">
        <v>117</v>
      </c>
      <c r="I800" s="24"/>
      <c r="J800" s="22"/>
      <c r="K800" s="23" t="s">
        <v>235</v>
      </c>
      <c r="L800" s="22"/>
      <c r="M800" s="9" t="s">
        <v>540</v>
      </c>
      <c r="N800" s="9" t="s">
        <v>153</v>
      </c>
      <c r="O800" s="9" t="s">
        <v>541</v>
      </c>
      <c r="P800" s="9" t="s">
        <v>43</v>
      </c>
      <c r="Q800" s="23" t="s">
        <v>467</v>
      </c>
      <c r="R800" s="22"/>
      <c r="S800" s="8" t="s">
        <v>33</v>
      </c>
      <c r="U800" t="s">
        <v>50</v>
      </c>
      <c r="V800">
        <v>544</v>
      </c>
      <c r="W800" s="14" t="str">
        <f t="shared" si="88"/>
        <v>45.00 + 28.00</v>
      </c>
      <c r="X800" s="14" t="str">
        <f t="shared" si="89"/>
        <v>50.00 + 32.00</v>
      </c>
      <c r="Y800" s="14" t="str">
        <f t="shared" si="90"/>
        <v>44.00 + 36.00</v>
      </c>
      <c r="Z800" s="14" t="str">
        <f t="shared" si="91"/>
        <v>40.00 + 29.00</v>
      </c>
      <c r="AA800" s="14" t="str">
        <f t="shared" si="92"/>
        <v>54.00 + 34.00</v>
      </c>
      <c r="AB800" s="14" t="str">
        <f t="shared" si="93"/>
        <v>46.00 + 26.00</v>
      </c>
      <c r="AC800" s="14" t="str">
        <f t="shared" si="94"/>
        <v xml:space="preserve"> - - + - - </v>
      </c>
      <c r="AD800" s="14" t="str">
        <f t="shared" si="95"/>
        <v xml:space="preserve"> - - + - - </v>
      </c>
    </row>
    <row r="801" spans="5:30">
      <c r="E801" s="25"/>
      <c r="F801" s="8" t="s">
        <v>42</v>
      </c>
      <c r="G801" s="9" t="s">
        <v>43</v>
      </c>
      <c r="H801" s="23" t="s">
        <v>43</v>
      </c>
      <c r="I801" s="24"/>
      <c r="J801" s="22"/>
      <c r="K801" s="23" t="s">
        <v>43</v>
      </c>
      <c r="L801" s="22"/>
      <c r="M801" s="9" t="s">
        <v>43</v>
      </c>
      <c r="N801" s="9" t="s">
        <v>43</v>
      </c>
      <c r="O801" s="9" t="s">
        <v>43</v>
      </c>
      <c r="P801" s="9" t="s">
        <v>403</v>
      </c>
      <c r="Q801" s="23" t="s">
        <v>43</v>
      </c>
      <c r="R801" s="22"/>
      <c r="S801" s="8" t="s">
        <v>33</v>
      </c>
      <c r="U801" t="s">
        <v>51</v>
      </c>
      <c r="V801">
        <v>700</v>
      </c>
      <c r="W801" s="14" t="str">
        <f t="shared" si="88"/>
        <v xml:space="preserve"> - - + - - </v>
      </c>
      <c r="X801" s="14" t="str">
        <f t="shared" si="89"/>
        <v xml:space="preserve"> - - + - - </v>
      </c>
      <c r="Y801" s="14" t="str">
        <f t="shared" si="90"/>
        <v xml:space="preserve"> - - + - - </v>
      </c>
      <c r="Z801" s="14" t="str">
        <f t="shared" si="91"/>
        <v xml:space="preserve"> - - + - - </v>
      </c>
      <c r="AA801" s="14" t="str">
        <f t="shared" si="92"/>
        <v xml:space="preserve"> - - + - - </v>
      </c>
      <c r="AB801" s="14" t="str">
        <f t="shared" si="93"/>
        <v xml:space="preserve"> - - + - - </v>
      </c>
      <c r="AC801" s="14" t="str">
        <f t="shared" si="94"/>
        <v xml:space="preserve"> - - +35.00</v>
      </c>
      <c r="AD801" s="14" t="str">
        <f t="shared" si="95"/>
        <v/>
      </c>
    </row>
    <row r="802" spans="5:30">
      <c r="E802" s="27"/>
      <c r="F802" s="8" t="s">
        <v>44</v>
      </c>
      <c r="G802" s="9" t="s">
        <v>33</v>
      </c>
      <c r="H802" s="23" t="s">
        <v>33</v>
      </c>
      <c r="I802" s="24"/>
      <c r="J802" s="22"/>
      <c r="K802" s="23" t="s">
        <v>33</v>
      </c>
      <c r="L802" s="22"/>
      <c r="M802" s="9" t="s">
        <v>33</v>
      </c>
      <c r="N802" s="9" t="s">
        <v>33</v>
      </c>
      <c r="O802" s="9" t="s">
        <v>33</v>
      </c>
      <c r="P802" s="9" t="s">
        <v>33</v>
      </c>
      <c r="Q802" s="23" t="s">
        <v>33</v>
      </c>
      <c r="R802" s="22"/>
      <c r="S802" s="8">
        <v>0</v>
      </c>
      <c r="U802" t="s">
        <v>159</v>
      </c>
      <c r="V802" t="s">
        <v>33</v>
      </c>
      <c r="W802" s="14" t="str">
        <f t="shared" si="88"/>
        <v/>
      </c>
      <c r="X802" s="14" t="str">
        <f t="shared" si="89"/>
        <v/>
      </c>
      <c r="Y802" s="14" t="str">
        <f t="shared" si="90"/>
        <v/>
      </c>
      <c r="Z802" s="14" t="str">
        <f t="shared" si="91"/>
        <v/>
      </c>
      <c r="AA802" s="14" t="str">
        <f t="shared" si="92"/>
        <v/>
      </c>
      <c r="AB802" s="14" t="str">
        <f t="shared" si="93"/>
        <v/>
      </c>
      <c r="AC802" s="14" t="str">
        <f t="shared" si="94"/>
        <v/>
      </c>
      <c r="AD802" s="14">
        <f t="shared" si="95"/>
        <v>2</v>
      </c>
    </row>
    <row r="803" spans="5:30">
      <c r="E803" s="29"/>
      <c r="F803" s="8" t="s">
        <v>45</v>
      </c>
      <c r="G803" s="9">
        <v>4</v>
      </c>
      <c r="H803" s="23">
        <v>4</v>
      </c>
      <c r="I803" s="24"/>
      <c r="J803" s="22"/>
      <c r="K803" s="23">
        <v>4</v>
      </c>
      <c r="L803" s="22"/>
      <c r="M803" s="9">
        <v>3</v>
      </c>
      <c r="N803" s="9">
        <v>3</v>
      </c>
      <c r="O803" s="9">
        <v>3</v>
      </c>
      <c r="P803" s="9">
        <v>2</v>
      </c>
      <c r="Q803" s="23">
        <v>2</v>
      </c>
      <c r="R803" s="22"/>
      <c r="S803" s="8">
        <v>25</v>
      </c>
      <c r="U803" t="s">
        <v>56</v>
      </c>
      <c r="V803" t="s">
        <v>33</v>
      </c>
      <c r="W803" s="14">
        <f t="shared" si="88"/>
        <v>4</v>
      </c>
      <c r="X803" s="14">
        <f t="shared" si="89"/>
        <v>4</v>
      </c>
      <c r="Y803" s="14">
        <f t="shared" si="90"/>
        <v>4</v>
      </c>
      <c r="Z803" s="14">
        <f t="shared" si="91"/>
        <v>3</v>
      </c>
      <c r="AA803" s="14">
        <f t="shared" si="92"/>
        <v>3</v>
      </c>
      <c r="AB803" s="14">
        <f t="shared" si="93"/>
        <v>3</v>
      </c>
      <c r="AC803" s="14">
        <f t="shared" si="94"/>
        <v>2</v>
      </c>
      <c r="AD803" s="14">
        <f t="shared" si="95"/>
        <v>9.5</v>
      </c>
    </row>
    <row r="804" spans="5:30">
      <c r="E804" s="6">
        <v>8.1</v>
      </c>
      <c r="F804" s="8" t="s">
        <v>47</v>
      </c>
      <c r="G804" s="9">
        <v>7.5</v>
      </c>
      <c r="H804" s="23">
        <v>8.5</v>
      </c>
      <c r="I804" s="24"/>
      <c r="J804" s="22"/>
      <c r="K804" s="23">
        <v>8.5</v>
      </c>
      <c r="L804" s="22"/>
      <c r="M804" s="9">
        <v>7</v>
      </c>
      <c r="N804" s="9">
        <v>9</v>
      </c>
      <c r="O804" s="9">
        <v>7.5</v>
      </c>
      <c r="P804" s="9">
        <v>7.5</v>
      </c>
      <c r="Q804" s="23">
        <v>9.5</v>
      </c>
      <c r="R804" s="22"/>
      <c r="S804" s="8" t="s">
        <v>33</v>
      </c>
      <c r="U804" t="s">
        <v>33</v>
      </c>
      <c r="V804" t="s">
        <v>33</v>
      </c>
      <c r="W804" s="14">
        <f t="shared" si="88"/>
        <v>7.5</v>
      </c>
      <c r="X804" s="14">
        <f t="shared" si="89"/>
        <v>8.5</v>
      </c>
      <c r="Y804" s="14">
        <f t="shared" si="90"/>
        <v>8.5</v>
      </c>
      <c r="Z804" s="14">
        <f t="shared" si="91"/>
        <v>7</v>
      </c>
      <c r="AA804" s="14">
        <f t="shared" si="92"/>
        <v>9</v>
      </c>
      <c r="AB804" s="14">
        <f t="shared" si="93"/>
        <v>7.5</v>
      </c>
      <c r="AC804" s="14">
        <f t="shared" si="94"/>
        <v>7.5</v>
      </c>
      <c r="AD804" s="14">
        <f t="shared" si="95"/>
        <v>19</v>
      </c>
    </row>
    <row r="805" spans="5:30">
      <c r="E805" s="10">
        <v>8.09</v>
      </c>
      <c r="F805" s="8" t="s">
        <v>49</v>
      </c>
      <c r="G805" s="9">
        <v>30</v>
      </c>
      <c r="H805" s="23">
        <v>34</v>
      </c>
      <c r="I805" s="24"/>
      <c r="J805" s="22"/>
      <c r="K805" s="23">
        <v>34</v>
      </c>
      <c r="L805" s="22"/>
      <c r="M805" s="9">
        <v>21</v>
      </c>
      <c r="N805" s="9">
        <v>27</v>
      </c>
      <c r="O805" s="9">
        <v>22.5</v>
      </c>
      <c r="P805" s="9">
        <v>15</v>
      </c>
      <c r="Q805" s="23">
        <v>19</v>
      </c>
      <c r="R805" s="22"/>
      <c r="S805" s="8">
        <v>202.5</v>
      </c>
      <c r="U805">
        <v>0</v>
      </c>
      <c r="V805">
        <v>0</v>
      </c>
      <c r="W805" s="14">
        <f t="shared" si="88"/>
        <v>30</v>
      </c>
      <c r="X805" s="14">
        <f t="shared" si="89"/>
        <v>34</v>
      </c>
      <c r="Y805" s="14">
        <f t="shared" si="90"/>
        <v>34</v>
      </c>
      <c r="Z805" s="14">
        <f t="shared" si="91"/>
        <v>21</v>
      </c>
      <c r="AA805" s="14">
        <f t="shared" si="92"/>
        <v>27</v>
      </c>
      <c r="AB805" s="14">
        <f t="shared" si="93"/>
        <v>22.5</v>
      </c>
      <c r="AC805" s="14">
        <f t="shared" si="94"/>
        <v>15</v>
      </c>
      <c r="AD805" s="14">
        <f t="shared" si="95"/>
        <v>45</v>
      </c>
    </row>
    <row r="806" spans="5:30">
      <c r="E806" s="4"/>
      <c r="F806" s="8" t="s">
        <v>36</v>
      </c>
      <c r="G806" s="9">
        <v>73</v>
      </c>
      <c r="H806" s="23">
        <v>82</v>
      </c>
      <c r="I806" s="24"/>
      <c r="J806" s="22"/>
      <c r="K806" s="23">
        <v>80</v>
      </c>
      <c r="L806" s="22"/>
      <c r="M806" s="9">
        <v>69</v>
      </c>
      <c r="N806" s="9">
        <v>88</v>
      </c>
      <c r="O806" s="9">
        <v>72</v>
      </c>
      <c r="P806" s="9">
        <v>35</v>
      </c>
      <c r="Q806" s="23">
        <v>45</v>
      </c>
      <c r="R806" s="22"/>
      <c r="S806" s="8">
        <v>544</v>
      </c>
      <c r="U806">
        <v>0</v>
      </c>
      <c r="V806">
        <v>0</v>
      </c>
      <c r="W806" s="14">
        <f t="shared" si="88"/>
        <v>73</v>
      </c>
      <c r="X806" s="14">
        <f t="shared" si="89"/>
        <v>82</v>
      </c>
      <c r="Y806" s="14">
        <f t="shared" si="90"/>
        <v>80</v>
      </c>
      <c r="Z806" s="14">
        <f t="shared" si="91"/>
        <v>69</v>
      </c>
      <c r="AA806" s="14">
        <f t="shared" si="92"/>
        <v>88</v>
      </c>
      <c r="AB806" s="14">
        <f t="shared" si="93"/>
        <v>72</v>
      </c>
      <c r="AC806" s="14">
        <f t="shared" si="94"/>
        <v>35</v>
      </c>
      <c r="AD806" s="14">
        <f t="shared" si="95"/>
        <v>50</v>
      </c>
    </row>
    <row r="807" spans="5:30">
      <c r="E807" s="6"/>
      <c r="F807" s="8" t="s">
        <v>52</v>
      </c>
      <c r="G807" s="9">
        <v>100</v>
      </c>
      <c r="H807" s="23">
        <v>100</v>
      </c>
      <c r="I807" s="24"/>
      <c r="J807" s="22"/>
      <c r="K807" s="23">
        <v>100</v>
      </c>
      <c r="L807" s="22"/>
      <c r="M807" s="9">
        <v>100</v>
      </c>
      <c r="N807" s="9">
        <v>100</v>
      </c>
      <c r="O807" s="9">
        <v>100</v>
      </c>
      <c r="P807" s="9">
        <v>50</v>
      </c>
      <c r="Q807" s="23">
        <v>50</v>
      </c>
      <c r="R807" s="22"/>
      <c r="S807" s="8">
        <v>700</v>
      </c>
      <c r="U807" t="s">
        <v>31</v>
      </c>
      <c r="V807" t="s">
        <v>33</v>
      </c>
      <c r="W807" s="14">
        <f t="shared" si="88"/>
        <v>100</v>
      </c>
      <c r="X807" s="14">
        <f t="shared" si="89"/>
        <v>100</v>
      </c>
      <c r="Y807" s="14">
        <f t="shared" si="90"/>
        <v>100</v>
      </c>
      <c r="Z807" s="14">
        <f t="shared" si="91"/>
        <v>100</v>
      </c>
      <c r="AA807" s="14">
        <f t="shared" si="92"/>
        <v>100</v>
      </c>
      <c r="AB807" s="14">
        <f t="shared" si="93"/>
        <v>100</v>
      </c>
      <c r="AC807" s="14">
        <f t="shared" si="94"/>
        <v>50</v>
      </c>
      <c r="AD807" s="14" t="str">
        <f t="shared" si="95"/>
        <v>OO</v>
      </c>
    </row>
    <row r="808" spans="5:30">
      <c r="E808" s="4"/>
      <c r="F808" s="8" t="s">
        <v>54</v>
      </c>
      <c r="G808" s="9" t="s">
        <v>108</v>
      </c>
      <c r="H808" s="23" t="s">
        <v>95</v>
      </c>
      <c r="I808" s="24"/>
      <c r="J808" s="22"/>
      <c r="K808" s="23" t="s">
        <v>95</v>
      </c>
      <c r="L808" s="22"/>
      <c r="M808" s="9" t="s">
        <v>109</v>
      </c>
      <c r="N808" s="9" t="s">
        <v>122</v>
      </c>
      <c r="O808" s="9" t="s">
        <v>108</v>
      </c>
      <c r="P808" s="9" t="s">
        <v>108</v>
      </c>
      <c r="Q808" s="23" t="s">
        <v>94</v>
      </c>
      <c r="R808" s="22"/>
      <c r="S808" s="8" t="s">
        <v>33</v>
      </c>
      <c r="U808" t="s">
        <v>544</v>
      </c>
      <c r="V808" t="s">
        <v>36</v>
      </c>
      <c r="W808" s="14" t="str">
        <f t="shared" si="88"/>
        <v>AA</v>
      </c>
      <c r="X808" s="14" t="str">
        <f t="shared" si="89"/>
        <v>OA</v>
      </c>
      <c r="Y808" s="14" t="str">
        <f t="shared" si="90"/>
        <v>OA</v>
      </c>
      <c r="Z808" s="14" t="str">
        <f t="shared" si="91"/>
        <v>AB+</v>
      </c>
      <c r="AA808" s="14" t="str">
        <f t="shared" si="92"/>
        <v>OA+</v>
      </c>
      <c r="AB808" s="14" t="str">
        <f t="shared" si="93"/>
        <v>AA</v>
      </c>
      <c r="AC808" s="14" t="str">
        <f t="shared" si="94"/>
        <v>AA</v>
      </c>
      <c r="AD808" s="14" t="str">
        <f t="shared" si="95"/>
        <v>Pass</v>
      </c>
    </row>
    <row r="809" spans="5:30">
      <c r="E809" s="11" t="s">
        <v>543</v>
      </c>
      <c r="F809" s="8" t="s">
        <v>58</v>
      </c>
      <c r="G809" s="9" t="s">
        <v>59</v>
      </c>
      <c r="H809" s="23" t="s">
        <v>59</v>
      </c>
      <c r="I809" s="24"/>
      <c r="J809" s="22"/>
      <c r="K809" s="23" t="s">
        <v>59</v>
      </c>
      <c r="L809" s="22"/>
      <c r="M809" s="9" t="s">
        <v>59</v>
      </c>
      <c r="N809" s="9" t="s">
        <v>59</v>
      </c>
      <c r="O809" s="9" t="s">
        <v>59</v>
      </c>
      <c r="P809" s="9" t="s">
        <v>59</v>
      </c>
      <c r="Q809" s="23" t="s">
        <v>59</v>
      </c>
      <c r="R809" s="22"/>
      <c r="S809" s="8" t="s">
        <v>33</v>
      </c>
      <c r="U809" t="s">
        <v>37</v>
      </c>
      <c r="V809" t="s">
        <v>33</v>
      </c>
      <c r="W809" s="14" t="str">
        <f t="shared" si="88"/>
        <v>Pass</v>
      </c>
      <c r="X809" s="14" t="str">
        <f t="shared" si="89"/>
        <v>Pass</v>
      </c>
      <c r="Y809" s="14" t="str">
        <f t="shared" si="90"/>
        <v>Pass</v>
      </c>
      <c r="Z809" s="14" t="str">
        <f t="shared" si="91"/>
        <v>Pass</v>
      </c>
      <c r="AA809" s="14" t="str">
        <f t="shared" si="92"/>
        <v>Pass</v>
      </c>
      <c r="AB809" s="14" t="str">
        <f t="shared" si="93"/>
        <v>Pass</v>
      </c>
      <c r="AC809" s="14" t="str">
        <f t="shared" si="94"/>
        <v>Pass</v>
      </c>
      <c r="AD809" s="14" t="str">
        <f t="shared" si="95"/>
        <v/>
      </c>
    </row>
    <row r="810" spans="5:30">
      <c r="E810" s="12" t="s">
        <v>33</v>
      </c>
      <c r="F810" s="12" t="s">
        <v>33</v>
      </c>
      <c r="G810" s="13" t="s">
        <v>33</v>
      </c>
      <c r="H810" s="20" t="s">
        <v>33</v>
      </c>
      <c r="I810" s="18"/>
      <c r="J810" s="18"/>
      <c r="K810" s="20" t="s">
        <v>33</v>
      </c>
      <c r="L810" s="18"/>
      <c r="M810" s="13" t="s">
        <v>33</v>
      </c>
      <c r="N810" s="13" t="s">
        <v>33</v>
      </c>
      <c r="O810" s="13" t="s">
        <v>33</v>
      </c>
      <c r="P810" s="13" t="s">
        <v>33</v>
      </c>
      <c r="Q810" s="20" t="s">
        <v>33</v>
      </c>
      <c r="R810" s="18"/>
      <c r="S810" s="13" t="s">
        <v>33</v>
      </c>
      <c r="U810" t="s">
        <v>549</v>
      </c>
      <c r="V810" t="s">
        <v>33</v>
      </c>
      <c r="W810" s="14" t="str">
        <f t="shared" si="88"/>
        <v/>
      </c>
      <c r="X810" s="14" t="str">
        <f t="shared" si="89"/>
        <v/>
      </c>
      <c r="Y810" s="14" t="str">
        <f t="shared" si="90"/>
        <v/>
      </c>
      <c r="Z810" s="14" t="str">
        <f t="shared" si="91"/>
        <v/>
      </c>
      <c r="AA810" s="14" t="str">
        <f t="shared" si="92"/>
        <v/>
      </c>
      <c r="AB810" s="14" t="str">
        <f t="shared" si="93"/>
        <v/>
      </c>
      <c r="AC810" s="14" t="str">
        <f t="shared" si="94"/>
        <v/>
      </c>
      <c r="AD810" s="14">
        <f t="shared" si="95"/>
        <v>0</v>
      </c>
    </row>
    <row r="811" spans="5:30" ht="0" hidden="1" customHeight="1">
      <c r="U811">
        <v>0</v>
      </c>
      <c r="V811">
        <v>0</v>
      </c>
      <c r="W811" s="14">
        <f t="shared" si="88"/>
        <v>0</v>
      </c>
      <c r="X811" s="14">
        <f t="shared" si="89"/>
        <v>0</v>
      </c>
      <c r="Y811" s="14">
        <f t="shared" si="90"/>
        <v>0</v>
      </c>
      <c r="Z811" s="14">
        <f t="shared" si="91"/>
        <v>0</v>
      </c>
      <c r="AA811" s="14">
        <f t="shared" si="92"/>
        <v>0</v>
      </c>
      <c r="AB811" s="14">
        <f t="shared" si="93"/>
        <v>0</v>
      </c>
      <c r="AC811" s="14">
        <f t="shared" si="94"/>
        <v>0</v>
      </c>
      <c r="AD811" s="14">
        <f t="shared" si="95"/>
        <v>0</v>
      </c>
    </row>
    <row r="812" spans="5:30" ht="0.6" customHeight="1">
      <c r="U812">
        <v>0</v>
      </c>
      <c r="V812">
        <v>25</v>
      </c>
      <c r="W812" s="14">
        <f t="shared" si="88"/>
        <v>0</v>
      </c>
      <c r="X812" s="14">
        <f t="shared" si="89"/>
        <v>0</v>
      </c>
      <c r="Y812" s="14">
        <f t="shared" si="90"/>
        <v>0</v>
      </c>
      <c r="Z812" s="14">
        <f t="shared" si="91"/>
        <v>0</v>
      </c>
      <c r="AA812" s="14">
        <f t="shared" si="92"/>
        <v>0</v>
      </c>
      <c r="AB812" s="14">
        <f t="shared" si="93"/>
        <v>0</v>
      </c>
      <c r="AC812" s="14">
        <f t="shared" si="94"/>
        <v>0</v>
      </c>
      <c r="AD812" s="14" t="str">
        <f t="shared" si="95"/>
        <v/>
      </c>
    </row>
    <row r="813" spans="5:30">
      <c r="E813" s="4"/>
      <c r="F813" s="3" t="s">
        <v>32</v>
      </c>
      <c r="G813" s="5" t="s">
        <v>33</v>
      </c>
      <c r="H813" s="32" t="s">
        <v>33</v>
      </c>
      <c r="I813" s="18"/>
      <c r="J813" s="18"/>
      <c r="K813" s="32" t="s">
        <v>33</v>
      </c>
      <c r="L813" s="18"/>
      <c r="M813" s="5" t="s">
        <v>33</v>
      </c>
      <c r="N813" s="5" t="s">
        <v>33</v>
      </c>
      <c r="O813" s="5" t="s">
        <v>33</v>
      </c>
      <c r="P813" s="5" t="s">
        <v>33</v>
      </c>
      <c r="Q813" s="32" t="s">
        <v>33</v>
      </c>
      <c r="R813" s="18"/>
      <c r="S813" s="5" t="s">
        <v>33</v>
      </c>
      <c r="U813" t="s">
        <v>46</v>
      </c>
      <c r="V813" t="s">
        <v>33</v>
      </c>
      <c r="W813" s="14" t="str">
        <f t="shared" si="88"/>
        <v/>
      </c>
      <c r="X813" s="14" t="str">
        <f t="shared" si="89"/>
        <v/>
      </c>
      <c r="Y813" s="14" t="str">
        <f t="shared" si="90"/>
        <v/>
      </c>
      <c r="Z813" s="14" t="str">
        <f t="shared" si="91"/>
        <v/>
      </c>
      <c r="AA813" s="14" t="str">
        <f t="shared" si="92"/>
        <v/>
      </c>
      <c r="AB813" s="14" t="str">
        <f t="shared" si="93"/>
        <v/>
      </c>
      <c r="AC813" s="14" t="str">
        <f t="shared" si="94"/>
        <v/>
      </c>
      <c r="AD813" s="14" t="str">
        <f t="shared" si="95"/>
        <v>COMRRSN302</v>
      </c>
    </row>
    <row r="814" spans="5:30" ht="21">
      <c r="E814" s="4"/>
      <c r="F814" s="7" t="s">
        <v>35</v>
      </c>
      <c r="G814" s="7" t="s">
        <v>5</v>
      </c>
      <c r="H814" s="30" t="s">
        <v>7</v>
      </c>
      <c r="I814" s="24"/>
      <c r="J814" s="22"/>
      <c r="K814" s="30" t="s">
        <v>9</v>
      </c>
      <c r="L814" s="22"/>
      <c r="M814" s="7" t="s">
        <v>11</v>
      </c>
      <c r="N814" s="7" t="s">
        <v>15</v>
      </c>
      <c r="O814" s="7" t="s">
        <v>17</v>
      </c>
      <c r="P814" s="7" t="s">
        <v>21</v>
      </c>
      <c r="Q814" s="30" t="s">
        <v>27</v>
      </c>
      <c r="R814" s="22"/>
      <c r="S814" s="7" t="s">
        <v>36</v>
      </c>
      <c r="U814" t="s">
        <v>48</v>
      </c>
      <c r="V814">
        <v>198.5</v>
      </c>
      <c r="W814" s="14" t="str">
        <f t="shared" si="88"/>
        <v>BBABMCN301</v>
      </c>
      <c r="X814" s="14" t="str">
        <f t="shared" si="89"/>
        <v>BBABMCN302</v>
      </c>
      <c r="Y814" s="14" t="str">
        <f t="shared" si="90"/>
        <v>BBABMCN303</v>
      </c>
      <c r="Z814" s="14" t="str">
        <f t="shared" si="91"/>
        <v>BBAENLN301</v>
      </c>
      <c r="AA814" s="14" t="str">
        <f t="shared" si="92"/>
        <v>BBAKALN302</v>
      </c>
      <c r="AB814" s="14" t="str">
        <f t="shared" si="93"/>
        <v>BCACAEN302</v>
      </c>
      <c r="AC814" s="14" t="str">
        <f t="shared" si="94"/>
        <v>COMFISN301</v>
      </c>
      <c r="AD814" s="14" t="str">
        <f t="shared" si="95"/>
        <v xml:space="preserve"> - - + - - </v>
      </c>
    </row>
    <row r="815" spans="5:30" ht="22.5">
      <c r="E815" s="6" t="s">
        <v>545</v>
      </c>
      <c r="F815" s="8" t="s">
        <v>39</v>
      </c>
      <c r="G815" s="9" t="s">
        <v>546</v>
      </c>
      <c r="H815" s="23" t="s">
        <v>206</v>
      </c>
      <c r="I815" s="24"/>
      <c r="J815" s="22"/>
      <c r="K815" s="23" t="s">
        <v>165</v>
      </c>
      <c r="L815" s="22"/>
      <c r="M815" s="9" t="s">
        <v>449</v>
      </c>
      <c r="N815" s="9" t="s">
        <v>547</v>
      </c>
      <c r="O815" s="9" t="s">
        <v>316</v>
      </c>
      <c r="P815" s="9" t="s">
        <v>548</v>
      </c>
      <c r="Q815" s="23" t="s">
        <v>43</v>
      </c>
      <c r="R815" s="22"/>
      <c r="S815" s="8" t="s">
        <v>33</v>
      </c>
      <c r="U815" t="s">
        <v>50</v>
      </c>
      <c r="V815">
        <v>525</v>
      </c>
      <c r="W815" s="14" t="str">
        <f t="shared" si="88"/>
        <v>34.00 + 31.00</v>
      </c>
      <c r="X815" s="14" t="str">
        <f t="shared" si="89"/>
        <v>47.00 + 32.00</v>
      </c>
      <c r="Y815" s="14" t="str">
        <f t="shared" si="90"/>
        <v>57.00 + 40.00</v>
      </c>
      <c r="Z815" s="14" t="str">
        <f t="shared" si="91"/>
        <v>41.00 + 29.00</v>
      </c>
      <c r="AA815" s="14" t="str">
        <f t="shared" si="92"/>
        <v>44.00 + 34.00</v>
      </c>
      <c r="AB815" s="14" t="str">
        <f t="shared" si="93"/>
        <v>24.00 + 22.00</v>
      </c>
      <c r="AC815" s="14" t="str">
        <f t="shared" si="94"/>
        <v>25.00 + 15.00</v>
      </c>
      <c r="AD815" s="14" t="str">
        <f t="shared" si="95"/>
        <v xml:space="preserve"> - - +50.00</v>
      </c>
    </row>
    <row r="816" spans="5:30">
      <c r="E816" s="25"/>
      <c r="F816" s="8" t="s">
        <v>42</v>
      </c>
      <c r="G816" s="9" t="s">
        <v>43</v>
      </c>
      <c r="H816" s="23" t="s">
        <v>43</v>
      </c>
      <c r="I816" s="24"/>
      <c r="J816" s="22"/>
      <c r="K816" s="23" t="s">
        <v>43</v>
      </c>
      <c r="L816" s="22"/>
      <c r="M816" s="9" t="s">
        <v>43</v>
      </c>
      <c r="N816" s="9" t="s">
        <v>43</v>
      </c>
      <c r="O816" s="9" t="s">
        <v>43</v>
      </c>
      <c r="P816" s="9" t="s">
        <v>43</v>
      </c>
      <c r="Q816" s="23" t="s">
        <v>91</v>
      </c>
      <c r="R816" s="22"/>
      <c r="S816" s="8" t="s">
        <v>33</v>
      </c>
      <c r="U816" t="s">
        <v>51</v>
      </c>
      <c r="V816">
        <v>700</v>
      </c>
      <c r="W816" s="14" t="str">
        <f t="shared" si="88"/>
        <v xml:space="preserve"> - - + - - </v>
      </c>
      <c r="X816" s="14" t="str">
        <f t="shared" si="89"/>
        <v xml:space="preserve"> - - + - - </v>
      </c>
      <c r="Y816" s="14" t="str">
        <f t="shared" si="90"/>
        <v xml:space="preserve"> - - + - - </v>
      </c>
      <c r="Z816" s="14" t="str">
        <f t="shared" si="91"/>
        <v xml:space="preserve"> - - + - - </v>
      </c>
      <c r="AA816" s="14" t="str">
        <f t="shared" si="92"/>
        <v xml:space="preserve"> - - + - - </v>
      </c>
      <c r="AB816" s="14" t="str">
        <f t="shared" si="93"/>
        <v xml:space="preserve"> - - + - - </v>
      </c>
      <c r="AC816" s="14" t="str">
        <f t="shared" si="94"/>
        <v xml:space="preserve"> - - + - - </v>
      </c>
      <c r="AD816" s="14" t="str">
        <f t="shared" si="95"/>
        <v/>
      </c>
    </row>
    <row r="817" spans="5:30">
      <c r="E817" s="27"/>
      <c r="F817" s="8" t="s">
        <v>44</v>
      </c>
      <c r="G817" s="9" t="s">
        <v>33</v>
      </c>
      <c r="H817" s="23" t="s">
        <v>33</v>
      </c>
      <c r="I817" s="24"/>
      <c r="J817" s="22"/>
      <c r="K817" s="23" t="s">
        <v>33</v>
      </c>
      <c r="L817" s="22"/>
      <c r="M817" s="9" t="s">
        <v>33</v>
      </c>
      <c r="N817" s="9" t="s">
        <v>33</v>
      </c>
      <c r="O817" s="9" t="s">
        <v>33</v>
      </c>
      <c r="P817" s="9" t="s">
        <v>33</v>
      </c>
      <c r="Q817" s="23" t="s">
        <v>33</v>
      </c>
      <c r="R817" s="22"/>
      <c r="S817" s="8">
        <v>0</v>
      </c>
      <c r="U817" t="s">
        <v>121</v>
      </c>
      <c r="V817" t="s">
        <v>33</v>
      </c>
      <c r="W817" s="14" t="str">
        <f t="shared" si="88"/>
        <v/>
      </c>
      <c r="X817" s="14" t="str">
        <f t="shared" si="89"/>
        <v/>
      </c>
      <c r="Y817" s="14" t="str">
        <f t="shared" si="90"/>
        <v/>
      </c>
      <c r="Z817" s="14" t="str">
        <f t="shared" si="91"/>
        <v/>
      </c>
      <c r="AA817" s="14" t="str">
        <f t="shared" si="92"/>
        <v/>
      </c>
      <c r="AB817" s="14" t="str">
        <f t="shared" si="93"/>
        <v/>
      </c>
      <c r="AC817" s="14" t="str">
        <f t="shared" si="94"/>
        <v/>
      </c>
      <c r="AD817" s="14">
        <f t="shared" si="95"/>
        <v>2</v>
      </c>
    </row>
    <row r="818" spans="5:30">
      <c r="E818" s="29"/>
      <c r="F818" s="8" t="s">
        <v>45</v>
      </c>
      <c r="G818" s="9">
        <v>4</v>
      </c>
      <c r="H818" s="23">
        <v>4</v>
      </c>
      <c r="I818" s="24"/>
      <c r="J818" s="22"/>
      <c r="K818" s="23">
        <v>4</v>
      </c>
      <c r="L818" s="22"/>
      <c r="M818" s="9">
        <v>3</v>
      </c>
      <c r="N818" s="9">
        <v>3</v>
      </c>
      <c r="O818" s="9">
        <v>3</v>
      </c>
      <c r="P818" s="9">
        <v>2</v>
      </c>
      <c r="Q818" s="23">
        <v>2</v>
      </c>
      <c r="R818" s="22"/>
      <c r="S818" s="8">
        <v>25</v>
      </c>
      <c r="U818" t="s">
        <v>56</v>
      </c>
      <c r="V818" t="s">
        <v>33</v>
      </c>
      <c r="W818" s="14">
        <f t="shared" si="88"/>
        <v>4</v>
      </c>
      <c r="X818" s="14">
        <f t="shared" si="89"/>
        <v>4</v>
      </c>
      <c r="Y818" s="14">
        <f t="shared" si="90"/>
        <v>4</v>
      </c>
      <c r="Z818" s="14">
        <f t="shared" si="91"/>
        <v>3</v>
      </c>
      <c r="AA818" s="14">
        <f t="shared" si="92"/>
        <v>3</v>
      </c>
      <c r="AB818" s="14">
        <f t="shared" si="93"/>
        <v>3</v>
      </c>
      <c r="AC818" s="14">
        <f t="shared" si="94"/>
        <v>2</v>
      </c>
      <c r="AD818" s="14">
        <f t="shared" si="95"/>
        <v>10</v>
      </c>
    </row>
    <row r="819" spans="5:30">
      <c r="E819" s="6">
        <v>7.94</v>
      </c>
      <c r="F819" s="8" t="s">
        <v>47</v>
      </c>
      <c r="G819" s="9">
        <v>7</v>
      </c>
      <c r="H819" s="23">
        <v>8</v>
      </c>
      <c r="I819" s="24"/>
      <c r="J819" s="22"/>
      <c r="K819" s="23">
        <v>10</v>
      </c>
      <c r="L819" s="22"/>
      <c r="M819" s="9">
        <v>7.5</v>
      </c>
      <c r="N819" s="9">
        <v>8</v>
      </c>
      <c r="O819" s="9">
        <v>5</v>
      </c>
      <c r="P819" s="9">
        <v>8.5</v>
      </c>
      <c r="Q819" s="23">
        <v>10</v>
      </c>
      <c r="R819" s="22"/>
      <c r="S819" s="8" t="s">
        <v>33</v>
      </c>
      <c r="U819" t="s">
        <v>33</v>
      </c>
      <c r="V819" t="s">
        <v>33</v>
      </c>
      <c r="W819" s="14">
        <f t="shared" si="88"/>
        <v>7</v>
      </c>
      <c r="X819" s="14">
        <f t="shared" si="89"/>
        <v>8</v>
      </c>
      <c r="Y819" s="14">
        <f t="shared" si="90"/>
        <v>10</v>
      </c>
      <c r="Z819" s="14">
        <f t="shared" si="91"/>
        <v>7.5</v>
      </c>
      <c r="AA819" s="14">
        <f t="shared" si="92"/>
        <v>8</v>
      </c>
      <c r="AB819" s="14">
        <f t="shared" si="93"/>
        <v>5</v>
      </c>
      <c r="AC819" s="14">
        <f t="shared" si="94"/>
        <v>8.5</v>
      </c>
      <c r="AD819" s="14">
        <f t="shared" si="95"/>
        <v>20</v>
      </c>
    </row>
    <row r="820" spans="5:30">
      <c r="E820" s="10">
        <v>8.1999999999999993</v>
      </c>
      <c r="F820" s="8" t="s">
        <v>49</v>
      </c>
      <c r="G820" s="9">
        <v>28</v>
      </c>
      <c r="H820" s="23">
        <v>32</v>
      </c>
      <c r="I820" s="24"/>
      <c r="J820" s="22"/>
      <c r="K820" s="23">
        <v>40</v>
      </c>
      <c r="L820" s="22"/>
      <c r="M820" s="9">
        <v>22.5</v>
      </c>
      <c r="N820" s="9">
        <v>24</v>
      </c>
      <c r="O820" s="9">
        <v>15</v>
      </c>
      <c r="P820" s="9">
        <v>17</v>
      </c>
      <c r="Q820" s="23">
        <v>20</v>
      </c>
      <c r="R820" s="22"/>
      <c r="S820" s="8">
        <v>198.5</v>
      </c>
      <c r="U820">
        <v>0</v>
      </c>
      <c r="V820">
        <v>0</v>
      </c>
      <c r="W820" s="14">
        <f t="shared" si="88"/>
        <v>28</v>
      </c>
      <c r="X820" s="14">
        <f t="shared" si="89"/>
        <v>32</v>
      </c>
      <c r="Y820" s="14">
        <f t="shared" si="90"/>
        <v>40</v>
      </c>
      <c r="Z820" s="14">
        <f t="shared" si="91"/>
        <v>22.5</v>
      </c>
      <c r="AA820" s="14">
        <f t="shared" si="92"/>
        <v>24</v>
      </c>
      <c r="AB820" s="14">
        <f t="shared" si="93"/>
        <v>15</v>
      </c>
      <c r="AC820" s="14">
        <f t="shared" si="94"/>
        <v>17</v>
      </c>
      <c r="AD820" s="14">
        <f t="shared" si="95"/>
        <v>50</v>
      </c>
    </row>
    <row r="821" spans="5:30">
      <c r="E821" s="4"/>
      <c r="F821" s="8" t="s">
        <v>36</v>
      </c>
      <c r="G821" s="9">
        <v>65</v>
      </c>
      <c r="H821" s="23">
        <v>79</v>
      </c>
      <c r="I821" s="24"/>
      <c r="J821" s="22"/>
      <c r="K821" s="23">
        <v>97</v>
      </c>
      <c r="L821" s="22"/>
      <c r="M821" s="9">
        <v>70</v>
      </c>
      <c r="N821" s="9">
        <v>78</v>
      </c>
      <c r="O821" s="9">
        <v>46</v>
      </c>
      <c r="P821" s="9">
        <v>40</v>
      </c>
      <c r="Q821" s="23">
        <v>50</v>
      </c>
      <c r="R821" s="22"/>
      <c r="S821" s="8">
        <v>525</v>
      </c>
      <c r="U821">
        <v>0</v>
      </c>
      <c r="V821">
        <v>0</v>
      </c>
      <c r="W821" s="14">
        <f t="shared" si="88"/>
        <v>65</v>
      </c>
      <c r="X821" s="14">
        <f t="shared" si="89"/>
        <v>79</v>
      </c>
      <c r="Y821" s="14">
        <f t="shared" si="90"/>
        <v>97</v>
      </c>
      <c r="Z821" s="14">
        <f t="shared" si="91"/>
        <v>70</v>
      </c>
      <c r="AA821" s="14">
        <f t="shared" si="92"/>
        <v>78</v>
      </c>
      <c r="AB821" s="14">
        <f t="shared" si="93"/>
        <v>46</v>
      </c>
      <c r="AC821" s="14">
        <f t="shared" si="94"/>
        <v>40</v>
      </c>
      <c r="AD821" s="14">
        <f t="shared" si="95"/>
        <v>50</v>
      </c>
    </row>
    <row r="822" spans="5:30">
      <c r="E822" s="6"/>
      <c r="F822" s="8" t="s">
        <v>52</v>
      </c>
      <c r="G822" s="9">
        <v>100</v>
      </c>
      <c r="H822" s="23">
        <v>100</v>
      </c>
      <c r="I822" s="24"/>
      <c r="J822" s="22"/>
      <c r="K822" s="23">
        <v>100</v>
      </c>
      <c r="L822" s="22"/>
      <c r="M822" s="9">
        <v>100</v>
      </c>
      <c r="N822" s="9">
        <v>100</v>
      </c>
      <c r="O822" s="9">
        <v>100</v>
      </c>
      <c r="P822" s="9">
        <v>50</v>
      </c>
      <c r="Q822" s="23">
        <v>50</v>
      </c>
      <c r="R822" s="22"/>
      <c r="S822" s="8">
        <v>700</v>
      </c>
      <c r="U822" t="s">
        <v>31</v>
      </c>
      <c r="V822" t="s">
        <v>33</v>
      </c>
      <c r="W822" s="14">
        <f t="shared" si="88"/>
        <v>100</v>
      </c>
      <c r="X822" s="14">
        <f t="shared" si="89"/>
        <v>100</v>
      </c>
      <c r="Y822" s="14">
        <f t="shared" si="90"/>
        <v>100</v>
      </c>
      <c r="Z822" s="14">
        <f t="shared" si="91"/>
        <v>100</v>
      </c>
      <c r="AA822" s="14">
        <f t="shared" si="92"/>
        <v>100</v>
      </c>
      <c r="AB822" s="14">
        <f t="shared" si="93"/>
        <v>100</v>
      </c>
      <c r="AC822" s="14">
        <f t="shared" si="94"/>
        <v>50</v>
      </c>
      <c r="AD822" s="14" t="str">
        <f t="shared" si="95"/>
        <v>OO+</v>
      </c>
    </row>
    <row r="823" spans="5:30">
      <c r="E823" s="4"/>
      <c r="F823" s="8" t="s">
        <v>54</v>
      </c>
      <c r="G823" s="9" t="s">
        <v>109</v>
      </c>
      <c r="H823" s="23" t="s">
        <v>135</v>
      </c>
      <c r="I823" s="24"/>
      <c r="J823" s="22"/>
      <c r="K823" s="23" t="s">
        <v>93</v>
      </c>
      <c r="L823" s="22"/>
      <c r="M823" s="9" t="s">
        <v>108</v>
      </c>
      <c r="N823" s="9" t="s">
        <v>135</v>
      </c>
      <c r="O823" s="9" t="s">
        <v>55</v>
      </c>
      <c r="P823" s="9" t="s">
        <v>95</v>
      </c>
      <c r="Q823" s="23" t="s">
        <v>93</v>
      </c>
      <c r="R823" s="22"/>
      <c r="S823" s="8" t="s">
        <v>33</v>
      </c>
      <c r="U823" t="s">
        <v>551</v>
      </c>
      <c r="V823" t="s">
        <v>36</v>
      </c>
      <c r="W823" s="14" t="str">
        <f t="shared" si="88"/>
        <v>AB+</v>
      </c>
      <c r="X823" s="14" t="str">
        <f t="shared" si="89"/>
        <v>AA+</v>
      </c>
      <c r="Y823" s="14" t="str">
        <f t="shared" si="90"/>
        <v>OO+</v>
      </c>
      <c r="Z823" s="14" t="str">
        <f t="shared" si="91"/>
        <v>AA</v>
      </c>
      <c r="AA823" s="14" t="str">
        <f t="shared" si="92"/>
        <v>AA+</v>
      </c>
      <c r="AB823" s="14" t="str">
        <f t="shared" si="93"/>
        <v>BC</v>
      </c>
      <c r="AC823" s="14" t="str">
        <f t="shared" si="94"/>
        <v>OA</v>
      </c>
      <c r="AD823" s="14" t="str">
        <f t="shared" si="95"/>
        <v>Pass</v>
      </c>
    </row>
    <row r="824" spans="5:30">
      <c r="E824" s="11" t="s">
        <v>550</v>
      </c>
      <c r="F824" s="8" t="s">
        <v>58</v>
      </c>
      <c r="G824" s="9" t="s">
        <v>59</v>
      </c>
      <c r="H824" s="23" t="s">
        <v>59</v>
      </c>
      <c r="I824" s="24"/>
      <c r="J824" s="22"/>
      <c r="K824" s="23" t="s">
        <v>59</v>
      </c>
      <c r="L824" s="22"/>
      <c r="M824" s="9" t="s">
        <v>59</v>
      </c>
      <c r="N824" s="9" t="s">
        <v>59</v>
      </c>
      <c r="O824" s="9" t="s">
        <v>59</v>
      </c>
      <c r="P824" s="9" t="s">
        <v>59</v>
      </c>
      <c r="Q824" s="23" t="s">
        <v>59</v>
      </c>
      <c r="R824" s="22"/>
      <c r="S824" s="8" t="s">
        <v>33</v>
      </c>
      <c r="U824" t="s">
        <v>37</v>
      </c>
      <c r="V824" t="s">
        <v>33</v>
      </c>
      <c r="W824" s="14" t="str">
        <f t="shared" si="88"/>
        <v>Pass</v>
      </c>
      <c r="X824" s="14" t="str">
        <f t="shared" si="89"/>
        <v>Pass</v>
      </c>
      <c r="Y824" s="14" t="str">
        <f t="shared" si="90"/>
        <v>Pass</v>
      </c>
      <c r="Z824" s="14" t="str">
        <f t="shared" si="91"/>
        <v>Pass</v>
      </c>
      <c r="AA824" s="14" t="str">
        <f t="shared" si="92"/>
        <v>Pass</v>
      </c>
      <c r="AB824" s="14" t="str">
        <f t="shared" si="93"/>
        <v>Pass</v>
      </c>
      <c r="AC824" s="14" t="str">
        <f t="shared" si="94"/>
        <v>Pass</v>
      </c>
      <c r="AD824" s="14" t="str">
        <f t="shared" si="95"/>
        <v/>
      </c>
    </row>
    <row r="825" spans="5:30">
      <c r="E825" s="12" t="s">
        <v>33</v>
      </c>
      <c r="F825" s="12" t="s">
        <v>33</v>
      </c>
      <c r="G825" s="13" t="s">
        <v>33</v>
      </c>
      <c r="H825" s="20" t="s">
        <v>33</v>
      </c>
      <c r="I825" s="18"/>
      <c r="J825" s="18"/>
      <c r="K825" s="20" t="s">
        <v>33</v>
      </c>
      <c r="L825" s="18"/>
      <c r="M825" s="13" t="s">
        <v>33</v>
      </c>
      <c r="N825" s="13" t="s">
        <v>33</v>
      </c>
      <c r="O825" s="13" t="s">
        <v>33</v>
      </c>
      <c r="P825" s="13" t="s">
        <v>33</v>
      </c>
      <c r="Q825" s="20" t="s">
        <v>33</v>
      </c>
      <c r="R825" s="18"/>
      <c r="S825" s="13" t="s">
        <v>33</v>
      </c>
      <c r="U825" t="s">
        <v>557</v>
      </c>
      <c r="V825" t="s">
        <v>33</v>
      </c>
      <c r="W825" s="14" t="str">
        <f t="shared" si="88"/>
        <v/>
      </c>
      <c r="X825" s="14" t="str">
        <f t="shared" si="89"/>
        <v/>
      </c>
      <c r="Y825" s="14" t="str">
        <f t="shared" si="90"/>
        <v/>
      </c>
      <c r="Z825" s="14" t="str">
        <f t="shared" si="91"/>
        <v/>
      </c>
      <c r="AA825" s="14" t="str">
        <f t="shared" si="92"/>
        <v/>
      </c>
      <c r="AB825" s="14" t="str">
        <f t="shared" si="93"/>
        <v/>
      </c>
      <c r="AC825" s="14" t="str">
        <f t="shared" si="94"/>
        <v/>
      </c>
      <c r="AD825" s="14">
        <f t="shared" si="95"/>
        <v>0</v>
      </c>
    </row>
    <row r="826" spans="5:30" ht="0" hidden="1" customHeight="1">
      <c r="U826">
        <v>0</v>
      </c>
      <c r="V826">
        <v>0</v>
      </c>
      <c r="W826" s="14">
        <f t="shared" si="88"/>
        <v>0</v>
      </c>
      <c r="X826" s="14">
        <f t="shared" si="89"/>
        <v>0</v>
      </c>
      <c r="Y826" s="14">
        <f t="shared" si="90"/>
        <v>0</v>
      </c>
      <c r="Z826" s="14">
        <f t="shared" si="91"/>
        <v>0</v>
      </c>
      <c r="AA826" s="14">
        <f t="shared" si="92"/>
        <v>0</v>
      </c>
      <c r="AB826" s="14">
        <f t="shared" si="93"/>
        <v>0</v>
      </c>
      <c r="AC826" s="14">
        <f t="shared" si="94"/>
        <v>0</v>
      </c>
      <c r="AD826" s="14">
        <f t="shared" si="95"/>
        <v>0</v>
      </c>
    </row>
    <row r="827" spans="5:30" ht="0.6" customHeight="1">
      <c r="U827">
        <v>0</v>
      </c>
      <c r="V827">
        <v>22</v>
      </c>
      <c r="W827" s="14">
        <f t="shared" si="88"/>
        <v>0</v>
      </c>
      <c r="X827" s="14">
        <f t="shared" si="89"/>
        <v>0</v>
      </c>
      <c r="Y827" s="14">
        <f t="shared" si="90"/>
        <v>0</v>
      </c>
      <c r="Z827" s="14">
        <f t="shared" si="91"/>
        <v>0</v>
      </c>
      <c r="AA827" s="14">
        <f t="shared" si="92"/>
        <v>0</v>
      </c>
      <c r="AB827" s="14">
        <f t="shared" si="93"/>
        <v>0</v>
      </c>
      <c r="AC827" s="14">
        <f t="shared" si="94"/>
        <v>0</v>
      </c>
      <c r="AD827" s="14" t="str">
        <f t="shared" si="95"/>
        <v/>
      </c>
    </row>
    <row r="828" spans="5:30">
      <c r="E828" s="4"/>
      <c r="F828" s="3" t="s">
        <v>32</v>
      </c>
      <c r="G828" s="5" t="s">
        <v>33</v>
      </c>
      <c r="H828" s="32" t="s">
        <v>33</v>
      </c>
      <c r="I828" s="18"/>
      <c r="J828" s="18"/>
      <c r="K828" s="32" t="s">
        <v>33</v>
      </c>
      <c r="L828" s="18"/>
      <c r="M828" s="5" t="s">
        <v>33</v>
      </c>
      <c r="N828" s="5" t="s">
        <v>33</v>
      </c>
      <c r="O828" s="5" t="s">
        <v>33</v>
      </c>
      <c r="P828" s="5" t="s">
        <v>33</v>
      </c>
      <c r="Q828" s="32" t="s">
        <v>33</v>
      </c>
      <c r="R828" s="18"/>
      <c r="S828" s="5" t="s">
        <v>33</v>
      </c>
      <c r="U828" t="s">
        <v>46</v>
      </c>
      <c r="V828" t="s">
        <v>33</v>
      </c>
      <c r="W828" s="14" t="str">
        <f t="shared" si="88"/>
        <v/>
      </c>
      <c r="X828" s="14" t="str">
        <f t="shared" si="89"/>
        <v/>
      </c>
      <c r="Y828" s="14" t="str">
        <f t="shared" si="90"/>
        <v/>
      </c>
      <c r="Z828" s="14" t="str">
        <f t="shared" si="91"/>
        <v/>
      </c>
      <c r="AA828" s="14" t="str">
        <f t="shared" si="92"/>
        <v/>
      </c>
      <c r="AB828" s="14" t="str">
        <f t="shared" si="93"/>
        <v/>
      </c>
      <c r="AC828" s="14" t="str">
        <f t="shared" si="94"/>
        <v/>
      </c>
      <c r="AD828" s="14" t="str">
        <f t="shared" si="95"/>
        <v>COMNSSN302</v>
      </c>
    </row>
    <row r="829" spans="5:30" ht="21">
      <c r="E829" s="4"/>
      <c r="F829" s="7" t="s">
        <v>35</v>
      </c>
      <c r="G829" s="7" t="s">
        <v>5</v>
      </c>
      <c r="H829" s="30" t="s">
        <v>7</v>
      </c>
      <c r="I829" s="24"/>
      <c r="J829" s="22"/>
      <c r="K829" s="30" t="s">
        <v>9</v>
      </c>
      <c r="L829" s="22"/>
      <c r="M829" s="7" t="s">
        <v>11</v>
      </c>
      <c r="N829" s="7" t="s">
        <v>13</v>
      </c>
      <c r="O829" s="7" t="s">
        <v>17</v>
      </c>
      <c r="P829" s="7" t="s">
        <v>21</v>
      </c>
      <c r="Q829" s="30" t="s">
        <v>25</v>
      </c>
      <c r="R829" s="22"/>
      <c r="S829" s="7" t="s">
        <v>36</v>
      </c>
      <c r="U829" t="s">
        <v>48</v>
      </c>
      <c r="V829">
        <v>169.5</v>
      </c>
      <c r="W829" s="14" t="str">
        <f t="shared" si="88"/>
        <v>BBABMCN301</v>
      </c>
      <c r="X829" s="14" t="str">
        <f t="shared" si="89"/>
        <v>BBABMCN302</v>
      </c>
      <c r="Y829" s="14" t="str">
        <f t="shared" si="90"/>
        <v>BBABMCN303</v>
      </c>
      <c r="Z829" s="14" t="str">
        <f t="shared" si="91"/>
        <v>BBAENLN301</v>
      </c>
      <c r="AA829" s="14" t="str">
        <f t="shared" si="92"/>
        <v>BBAHDLN301</v>
      </c>
      <c r="AB829" s="14" t="str">
        <f t="shared" si="93"/>
        <v>BCACAEN302</v>
      </c>
      <c r="AC829" s="14" t="str">
        <f t="shared" si="94"/>
        <v>COMFISN301</v>
      </c>
      <c r="AD829" s="14" t="str">
        <f t="shared" si="95"/>
        <v xml:space="preserve"> - - + - - </v>
      </c>
    </row>
    <row r="830" spans="5:30" ht="22.5">
      <c r="E830" s="6" t="s">
        <v>552</v>
      </c>
      <c r="F830" s="8" t="s">
        <v>39</v>
      </c>
      <c r="G830" s="9" t="s">
        <v>553</v>
      </c>
      <c r="H830" s="23" t="s">
        <v>554</v>
      </c>
      <c r="I830" s="24"/>
      <c r="J830" s="22"/>
      <c r="K830" s="23" t="s">
        <v>176</v>
      </c>
      <c r="L830" s="22"/>
      <c r="M830" s="9" t="s">
        <v>458</v>
      </c>
      <c r="N830" s="9" t="s">
        <v>555</v>
      </c>
      <c r="O830" s="9" t="s">
        <v>556</v>
      </c>
      <c r="P830" s="9" t="s">
        <v>435</v>
      </c>
      <c r="Q830" s="23" t="s">
        <v>43</v>
      </c>
      <c r="R830" s="22"/>
      <c r="S830" s="8" t="s">
        <v>33</v>
      </c>
      <c r="U830" t="s">
        <v>65</v>
      </c>
      <c r="V830">
        <v>478</v>
      </c>
      <c r="W830" s="14" t="str">
        <f t="shared" si="88"/>
        <v>27.00 + 24.00</v>
      </c>
      <c r="X830" s="14" t="str">
        <f t="shared" si="89"/>
        <v>33.00 + 28.00</v>
      </c>
      <c r="Y830" s="14" t="str">
        <f t="shared" si="90"/>
        <v>52.00 + 37.00</v>
      </c>
      <c r="Z830" s="14" t="str">
        <f t="shared" si="91"/>
        <v>40.00 + 35.00</v>
      </c>
      <c r="AA830" s="14" t="str">
        <f t="shared" si="92"/>
        <v>37.00 + 37.00</v>
      </c>
      <c r="AB830" s="14" t="str">
        <f t="shared" si="93"/>
        <v>5.00 + 29.00</v>
      </c>
      <c r="AC830" s="14" t="str">
        <f t="shared" si="94"/>
        <v>30.00 + 16.00</v>
      </c>
      <c r="AD830" s="14" t="str">
        <f t="shared" si="95"/>
        <v xml:space="preserve"> - - +48.00</v>
      </c>
    </row>
    <row r="831" spans="5:30">
      <c r="E831" s="25"/>
      <c r="F831" s="8" t="s">
        <v>42</v>
      </c>
      <c r="G831" s="9" t="s">
        <v>43</v>
      </c>
      <c r="H831" s="23" t="s">
        <v>43</v>
      </c>
      <c r="I831" s="24"/>
      <c r="J831" s="22"/>
      <c r="K831" s="23" t="s">
        <v>43</v>
      </c>
      <c r="L831" s="22"/>
      <c r="M831" s="9" t="s">
        <v>43</v>
      </c>
      <c r="N831" s="9" t="s">
        <v>43</v>
      </c>
      <c r="O831" s="9" t="s">
        <v>43</v>
      </c>
      <c r="P831" s="9" t="s">
        <v>43</v>
      </c>
      <c r="Q831" s="23" t="s">
        <v>107</v>
      </c>
      <c r="R831" s="22"/>
      <c r="S831" s="8" t="s">
        <v>33</v>
      </c>
      <c r="U831" t="s">
        <v>51</v>
      </c>
      <c r="V831">
        <v>700</v>
      </c>
      <c r="W831" s="14" t="str">
        <f t="shared" si="88"/>
        <v xml:space="preserve"> - - + - - </v>
      </c>
      <c r="X831" s="14" t="str">
        <f t="shared" si="89"/>
        <v xml:space="preserve"> - - + - - </v>
      </c>
      <c r="Y831" s="14" t="str">
        <f t="shared" si="90"/>
        <v xml:space="preserve"> - - + - - </v>
      </c>
      <c r="Z831" s="14" t="str">
        <f t="shared" si="91"/>
        <v xml:space="preserve"> - - + - - </v>
      </c>
      <c r="AA831" s="14" t="str">
        <f t="shared" si="92"/>
        <v xml:space="preserve"> - - + - - </v>
      </c>
      <c r="AB831" s="14" t="str">
        <f t="shared" si="93"/>
        <v xml:space="preserve"> - - + - - </v>
      </c>
      <c r="AC831" s="14" t="str">
        <f t="shared" si="94"/>
        <v xml:space="preserve"> - - + - - </v>
      </c>
      <c r="AD831" s="14" t="str">
        <f t="shared" si="95"/>
        <v/>
      </c>
    </row>
    <row r="832" spans="5:30">
      <c r="E832" s="27"/>
      <c r="F832" s="8" t="s">
        <v>44</v>
      </c>
      <c r="G832" s="9" t="s">
        <v>33</v>
      </c>
      <c r="H832" s="23" t="s">
        <v>33</v>
      </c>
      <c r="I832" s="24"/>
      <c r="J832" s="22"/>
      <c r="K832" s="23" t="s">
        <v>33</v>
      </c>
      <c r="L832" s="22"/>
      <c r="M832" s="9" t="s">
        <v>33</v>
      </c>
      <c r="N832" s="9" t="s">
        <v>33</v>
      </c>
      <c r="O832" s="9" t="s">
        <v>33</v>
      </c>
      <c r="P832" s="9" t="s">
        <v>33</v>
      </c>
      <c r="Q832" s="23" t="s">
        <v>33</v>
      </c>
      <c r="R832" s="22"/>
      <c r="S832" s="8">
        <v>0</v>
      </c>
      <c r="U832" t="s">
        <v>66</v>
      </c>
      <c r="V832" t="s">
        <v>33</v>
      </c>
      <c r="W832" s="14" t="str">
        <f t="shared" si="88"/>
        <v/>
      </c>
      <c r="X832" s="14" t="str">
        <f t="shared" si="89"/>
        <v/>
      </c>
      <c r="Y832" s="14" t="str">
        <f t="shared" si="90"/>
        <v/>
      </c>
      <c r="Z832" s="14" t="str">
        <f t="shared" si="91"/>
        <v/>
      </c>
      <c r="AA832" s="14" t="str">
        <f t="shared" si="92"/>
        <v/>
      </c>
      <c r="AB832" s="14" t="str">
        <f t="shared" si="93"/>
        <v/>
      </c>
      <c r="AC832" s="14" t="str">
        <f t="shared" si="94"/>
        <v/>
      </c>
      <c r="AD832" s="14">
        <f t="shared" si="95"/>
        <v>2</v>
      </c>
    </row>
    <row r="833" spans="5:30">
      <c r="E833" s="29"/>
      <c r="F833" s="8" t="s">
        <v>45</v>
      </c>
      <c r="G833" s="9">
        <v>4</v>
      </c>
      <c r="H833" s="23">
        <v>4</v>
      </c>
      <c r="I833" s="24"/>
      <c r="J833" s="22"/>
      <c r="K833" s="23">
        <v>4</v>
      </c>
      <c r="L833" s="22"/>
      <c r="M833" s="9">
        <v>3</v>
      </c>
      <c r="N833" s="9">
        <v>3</v>
      </c>
      <c r="O833" s="9">
        <v>3</v>
      </c>
      <c r="P833" s="9">
        <v>2</v>
      </c>
      <c r="Q833" s="23">
        <v>2</v>
      </c>
      <c r="R833" s="22"/>
      <c r="S833" s="8">
        <v>22</v>
      </c>
      <c r="U833" t="s">
        <v>56</v>
      </c>
      <c r="V833" t="s">
        <v>33</v>
      </c>
      <c r="W833" s="14">
        <f t="shared" si="88"/>
        <v>4</v>
      </c>
      <c r="X833" s="14">
        <f t="shared" si="89"/>
        <v>4</v>
      </c>
      <c r="Y833" s="14">
        <f t="shared" si="90"/>
        <v>4</v>
      </c>
      <c r="Z833" s="14">
        <f t="shared" si="91"/>
        <v>3</v>
      </c>
      <c r="AA833" s="14">
        <f t="shared" si="92"/>
        <v>3</v>
      </c>
      <c r="AB833" s="14">
        <f t="shared" si="93"/>
        <v>3</v>
      </c>
      <c r="AC833" s="14">
        <f t="shared" si="94"/>
        <v>2</v>
      </c>
      <c r="AD833" s="14">
        <f t="shared" si="95"/>
        <v>10</v>
      </c>
    </row>
    <row r="834" spans="5:30">
      <c r="E834" s="6"/>
      <c r="F834" s="8" t="s">
        <v>47</v>
      </c>
      <c r="G834" s="9">
        <v>5.5</v>
      </c>
      <c r="H834" s="23">
        <v>6.5</v>
      </c>
      <c r="I834" s="24"/>
      <c r="J834" s="22"/>
      <c r="K834" s="23">
        <v>9</v>
      </c>
      <c r="L834" s="22"/>
      <c r="M834" s="9">
        <v>8</v>
      </c>
      <c r="N834" s="9">
        <v>7.5</v>
      </c>
      <c r="O834" s="9"/>
      <c r="P834" s="9">
        <v>9.5</v>
      </c>
      <c r="Q834" s="23">
        <v>10</v>
      </c>
      <c r="R834" s="22"/>
      <c r="S834" s="8" t="s">
        <v>33</v>
      </c>
      <c r="U834" t="s">
        <v>33</v>
      </c>
      <c r="V834" t="s">
        <v>33</v>
      </c>
      <c r="W834" s="14">
        <f t="shared" si="88"/>
        <v>5.5</v>
      </c>
      <c r="X834" s="14">
        <f t="shared" si="89"/>
        <v>6.5</v>
      </c>
      <c r="Y834" s="14">
        <f t="shared" si="90"/>
        <v>9</v>
      </c>
      <c r="Z834" s="14">
        <f t="shared" si="91"/>
        <v>8</v>
      </c>
      <c r="AA834" s="14">
        <f t="shared" si="92"/>
        <v>7.5</v>
      </c>
      <c r="AB834" s="14">
        <f t="shared" si="93"/>
        <v>0</v>
      </c>
      <c r="AC834" s="14">
        <f t="shared" si="94"/>
        <v>9.5</v>
      </c>
      <c r="AD834" s="14">
        <f t="shared" si="95"/>
        <v>20</v>
      </c>
    </row>
    <row r="835" spans="5:30">
      <c r="E835" s="6"/>
      <c r="F835" s="8" t="s">
        <v>49</v>
      </c>
      <c r="G835" s="9">
        <v>22</v>
      </c>
      <c r="H835" s="23">
        <v>26</v>
      </c>
      <c r="I835" s="24"/>
      <c r="J835" s="22"/>
      <c r="K835" s="23">
        <v>36</v>
      </c>
      <c r="L835" s="22"/>
      <c r="M835" s="9">
        <v>24</v>
      </c>
      <c r="N835" s="9">
        <v>22.5</v>
      </c>
      <c r="O835" s="9"/>
      <c r="P835" s="9">
        <v>19</v>
      </c>
      <c r="Q835" s="23">
        <v>20</v>
      </c>
      <c r="R835" s="22"/>
      <c r="S835" s="8">
        <v>169.5</v>
      </c>
      <c r="U835">
        <v>0</v>
      </c>
      <c r="V835">
        <v>0</v>
      </c>
      <c r="W835" s="14">
        <f t="shared" si="88"/>
        <v>22</v>
      </c>
      <c r="X835" s="14">
        <f t="shared" si="89"/>
        <v>26</v>
      </c>
      <c r="Y835" s="14">
        <f t="shared" si="90"/>
        <v>36</v>
      </c>
      <c r="Z835" s="14">
        <f t="shared" si="91"/>
        <v>24</v>
      </c>
      <c r="AA835" s="14">
        <f t="shared" si="92"/>
        <v>22.5</v>
      </c>
      <c r="AB835" s="14">
        <f t="shared" si="93"/>
        <v>0</v>
      </c>
      <c r="AC835" s="14">
        <f t="shared" si="94"/>
        <v>19</v>
      </c>
      <c r="AD835" s="14">
        <f t="shared" si="95"/>
        <v>48</v>
      </c>
    </row>
    <row r="836" spans="5:30">
      <c r="E836" s="4"/>
      <c r="F836" s="8" t="s">
        <v>36</v>
      </c>
      <c r="G836" s="9">
        <v>51</v>
      </c>
      <c r="H836" s="23">
        <v>61</v>
      </c>
      <c r="I836" s="24"/>
      <c r="J836" s="22"/>
      <c r="K836" s="23">
        <v>89</v>
      </c>
      <c r="L836" s="22"/>
      <c r="M836" s="9">
        <v>75</v>
      </c>
      <c r="N836" s="9">
        <v>74</v>
      </c>
      <c r="O836" s="9">
        <v>34</v>
      </c>
      <c r="P836" s="9">
        <v>46</v>
      </c>
      <c r="Q836" s="23">
        <v>48</v>
      </c>
      <c r="R836" s="22"/>
      <c r="S836" s="8">
        <v>478</v>
      </c>
      <c r="U836">
        <v>0</v>
      </c>
      <c r="V836">
        <v>0</v>
      </c>
      <c r="W836" s="14">
        <f t="shared" si="88"/>
        <v>51</v>
      </c>
      <c r="X836" s="14">
        <f t="shared" si="89"/>
        <v>61</v>
      </c>
      <c r="Y836" s="14">
        <f t="shared" si="90"/>
        <v>89</v>
      </c>
      <c r="Z836" s="14">
        <f t="shared" si="91"/>
        <v>75</v>
      </c>
      <c r="AA836" s="14">
        <f t="shared" si="92"/>
        <v>74</v>
      </c>
      <c r="AB836" s="14">
        <f t="shared" si="93"/>
        <v>34</v>
      </c>
      <c r="AC836" s="14">
        <f t="shared" si="94"/>
        <v>46</v>
      </c>
      <c r="AD836" s="14">
        <f t="shared" si="95"/>
        <v>50</v>
      </c>
    </row>
    <row r="837" spans="5:30">
      <c r="E837" s="6"/>
      <c r="F837" s="8" t="s">
        <v>52</v>
      </c>
      <c r="G837" s="9">
        <v>100</v>
      </c>
      <c r="H837" s="23">
        <v>100</v>
      </c>
      <c r="I837" s="24"/>
      <c r="J837" s="22"/>
      <c r="K837" s="23">
        <v>100</v>
      </c>
      <c r="L837" s="22"/>
      <c r="M837" s="9">
        <v>100</v>
      </c>
      <c r="N837" s="9">
        <v>100</v>
      </c>
      <c r="O837" s="9">
        <v>100</v>
      </c>
      <c r="P837" s="9">
        <v>50</v>
      </c>
      <c r="Q837" s="23">
        <v>50</v>
      </c>
      <c r="R837" s="22"/>
      <c r="S837" s="8">
        <v>700</v>
      </c>
      <c r="U837" t="s">
        <v>31</v>
      </c>
      <c r="V837" t="s">
        <v>33</v>
      </c>
      <c r="W837" s="14">
        <f t="shared" si="88"/>
        <v>100</v>
      </c>
      <c r="X837" s="14">
        <f t="shared" si="89"/>
        <v>100</v>
      </c>
      <c r="Y837" s="14">
        <f t="shared" si="90"/>
        <v>100</v>
      </c>
      <c r="Z837" s="14">
        <f t="shared" si="91"/>
        <v>100</v>
      </c>
      <c r="AA837" s="14">
        <f t="shared" si="92"/>
        <v>100</v>
      </c>
      <c r="AB837" s="14">
        <f t="shared" si="93"/>
        <v>100</v>
      </c>
      <c r="AC837" s="14">
        <f t="shared" si="94"/>
        <v>50</v>
      </c>
      <c r="AD837" s="14" t="str">
        <f t="shared" si="95"/>
        <v>OO+</v>
      </c>
    </row>
    <row r="838" spans="5:30">
      <c r="E838" s="4"/>
      <c r="F838" s="8" t="s">
        <v>54</v>
      </c>
      <c r="G838" s="9" t="s">
        <v>123</v>
      </c>
      <c r="H838" s="23" t="s">
        <v>76</v>
      </c>
      <c r="I838" s="24"/>
      <c r="J838" s="22"/>
      <c r="K838" s="23" t="s">
        <v>122</v>
      </c>
      <c r="L838" s="22"/>
      <c r="M838" s="9" t="s">
        <v>135</v>
      </c>
      <c r="N838" s="9" t="s">
        <v>108</v>
      </c>
      <c r="O838" s="9"/>
      <c r="P838" s="9" t="s">
        <v>94</v>
      </c>
      <c r="Q838" s="23" t="s">
        <v>93</v>
      </c>
      <c r="R838" s="22"/>
      <c r="S838" s="8" t="s">
        <v>33</v>
      </c>
      <c r="U838" t="s">
        <v>559</v>
      </c>
      <c r="V838" t="s">
        <v>36</v>
      </c>
      <c r="W838" s="14" t="str">
        <f t="shared" si="88"/>
        <v>BB</v>
      </c>
      <c r="X838" s="14" t="str">
        <f t="shared" si="89"/>
        <v>AB</v>
      </c>
      <c r="Y838" s="14" t="str">
        <f t="shared" si="90"/>
        <v>OA+</v>
      </c>
      <c r="Z838" s="14" t="str">
        <f t="shared" si="91"/>
        <v>AA+</v>
      </c>
      <c r="AA838" s="14" t="str">
        <f t="shared" si="92"/>
        <v>AA</v>
      </c>
      <c r="AB838" s="14">
        <f t="shared" si="93"/>
        <v>0</v>
      </c>
      <c r="AC838" s="14" t="str">
        <f t="shared" si="94"/>
        <v>OO</v>
      </c>
      <c r="AD838" s="14" t="str">
        <f t="shared" si="95"/>
        <v>Pass</v>
      </c>
    </row>
    <row r="839" spans="5:30">
      <c r="E839" s="11" t="s">
        <v>558</v>
      </c>
      <c r="F839" s="8" t="s">
        <v>58</v>
      </c>
      <c r="G839" s="9" t="s">
        <v>59</v>
      </c>
      <c r="H839" s="23" t="s">
        <v>59</v>
      </c>
      <c r="I839" s="24"/>
      <c r="J839" s="22"/>
      <c r="K839" s="23" t="s">
        <v>59</v>
      </c>
      <c r="L839" s="22"/>
      <c r="M839" s="9" t="s">
        <v>59</v>
      </c>
      <c r="N839" s="9" t="s">
        <v>59</v>
      </c>
      <c r="O839" s="9" t="s">
        <v>68</v>
      </c>
      <c r="P839" s="9" t="s">
        <v>59</v>
      </c>
      <c r="Q839" s="23" t="s">
        <v>59</v>
      </c>
      <c r="R839" s="22"/>
      <c r="S839" s="8" t="s">
        <v>33</v>
      </c>
      <c r="U839" t="s">
        <v>37</v>
      </c>
      <c r="V839" t="s">
        <v>33</v>
      </c>
      <c r="W839" s="14" t="str">
        <f t="shared" ref="W839:W902" si="96">$G839</f>
        <v>Pass</v>
      </c>
      <c r="X839" s="14" t="str">
        <f t="shared" ref="X839:X902" si="97">$H839</f>
        <v>Pass</v>
      </c>
      <c r="Y839" s="14" t="str">
        <f t="shared" ref="Y839:Y902" si="98">$K839</f>
        <v>Pass</v>
      </c>
      <c r="Z839" s="14" t="str">
        <f t="shared" ref="Z839:Z902" si="99">$M839</f>
        <v>Pass</v>
      </c>
      <c r="AA839" s="14" t="str">
        <f t="shared" ref="AA839:AA902" si="100">$N839</f>
        <v>Pass</v>
      </c>
      <c r="AB839" s="14" t="str">
        <f t="shared" ref="AB839:AB902" si="101">$O839</f>
        <v>Fail</v>
      </c>
      <c r="AC839" s="14" t="str">
        <f t="shared" ref="AC839:AC902" si="102">$P839</f>
        <v>Pass</v>
      </c>
      <c r="AD839" s="14" t="str">
        <f t="shared" ref="AD839:AD902" si="103">$Q840</f>
        <v/>
      </c>
    </row>
    <row r="840" spans="5:30">
      <c r="E840" s="12" t="s">
        <v>33</v>
      </c>
      <c r="F840" s="12" t="s">
        <v>33</v>
      </c>
      <c r="G840" s="13" t="s">
        <v>33</v>
      </c>
      <c r="H840" s="20" t="s">
        <v>33</v>
      </c>
      <c r="I840" s="18"/>
      <c r="J840" s="18"/>
      <c r="K840" s="20" t="s">
        <v>33</v>
      </c>
      <c r="L840" s="18"/>
      <c r="M840" s="13" t="s">
        <v>33</v>
      </c>
      <c r="N840" s="13" t="s">
        <v>33</v>
      </c>
      <c r="O840" s="13" t="s">
        <v>33</v>
      </c>
      <c r="P840" s="13" t="s">
        <v>33</v>
      </c>
      <c r="Q840" s="20" t="s">
        <v>33</v>
      </c>
      <c r="R840" s="18"/>
      <c r="S840" s="13" t="s">
        <v>33</v>
      </c>
      <c r="U840" t="s">
        <v>145</v>
      </c>
      <c r="V840" t="s">
        <v>33</v>
      </c>
      <c r="W840" s="14" t="str">
        <f t="shared" si="96"/>
        <v/>
      </c>
      <c r="X840" s="14" t="str">
        <f t="shared" si="97"/>
        <v/>
      </c>
      <c r="Y840" s="14" t="str">
        <f t="shared" si="98"/>
        <v/>
      </c>
      <c r="Z840" s="14" t="str">
        <f t="shared" si="99"/>
        <v/>
      </c>
      <c r="AA840" s="14" t="str">
        <f t="shared" si="100"/>
        <v/>
      </c>
      <c r="AB840" s="14" t="str">
        <f t="shared" si="101"/>
        <v/>
      </c>
      <c r="AC840" s="14" t="str">
        <f t="shared" si="102"/>
        <v/>
      </c>
      <c r="AD840" s="14">
        <f t="shared" si="103"/>
        <v>0</v>
      </c>
    </row>
    <row r="841" spans="5:30" ht="0" hidden="1" customHeight="1">
      <c r="U841">
        <v>0</v>
      </c>
      <c r="V841">
        <v>0</v>
      </c>
      <c r="W841" s="14">
        <f t="shared" si="96"/>
        <v>0</v>
      </c>
      <c r="X841" s="14">
        <f t="shared" si="97"/>
        <v>0</v>
      </c>
      <c r="Y841" s="14">
        <f t="shared" si="98"/>
        <v>0</v>
      </c>
      <c r="Z841" s="14">
        <f t="shared" si="99"/>
        <v>0</v>
      </c>
      <c r="AA841" s="14">
        <f t="shared" si="100"/>
        <v>0</v>
      </c>
      <c r="AB841" s="14">
        <f t="shared" si="101"/>
        <v>0</v>
      </c>
      <c r="AC841" s="14">
        <f t="shared" si="102"/>
        <v>0</v>
      </c>
      <c r="AD841" s="14">
        <f t="shared" si="103"/>
        <v>0</v>
      </c>
    </row>
    <row r="842" spans="5:30" ht="0.6" customHeight="1">
      <c r="U842">
        <v>0</v>
      </c>
      <c r="V842">
        <v>18</v>
      </c>
      <c r="W842" s="14">
        <f t="shared" si="96"/>
        <v>0</v>
      </c>
      <c r="X842" s="14">
        <f t="shared" si="97"/>
        <v>0</v>
      </c>
      <c r="Y842" s="14">
        <f t="shared" si="98"/>
        <v>0</v>
      </c>
      <c r="Z842" s="14">
        <f t="shared" si="99"/>
        <v>0</v>
      </c>
      <c r="AA842" s="14">
        <f t="shared" si="100"/>
        <v>0</v>
      </c>
      <c r="AB842" s="14">
        <f t="shared" si="101"/>
        <v>0</v>
      </c>
      <c r="AC842" s="14">
        <f t="shared" si="102"/>
        <v>0</v>
      </c>
      <c r="AD842" s="14" t="str">
        <f t="shared" si="103"/>
        <v/>
      </c>
    </row>
    <row r="843" spans="5:30">
      <c r="E843" s="4"/>
      <c r="F843" s="3" t="s">
        <v>32</v>
      </c>
      <c r="G843" s="5" t="s">
        <v>33</v>
      </c>
      <c r="H843" s="32" t="s">
        <v>33</v>
      </c>
      <c r="I843" s="18"/>
      <c r="J843" s="18"/>
      <c r="K843" s="32" t="s">
        <v>33</v>
      </c>
      <c r="L843" s="18"/>
      <c r="M843" s="5" t="s">
        <v>33</v>
      </c>
      <c r="N843" s="5" t="s">
        <v>33</v>
      </c>
      <c r="O843" s="5" t="s">
        <v>33</v>
      </c>
      <c r="P843" s="5" t="s">
        <v>33</v>
      </c>
      <c r="Q843" s="32" t="s">
        <v>33</v>
      </c>
      <c r="R843" s="18"/>
      <c r="S843" s="5" t="s">
        <v>33</v>
      </c>
      <c r="U843" t="s">
        <v>46</v>
      </c>
      <c r="V843" t="s">
        <v>33</v>
      </c>
      <c r="W843" s="14" t="str">
        <f t="shared" si="96"/>
        <v/>
      </c>
      <c r="X843" s="14" t="str">
        <f t="shared" si="97"/>
        <v/>
      </c>
      <c r="Y843" s="14" t="str">
        <f t="shared" si="98"/>
        <v/>
      </c>
      <c r="Z843" s="14" t="str">
        <f t="shared" si="99"/>
        <v/>
      </c>
      <c r="AA843" s="14" t="str">
        <f t="shared" si="100"/>
        <v/>
      </c>
      <c r="AB843" s="14" t="str">
        <f t="shared" si="101"/>
        <v/>
      </c>
      <c r="AC843" s="14" t="str">
        <f t="shared" si="102"/>
        <v/>
      </c>
      <c r="AD843" s="14" t="str">
        <f t="shared" si="103"/>
        <v>COMNSSN302</v>
      </c>
    </row>
    <row r="844" spans="5:30" ht="21">
      <c r="E844" s="4"/>
      <c r="F844" s="7" t="s">
        <v>35</v>
      </c>
      <c r="G844" s="7" t="s">
        <v>5</v>
      </c>
      <c r="H844" s="30" t="s">
        <v>7</v>
      </c>
      <c r="I844" s="24"/>
      <c r="J844" s="22"/>
      <c r="K844" s="30" t="s">
        <v>9</v>
      </c>
      <c r="L844" s="22"/>
      <c r="M844" s="7" t="s">
        <v>11</v>
      </c>
      <c r="N844" s="7" t="s">
        <v>15</v>
      </c>
      <c r="O844" s="7" t="s">
        <v>17</v>
      </c>
      <c r="P844" s="7" t="s">
        <v>21</v>
      </c>
      <c r="Q844" s="30" t="s">
        <v>25</v>
      </c>
      <c r="R844" s="22"/>
      <c r="S844" s="7" t="s">
        <v>36</v>
      </c>
      <c r="U844" t="s">
        <v>48</v>
      </c>
      <c r="V844">
        <v>137</v>
      </c>
      <c r="W844" s="14" t="str">
        <f t="shared" si="96"/>
        <v>BBABMCN301</v>
      </c>
      <c r="X844" s="14" t="str">
        <f t="shared" si="97"/>
        <v>BBABMCN302</v>
      </c>
      <c r="Y844" s="14" t="str">
        <f t="shared" si="98"/>
        <v>BBABMCN303</v>
      </c>
      <c r="Z844" s="14" t="str">
        <f t="shared" si="99"/>
        <v>BBAENLN301</v>
      </c>
      <c r="AA844" s="14" t="str">
        <f t="shared" si="100"/>
        <v>BBAKALN302</v>
      </c>
      <c r="AB844" s="14" t="str">
        <f t="shared" si="101"/>
        <v>BCACAEN302</v>
      </c>
      <c r="AC844" s="14" t="str">
        <f t="shared" si="102"/>
        <v>COMFISN301</v>
      </c>
      <c r="AD844" s="14" t="str">
        <f t="shared" si="103"/>
        <v xml:space="preserve"> - - + - - </v>
      </c>
    </row>
    <row r="845" spans="5:30" ht="22.5">
      <c r="E845" s="6" t="s">
        <v>560</v>
      </c>
      <c r="F845" s="8" t="s">
        <v>39</v>
      </c>
      <c r="G845" s="9" t="s">
        <v>561</v>
      </c>
      <c r="H845" s="23" t="s">
        <v>562</v>
      </c>
      <c r="I845" s="24"/>
      <c r="J845" s="22"/>
      <c r="K845" s="23" t="s">
        <v>563</v>
      </c>
      <c r="L845" s="22"/>
      <c r="M845" s="9" t="s">
        <v>130</v>
      </c>
      <c r="N845" s="9" t="s">
        <v>449</v>
      </c>
      <c r="O845" s="9" t="s">
        <v>564</v>
      </c>
      <c r="P845" s="9" t="s">
        <v>565</v>
      </c>
      <c r="Q845" s="23" t="s">
        <v>43</v>
      </c>
      <c r="R845" s="22"/>
      <c r="S845" s="8" t="s">
        <v>33</v>
      </c>
      <c r="U845" t="s">
        <v>65</v>
      </c>
      <c r="V845">
        <v>424</v>
      </c>
      <c r="W845" s="14" t="str">
        <f t="shared" si="96"/>
        <v>14.00 + 22.00</v>
      </c>
      <c r="X845" s="14" t="str">
        <f t="shared" si="97"/>
        <v>47.00 + 33.00</v>
      </c>
      <c r="Y845" s="14" t="str">
        <f t="shared" si="98"/>
        <v>25.00 + 31.00</v>
      </c>
      <c r="Z845" s="14" t="str">
        <f t="shared" si="99"/>
        <v>40.00 + 24.00</v>
      </c>
      <c r="AA845" s="14" t="str">
        <f t="shared" si="100"/>
        <v>41.00 + 29.00</v>
      </c>
      <c r="AB845" s="14" t="str">
        <f t="shared" si="101"/>
        <v>11.00 + 19.00</v>
      </c>
      <c r="AC845" s="14" t="str">
        <f t="shared" si="102"/>
        <v>24.00 + 16.00</v>
      </c>
      <c r="AD845" s="14" t="str">
        <f t="shared" si="103"/>
        <v xml:space="preserve"> - - +48.00</v>
      </c>
    </row>
    <row r="846" spans="5:30">
      <c r="E846" s="25"/>
      <c r="F846" s="8" t="s">
        <v>42</v>
      </c>
      <c r="G846" s="9" t="s">
        <v>43</v>
      </c>
      <c r="H846" s="23" t="s">
        <v>43</v>
      </c>
      <c r="I846" s="24"/>
      <c r="J846" s="22"/>
      <c r="K846" s="23" t="s">
        <v>43</v>
      </c>
      <c r="L846" s="22"/>
      <c r="M846" s="9" t="s">
        <v>43</v>
      </c>
      <c r="N846" s="9" t="s">
        <v>43</v>
      </c>
      <c r="O846" s="9" t="s">
        <v>43</v>
      </c>
      <c r="P846" s="9" t="s">
        <v>43</v>
      </c>
      <c r="Q846" s="23" t="s">
        <v>107</v>
      </c>
      <c r="R846" s="22"/>
      <c r="S846" s="8" t="s">
        <v>33</v>
      </c>
      <c r="U846" t="s">
        <v>51</v>
      </c>
      <c r="V846">
        <v>700</v>
      </c>
      <c r="W846" s="14" t="str">
        <f t="shared" si="96"/>
        <v xml:space="preserve"> - - + - - </v>
      </c>
      <c r="X846" s="14" t="str">
        <f t="shared" si="97"/>
        <v xml:space="preserve"> - - + - - </v>
      </c>
      <c r="Y846" s="14" t="str">
        <f t="shared" si="98"/>
        <v xml:space="preserve"> - - + - - </v>
      </c>
      <c r="Z846" s="14" t="str">
        <f t="shared" si="99"/>
        <v xml:space="preserve"> - - + - - </v>
      </c>
      <c r="AA846" s="14" t="str">
        <f t="shared" si="100"/>
        <v xml:space="preserve"> - - + - - </v>
      </c>
      <c r="AB846" s="14" t="str">
        <f t="shared" si="101"/>
        <v xml:space="preserve"> - - + - - </v>
      </c>
      <c r="AC846" s="14" t="str">
        <f t="shared" si="102"/>
        <v xml:space="preserve"> - - + - - </v>
      </c>
      <c r="AD846" s="14" t="str">
        <f t="shared" si="103"/>
        <v/>
      </c>
    </row>
    <row r="847" spans="5:30">
      <c r="E847" s="27"/>
      <c r="F847" s="8" t="s">
        <v>44</v>
      </c>
      <c r="G847" s="9" t="s">
        <v>33</v>
      </c>
      <c r="H847" s="23" t="s">
        <v>33</v>
      </c>
      <c r="I847" s="24"/>
      <c r="J847" s="22"/>
      <c r="K847" s="23" t="s">
        <v>33</v>
      </c>
      <c r="L847" s="22"/>
      <c r="M847" s="9" t="s">
        <v>33</v>
      </c>
      <c r="N847" s="9" t="s">
        <v>33</v>
      </c>
      <c r="O847" s="9" t="s">
        <v>33</v>
      </c>
      <c r="P847" s="9" t="s">
        <v>33</v>
      </c>
      <c r="Q847" s="23" t="s">
        <v>33</v>
      </c>
      <c r="R847" s="22"/>
      <c r="S847" s="8">
        <v>0</v>
      </c>
      <c r="U847" t="s">
        <v>66</v>
      </c>
      <c r="V847" t="s">
        <v>33</v>
      </c>
      <c r="W847" s="14" t="str">
        <f t="shared" si="96"/>
        <v/>
      </c>
      <c r="X847" s="14" t="str">
        <f t="shared" si="97"/>
        <v/>
      </c>
      <c r="Y847" s="14" t="str">
        <f t="shared" si="98"/>
        <v/>
      </c>
      <c r="Z847" s="14" t="str">
        <f t="shared" si="99"/>
        <v/>
      </c>
      <c r="AA847" s="14" t="str">
        <f t="shared" si="100"/>
        <v/>
      </c>
      <c r="AB847" s="14" t="str">
        <f t="shared" si="101"/>
        <v/>
      </c>
      <c r="AC847" s="14" t="str">
        <f t="shared" si="102"/>
        <v/>
      </c>
      <c r="AD847" s="14">
        <f t="shared" si="103"/>
        <v>2</v>
      </c>
    </row>
    <row r="848" spans="5:30">
      <c r="E848" s="29"/>
      <c r="F848" s="8" t="s">
        <v>45</v>
      </c>
      <c r="G848" s="9">
        <v>4</v>
      </c>
      <c r="H848" s="23">
        <v>4</v>
      </c>
      <c r="I848" s="24"/>
      <c r="J848" s="22"/>
      <c r="K848" s="23">
        <v>4</v>
      </c>
      <c r="L848" s="22"/>
      <c r="M848" s="9">
        <v>3</v>
      </c>
      <c r="N848" s="9">
        <v>3</v>
      </c>
      <c r="O848" s="9">
        <v>3</v>
      </c>
      <c r="P848" s="9">
        <v>2</v>
      </c>
      <c r="Q848" s="23">
        <v>2</v>
      </c>
      <c r="R848" s="22"/>
      <c r="S848" s="8">
        <v>18</v>
      </c>
      <c r="U848" t="s">
        <v>56</v>
      </c>
      <c r="V848" t="s">
        <v>33</v>
      </c>
      <c r="W848" s="14">
        <f t="shared" si="96"/>
        <v>4</v>
      </c>
      <c r="X848" s="14">
        <f t="shared" si="97"/>
        <v>4</v>
      </c>
      <c r="Y848" s="14">
        <f t="shared" si="98"/>
        <v>4</v>
      </c>
      <c r="Z848" s="14">
        <f t="shared" si="99"/>
        <v>3</v>
      </c>
      <c r="AA848" s="14">
        <f t="shared" si="100"/>
        <v>3</v>
      </c>
      <c r="AB848" s="14">
        <f t="shared" si="101"/>
        <v>3</v>
      </c>
      <c r="AC848" s="14">
        <f t="shared" si="102"/>
        <v>2</v>
      </c>
      <c r="AD848" s="14">
        <f t="shared" si="103"/>
        <v>10</v>
      </c>
    </row>
    <row r="849" spans="5:30">
      <c r="E849" s="6"/>
      <c r="F849" s="8" t="s">
        <v>47</v>
      </c>
      <c r="G849" s="9"/>
      <c r="H849" s="23">
        <v>8.5</v>
      </c>
      <c r="I849" s="24"/>
      <c r="J849" s="22"/>
      <c r="K849" s="23">
        <v>6</v>
      </c>
      <c r="L849" s="22"/>
      <c r="M849" s="9">
        <v>6.5</v>
      </c>
      <c r="N849" s="9">
        <v>7.5</v>
      </c>
      <c r="O849" s="9"/>
      <c r="P849" s="9">
        <v>8.5</v>
      </c>
      <c r="Q849" s="23">
        <v>10</v>
      </c>
      <c r="R849" s="22"/>
      <c r="S849" s="8" t="s">
        <v>33</v>
      </c>
      <c r="U849" t="s">
        <v>33</v>
      </c>
      <c r="V849" t="s">
        <v>33</v>
      </c>
      <c r="W849" s="14">
        <f t="shared" si="96"/>
        <v>0</v>
      </c>
      <c r="X849" s="14">
        <f t="shared" si="97"/>
        <v>8.5</v>
      </c>
      <c r="Y849" s="14">
        <f t="shared" si="98"/>
        <v>6</v>
      </c>
      <c r="Z849" s="14">
        <f t="shared" si="99"/>
        <v>6.5</v>
      </c>
      <c r="AA849" s="14">
        <f t="shared" si="100"/>
        <v>7.5</v>
      </c>
      <c r="AB849" s="14">
        <f t="shared" si="101"/>
        <v>0</v>
      </c>
      <c r="AC849" s="14">
        <f t="shared" si="102"/>
        <v>8.5</v>
      </c>
      <c r="AD849" s="14">
        <f t="shared" si="103"/>
        <v>20</v>
      </c>
    </row>
    <row r="850" spans="5:30">
      <c r="E850" s="6"/>
      <c r="F850" s="8" t="s">
        <v>49</v>
      </c>
      <c r="G850" s="9"/>
      <c r="H850" s="23">
        <v>34</v>
      </c>
      <c r="I850" s="24"/>
      <c r="J850" s="22"/>
      <c r="K850" s="23">
        <v>24</v>
      </c>
      <c r="L850" s="22"/>
      <c r="M850" s="9">
        <v>19.5</v>
      </c>
      <c r="N850" s="9">
        <v>22.5</v>
      </c>
      <c r="O850" s="9"/>
      <c r="P850" s="9">
        <v>17</v>
      </c>
      <c r="Q850" s="23">
        <v>20</v>
      </c>
      <c r="R850" s="22"/>
      <c r="S850" s="8">
        <v>137</v>
      </c>
      <c r="U850">
        <v>0</v>
      </c>
      <c r="V850">
        <v>0</v>
      </c>
      <c r="W850" s="14">
        <f t="shared" si="96"/>
        <v>0</v>
      </c>
      <c r="X850" s="14">
        <f t="shared" si="97"/>
        <v>34</v>
      </c>
      <c r="Y850" s="14">
        <f t="shared" si="98"/>
        <v>24</v>
      </c>
      <c r="Z850" s="14">
        <f t="shared" si="99"/>
        <v>19.5</v>
      </c>
      <c r="AA850" s="14">
        <f t="shared" si="100"/>
        <v>22.5</v>
      </c>
      <c r="AB850" s="14">
        <f t="shared" si="101"/>
        <v>0</v>
      </c>
      <c r="AC850" s="14">
        <f t="shared" si="102"/>
        <v>17</v>
      </c>
      <c r="AD850" s="14">
        <f t="shared" si="103"/>
        <v>48</v>
      </c>
    </row>
    <row r="851" spans="5:30">
      <c r="E851" s="4"/>
      <c r="F851" s="8" t="s">
        <v>36</v>
      </c>
      <c r="G851" s="9">
        <v>36</v>
      </c>
      <c r="H851" s="23">
        <v>80</v>
      </c>
      <c r="I851" s="24"/>
      <c r="J851" s="22"/>
      <c r="K851" s="23">
        <v>56</v>
      </c>
      <c r="L851" s="22"/>
      <c r="M851" s="9">
        <v>64</v>
      </c>
      <c r="N851" s="9">
        <v>70</v>
      </c>
      <c r="O851" s="9">
        <v>30</v>
      </c>
      <c r="P851" s="9">
        <v>40</v>
      </c>
      <c r="Q851" s="23">
        <v>48</v>
      </c>
      <c r="R851" s="22"/>
      <c r="S851" s="8">
        <v>424</v>
      </c>
      <c r="U851" t="s">
        <v>31</v>
      </c>
      <c r="V851" t="s">
        <v>33</v>
      </c>
      <c r="W851" s="14">
        <f t="shared" si="96"/>
        <v>36</v>
      </c>
      <c r="X851" s="14">
        <f t="shared" si="97"/>
        <v>80</v>
      </c>
      <c r="Y851" s="14">
        <f t="shared" si="98"/>
        <v>56</v>
      </c>
      <c r="Z851" s="14">
        <f t="shared" si="99"/>
        <v>64</v>
      </c>
      <c r="AA851" s="14">
        <f t="shared" si="100"/>
        <v>70</v>
      </c>
      <c r="AB851" s="14">
        <f t="shared" si="101"/>
        <v>30</v>
      </c>
      <c r="AC851" s="14">
        <f t="shared" si="102"/>
        <v>40</v>
      </c>
      <c r="AD851" s="14">
        <f t="shared" si="103"/>
        <v>50</v>
      </c>
    </row>
    <row r="852" spans="5:30">
      <c r="E852" s="6"/>
      <c r="F852" s="8" t="s">
        <v>52</v>
      </c>
      <c r="G852" s="9">
        <v>100</v>
      </c>
      <c r="H852" s="23">
        <v>100</v>
      </c>
      <c r="I852" s="24"/>
      <c r="J852" s="22"/>
      <c r="K852" s="23">
        <v>100</v>
      </c>
      <c r="L852" s="22"/>
      <c r="M852" s="9">
        <v>100</v>
      </c>
      <c r="N852" s="9">
        <v>100</v>
      </c>
      <c r="O852" s="9">
        <v>100</v>
      </c>
      <c r="P852" s="9">
        <v>50</v>
      </c>
      <c r="Q852" s="23">
        <v>50</v>
      </c>
      <c r="R852" s="22"/>
      <c r="S852" s="8">
        <v>700</v>
      </c>
      <c r="U852" t="s">
        <v>567</v>
      </c>
      <c r="V852" t="s">
        <v>36</v>
      </c>
      <c r="W852" s="14">
        <f t="shared" si="96"/>
        <v>100</v>
      </c>
      <c r="X852" s="14">
        <f t="shared" si="97"/>
        <v>100</v>
      </c>
      <c r="Y852" s="14">
        <f t="shared" si="98"/>
        <v>100</v>
      </c>
      <c r="Z852" s="14">
        <f t="shared" si="99"/>
        <v>100</v>
      </c>
      <c r="AA852" s="14">
        <f t="shared" si="100"/>
        <v>100</v>
      </c>
      <c r="AB852" s="14">
        <f t="shared" si="101"/>
        <v>100</v>
      </c>
      <c r="AC852" s="14">
        <f t="shared" si="102"/>
        <v>50</v>
      </c>
      <c r="AD852" s="14" t="str">
        <f t="shared" si="103"/>
        <v>OO+</v>
      </c>
    </row>
    <row r="853" spans="5:30">
      <c r="E853" s="4"/>
      <c r="F853" s="8" t="s">
        <v>54</v>
      </c>
      <c r="G853" s="9"/>
      <c r="H853" s="23" t="s">
        <v>95</v>
      </c>
      <c r="I853" s="24"/>
      <c r="J853" s="22"/>
      <c r="K853" s="23" t="s">
        <v>147</v>
      </c>
      <c r="L853" s="22"/>
      <c r="M853" s="9" t="s">
        <v>76</v>
      </c>
      <c r="N853" s="9" t="s">
        <v>108</v>
      </c>
      <c r="O853" s="9"/>
      <c r="P853" s="9" t="s">
        <v>95</v>
      </c>
      <c r="Q853" s="23" t="s">
        <v>93</v>
      </c>
      <c r="R853" s="22"/>
      <c r="S853" s="8" t="s">
        <v>33</v>
      </c>
      <c r="U853" t="s">
        <v>37</v>
      </c>
      <c r="V853" t="s">
        <v>33</v>
      </c>
      <c r="W853" s="14">
        <f t="shared" si="96"/>
        <v>0</v>
      </c>
      <c r="X853" s="14" t="str">
        <f t="shared" si="97"/>
        <v>OA</v>
      </c>
      <c r="Y853" s="14" t="str">
        <f t="shared" si="98"/>
        <v>BB+</v>
      </c>
      <c r="Z853" s="14" t="str">
        <f t="shared" si="99"/>
        <v>AB</v>
      </c>
      <c r="AA853" s="14" t="str">
        <f t="shared" si="100"/>
        <v>AA</v>
      </c>
      <c r="AB853" s="14">
        <f t="shared" si="101"/>
        <v>0</v>
      </c>
      <c r="AC853" s="14" t="str">
        <f t="shared" si="102"/>
        <v>OA</v>
      </c>
      <c r="AD853" s="14" t="str">
        <f t="shared" si="103"/>
        <v>Pass</v>
      </c>
    </row>
    <row r="854" spans="5:30">
      <c r="E854" s="11" t="s">
        <v>566</v>
      </c>
      <c r="F854" s="8" t="s">
        <v>58</v>
      </c>
      <c r="G854" s="9" t="s">
        <v>68</v>
      </c>
      <c r="H854" s="23" t="s">
        <v>59</v>
      </c>
      <c r="I854" s="24"/>
      <c r="J854" s="22"/>
      <c r="K854" s="23" t="s">
        <v>59</v>
      </c>
      <c r="L854" s="22"/>
      <c r="M854" s="9" t="s">
        <v>59</v>
      </c>
      <c r="N854" s="9" t="s">
        <v>59</v>
      </c>
      <c r="O854" s="9" t="s">
        <v>68</v>
      </c>
      <c r="P854" s="9" t="s">
        <v>59</v>
      </c>
      <c r="Q854" s="23" t="s">
        <v>59</v>
      </c>
      <c r="R854" s="22"/>
      <c r="S854" s="8" t="s">
        <v>33</v>
      </c>
      <c r="U854" t="s">
        <v>402</v>
      </c>
      <c r="V854" t="s">
        <v>33</v>
      </c>
      <c r="W854" s="14" t="str">
        <f t="shared" si="96"/>
        <v>Fail</v>
      </c>
      <c r="X854" s="14" t="str">
        <f t="shared" si="97"/>
        <v>Pass</v>
      </c>
      <c r="Y854" s="14" t="str">
        <f t="shared" si="98"/>
        <v>Pass</v>
      </c>
      <c r="Z854" s="14" t="str">
        <f t="shared" si="99"/>
        <v>Pass</v>
      </c>
      <c r="AA854" s="14" t="str">
        <f t="shared" si="100"/>
        <v>Pass</v>
      </c>
      <c r="AB854" s="14" t="str">
        <f t="shared" si="101"/>
        <v>Fail</v>
      </c>
      <c r="AC854" s="14" t="str">
        <f t="shared" si="102"/>
        <v>Pass</v>
      </c>
      <c r="AD854" s="14" t="str">
        <f t="shared" si="103"/>
        <v/>
      </c>
    </row>
    <row r="855" spans="5:30">
      <c r="E855" s="12" t="s">
        <v>33</v>
      </c>
      <c r="F855" s="12" t="s">
        <v>33</v>
      </c>
      <c r="G855" s="13" t="s">
        <v>33</v>
      </c>
      <c r="H855" s="20" t="s">
        <v>33</v>
      </c>
      <c r="I855" s="18"/>
      <c r="J855" s="18"/>
      <c r="K855" s="20" t="s">
        <v>33</v>
      </c>
      <c r="L855" s="18"/>
      <c r="M855" s="13" t="s">
        <v>33</v>
      </c>
      <c r="N855" s="13" t="s">
        <v>33</v>
      </c>
      <c r="O855" s="13" t="s">
        <v>33</v>
      </c>
      <c r="P855" s="13" t="s">
        <v>33</v>
      </c>
      <c r="Q855" s="20" t="s">
        <v>33</v>
      </c>
      <c r="R855" s="18"/>
      <c r="S855" s="13" t="s">
        <v>33</v>
      </c>
      <c r="U855">
        <v>0</v>
      </c>
      <c r="V855">
        <v>0</v>
      </c>
      <c r="W855" s="14" t="str">
        <f t="shared" si="96"/>
        <v/>
      </c>
      <c r="X855" s="14" t="str">
        <f t="shared" si="97"/>
        <v/>
      </c>
      <c r="Y855" s="14" t="str">
        <f t="shared" si="98"/>
        <v/>
      </c>
      <c r="Z855" s="14" t="str">
        <f t="shared" si="99"/>
        <v/>
      </c>
      <c r="AA855" s="14" t="str">
        <f t="shared" si="100"/>
        <v/>
      </c>
      <c r="AB855" s="14" t="str">
        <f t="shared" si="101"/>
        <v/>
      </c>
      <c r="AC855" s="14" t="str">
        <f t="shared" si="102"/>
        <v/>
      </c>
      <c r="AD855" s="14">
        <f t="shared" si="103"/>
        <v>0</v>
      </c>
    </row>
    <row r="856" spans="5:30" ht="0.6" customHeight="1">
      <c r="U856">
        <v>0</v>
      </c>
      <c r="V856">
        <v>25</v>
      </c>
      <c r="W856" s="14">
        <f t="shared" si="96"/>
        <v>0</v>
      </c>
      <c r="X856" s="14">
        <f t="shared" si="97"/>
        <v>0</v>
      </c>
      <c r="Y856" s="14">
        <f t="shared" si="98"/>
        <v>0</v>
      </c>
      <c r="Z856" s="14">
        <f t="shared" si="99"/>
        <v>0</v>
      </c>
      <c r="AA856" s="14">
        <f t="shared" si="100"/>
        <v>0</v>
      </c>
      <c r="AB856" s="14">
        <f t="shared" si="101"/>
        <v>0</v>
      </c>
      <c r="AC856" s="14">
        <f t="shared" si="102"/>
        <v>0</v>
      </c>
      <c r="AD856" s="14" t="str">
        <f t="shared" si="103"/>
        <v/>
      </c>
    </row>
    <row r="857" spans="5:30">
      <c r="E857" s="4"/>
      <c r="F857" s="3" t="s">
        <v>32</v>
      </c>
      <c r="G857" s="5" t="s">
        <v>33</v>
      </c>
      <c r="H857" s="32" t="s">
        <v>33</v>
      </c>
      <c r="I857" s="18"/>
      <c r="J857" s="18"/>
      <c r="K857" s="32" t="s">
        <v>33</v>
      </c>
      <c r="L857" s="18"/>
      <c r="M857" s="5" t="s">
        <v>33</v>
      </c>
      <c r="N857" s="5" t="s">
        <v>33</v>
      </c>
      <c r="O857" s="5" t="s">
        <v>33</v>
      </c>
      <c r="P857" s="5" t="s">
        <v>33</v>
      </c>
      <c r="Q857" s="32" t="s">
        <v>33</v>
      </c>
      <c r="R857" s="18"/>
      <c r="S857" s="5" t="s">
        <v>33</v>
      </c>
      <c r="U857" t="s">
        <v>46</v>
      </c>
      <c r="V857" t="s">
        <v>33</v>
      </c>
      <c r="W857" s="14" t="str">
        <f t="shared" si="96"/>
        <v/>
      </c>
      <c r="X857" s="14" t="str">
        <f t="shared" si="97"/>
        <v/>
      </c>
      <c r="Y857" s="14" t="str">
        <f t="shared" si="98"/>
        <v/>
      </c>
      <c r="Z857" s="14" t="str">
        <f t="shared" si="99"/>
        <v/>
      </c>
      <c r="AA857" s="14" t="str">
        <f t="shared" si="100"/>
        <v/>
      </c>
      <c r="AB857" s="14" t="str">
        <f t="shared" si="101"/>
        <v/>
      </c>
      <c r="AC857" s="14" t="str">
        <f t="shared" si="102"/>
        <v/>
      </c>
      <c r="AD857" s="14" t="str">
        <f t="shared" si="103"/>
        <v>COMFISN301</v>
      </c>
    </row>
    <row r="858" spans="5:30" ht="21">
      <c r="E858" s="4"/>
      <c r="F858" s="7" t="s">
        <v>35</v>
      </c>
      <c r="G858" s="7" t="s">
        <v>5</v>
      </c>
      <c r="H858" s="30" t="s">
        <v>7</v>
      </c>
      <c r="I858" s="24"/>
      <c r="J858" s="22"/>
      <c r="K858" s="30" t="s">
        <v>9</v>
      </c>
      <c r="L858" s="22"/>
      <c r="M858" s="7" t="s">
        <v>11</v>
      </c>
      <c r="N858" s="7" t="s">
        <v>15</v>
      </c>
      <c r="O858" s="7" t="s">
        <v>17</v>
      </c>
      <c r="P858" s="7" t="s">
        <v>19</v>
      </c>
      <c r="Q858" s="30" t="s">
        <v>21</v>
      </c>
      <c r="R858" s="22"/>
      <c r="S858" s="7" t="s">
        <v>36</v>
      </c>
      <c r="U858" t="s">
        <v>48</v>
      </c>
      <c r="V858">
        <v>153.5</v>
      </c>
      <c r="W858" s="14" t="str">
        <f t="shared" si="96"/>
        <v>BBABMCN301</v>
      </c>
      <c r="X858" s="14" t="str">
        <f t="shared" si="97"/>
        <v>BBABMCN302</v>
      </c>
      <c r="Y858" s="14" t="str">
        <f t="shared" si="98"/>
        <v>BBABMCN303</v>
      </c>
      <c r="Z858" s="14" t="str">
        <f t="shared" si="99"/>
        <v>BBAENLN301</v>
      </c>
      <c r="AA858" s="14" t="str">
        <f t="shared" si="100"/>
        <v>BBAKALN302</v>
      </c>
      <c r="AB858" s="14" t="str">
        <f t="shared" si="101"/>
        <v>BCACAEN302</v>
      </c>
      <c r="AC858" s="14" t="str">
        <f t="shared" si="102"/>
        <v>COMCUSN302</v>
      </c>
      <c r="AD858" s="14" t="str">
        <f t="shared" si="103"/>
        <v>19.00 + 13.00</v>
      </c>
    </row>
    <row r="859" spans="5:30" ht="22.5">
      <c r="E859" s="6" t="s">
        <v>568</v>
      </c>
      <c r="F859" s="8" t="s">
        <v>39</v>
      </c>
      <c r="G859" s="9" t="s">
        <v>338</v>
      </c>
      <c r="H859" s="23" t="s">
        <v>569</v>
      </c>
      <c r="I859" s="24"/>
      <c r="J859" s="22"/>
      <c r="K859" s="23" t="s">
        <v>186</v>
      </c>
      <c r="L859" s="22"/>
      <c r="M859" s="9" t="s">
        <v>570</v>
      </c>
      <c r="N859" s="9" t="s">
        <v>265</v>
      </c>
      <c r="O859" s="9" t="s">
        <v>358</v>
      </c>
      <c r="P859" s="9" t="s">
        <v>43</v>
      </c>
      <c r="Q859" s="23" t="s">
        <v>378</v>
      </c>
      <c r="R859" s="22"/>
      <c r="S859" s="8" t="s">
        <v>33</v>
      </c>
      <c r="U859" t="s">
        <v>50</v>
      </c>
      <c r="V859">
        <v>397</v>
      </c>
      <c r="W859" s="14" t="str">
        <f t="shared" si="96"/>
        <v>27.00 + 19.00</v>
      </c>
      <c r="X859" s="14" t="str">
        <f t="shared" si="97"/>
        <v>32.00 + 20.00</v>
      </c>
      <c r="Y859" s="14" t="str">
        <f t="shared" si="98"/>
        <v>47.00 + 30.00</v>
      </c>
      <c r="Z859" s="14" t="str">
        <f t="shared" si="99"/>
        <v>38.00 + 19.00</v>
      </c>
      <c r="AA859" s="14" t="str">
        <f t="shared" si="100"/>
        <v>24.00 + 21.00</v>
      </c>
      <c r="AB859" s="14" t="str">
        <f t="shared" si="101"/>
        <v>21.00 + 19.00</v>
      </c>
      <c r="AC859" s="14" t="str">
        <f t="shared" si="102"/>
        <v xml:space="preserve"> - - + - - </v>
      </c>
      <c r="AD859" s="14" t="str">
        <f t="shared" si="103"/>
        <v xml:space="preserve"> - - + - - </v>
      </c>
    </row>
    <row r="860" spans="5:30">
      <c r="E860" s="25"/>
      <c r="F860" s="8" t="s">
        <v>42</v>
      </c>
      <c r="G860" s="9" t="s">
        <v>43</v>
      </c>
      <c r="H860" s="23" t="s">
        <v>43</v>
      </c>
      <c r="I860" s="24"/>
      <c r="J860" s="22"/>
      <c r="K860" s="23" t="s">
        <v>43</v>
      </c>
      <c r="L860" s="22"/>
      <c r="M860" s="9" t="s">
        <v>43</v>
      </c>
      <c r="N860" s="9" t="s">
        <v>43</v>
      </c>
      <c r="O860" s="9" t="s">
        <v>43</v>
      </c>
      <c r="P860" s="9" t="s">
        <v>107</v>
      </c>
      <c r="Q860" s="23" t="s">
        <v>43</v>
      </c>
      <c r="R860" s="22"/>
      <c r="S860" s="8" t="s">
        <v>33</v>
      </c>
      <c r="U860" t="s">
        <v>51</v>
      </c>
      <c r="V860">
        <v>700</v>
      </c>
      <c r="W860" s="14" t="str">
        <f t="shared" si="96"/>
        <v xml:space="preserve"> - - + - - </v>
      </c>
      <c r="X860" s="14" t="str">
        <f t="shared" si="97"/>
        <v xml:space="preserve"> - - + - - </v>
      </c>
      <c r="Y860" s="14" t="str">
        <f t="shared" si="98"/>
        <v xml:space="preserve"> - - + - - </v>
      </c>
      <c r="Z860" s="14" t="str">
        <f t="shared" si="99"/>
        <v xml:space="preserve"> - - + - - </v>
      </c>
      <c r="AA860" s="14" t="str">
        <f t="shared" si="100"/>
        <v xml:space="preserve"> - - + - - </v>
      </c>
      <c r="AB860" s="14" t="str">
        <f t="shared" si="101"/>
        <v xml:space="preserve"> - - + - - </v>
      </c>
      <c r="AC860" s="14" t="str">
        <f t="shared" si="102"/>
        <v xml:space="preserve"> - - +48.00</v>
      </c>
      <c r="AD860" s="14" t="str">
        <f t="shared" si="103"/>
        <v/>
      </c>
    </row>
    <row r="861" spans="5:30">
      <c r="E861" s="27"/>
      <c r="F861" s="8" t="s">
        <v>44</v>
      </c>
      <c r="G861" s="9" t="s">
        <v>33</v>
      </c>
      <c r="H861" s="23" t="s">
        <v>33</v>
      </c>
      <c r="I861" s="24"/>
      <c r="J861" s="22"/>
      <c r="K861" s="23" t="s">
        <v>33</v>
      </c>
      <c r="L861" s="22"/>
      <c r="M861" s="9" t="s">
        <v>33</v>
      </c>
      <c r="N861" s="9" t="s">
        <v>33</v>
      </c>
      <c r="O861" s="9" t="s">
        <v>33</v>
      </c>
      <c r="P861" s="9" t="s">
        <v>33</v>
      </c>
      <c r="Q861" s="23" t="s">
        <v>33</v>
      </c>
      <c r="R861" s="22"/>
      <c r="S861" s="8">
        <v>0</v>
      </c>
      <c r="U861" t="s">
        <v>53</v>
      </c>
      <c r="V861" t="s">
        <v>33</v>
      </c>
      <c r="W861" s="14" t="str">
        <f t="shared" si="96"/>
        <v/>
      </c>
      <c r="X861" s="14" t="str">
        <f t="shared" si="97"/>
        <v/>
      </c>
      <c r="Y861" s="14" t="str">
        <f t="shared" si="98"/>
        <v/>
      </c>
      <c r="Z861" s="14" t="str">
        <f t="shared" si="99"/>
        <v/>
      </c>
      <c r="AA861" s="14" t="str">
        <f t="shared" si="100"/>
        <v/>
      </c>
      <c r="AB861" s="14" t="str">
        <f t="shared" si="101"/>
        <v/>
      </c>
      <c r="AC861" s="14" t="str">
        <f t="shared" si="102"/>
        <v/>
      </c>
      <c r="AD861" s="14">
        <f t="shared" si="103"/>
        <v>2</v>
      </c>
    </row>
    <row r="862" spans="5:30">
      <c r="E862" s="29"/>
      <c r="F862" s="8" t="s">
        <v>45</v>
      </c>
      <c r="G862" s="9">
        <v>4</v>
      </c>
      <c r="H862" s="23">
        <v>4</v>
      </c>
      <c r="I862" s="24"/>
      <c r="J862" s="22"/>
      <c r="K862" s="23">
        <v>4</v>
      </c>
      <c r="L862" s="22"/>
      <c r="M862" s="9">
        <v>3</v>
      </c>
      <c r="N862" s="9">
        <v>3</v>
      </c>
      <c r="O862" s="9">
        <v>3</v>
      </c>
      <c r="P862" s="9">
        <v>2</v>
      </c>
      <c r="Q862" s="23">
        <v>2</v>
      </c>
      <c r="R862" s="22"/>
      <c r="S862" s="8">
        <v>25</v>
      </c>
      <c r="U862" t="s">
        <v>56</v>
      </c>
      <c r="V862" t="s">
        <v>33</v>
      </c>
      <c r="W862" s="14">
        <f t="shared" si="96"/>
        <v>4</v>
      </c>
      <c r="X862" s="14">
        <f t="shared" si="97"/>
        <v>4</v>
      </c>
      <c r="Y862" s="14">
        <f t="shared" si="98"/>
        <v>4</v>
      </c>
      <c r="Z862" s="14">
        <f t="shared" si="99"/>
        <v>3</v>
      </c>
      <c r="AA862" s="14">
        <f t="shared" si="100"/>
        <v>3</v>
      </c>
      <c r="AB862" s="14">
        <f t="shared" si="101"/>
        <v>3</v>
      </c>
      <c r="AC862" s="14">
        <f t="shared" si="102"/>
        <v>2</v>
      </c>
      <c r="AD862" s="14">
        <f t="shared" si="103"/>
        <v>6.5</v>
      </c>
    </row>
    <row r="863" spans="5:30">
      <c r="E863" s="6">
        <v>6.14</v>
      </c>
      <c r="F863" s="8" t="s">
        <v>47</v>
      </c>
      <c r="G863" s="9">
        <v>5</v>
      </c>
      <c r="H863" s="23">
        <v>5.5</v>
      </c>
      <c r="I863" s="24"/>
      <c r="J863" s="22"/>
      <c r="K863" s="23">
        <v>8</v>
      </c>
      <c r="L863" s="22"/>
      <c r="M863" s="9">
        <v>6</v>
      </c>
      <c r="N863" s="9">
        <v>5</v>
      </c>
      <c r="O863" s="9">
        <v>4.5</v>
      </c>
      <c r="P863" s="9">
        <v>10</v>
      </c>
      <c r="Q863" s="23">
        <v>6.5</v>
      </c>
      <c r="R863" s="22"/>
      <c r="S863" s="8" t="s">
        <v>33</v>
      </c>
      <c r="U863" t="s">
        <v>33</v>
      </c>
      <c r="V863" t="s">
        <v>33</v>
      </c>
      <c r="W863" s="14">
        <f t="shared" si="96"/>
        <v>5</v>
      </c>
      <c r="X863" s="14">
        <f t="shared" si="97"/>
        <v>5.5</v>
      </c>
      <c r="Y863" s="14">
        <f t="shared" si="98"/>
        <v>8</v>
      </c>
      <c r="Z863" s="14">
        <f t="shared" si="99"/>
        <v>6</v>
      </c>
      <c r="AA863" s="14">
        <f t="shared" si="100"/>
        <v>5</v>
      </c>
      <c r="AB863" s="14">
        <f t="shared" si="101"/>
        <v>4.5</v>
      </c>
      <c r="AC863" s="14">
        <f t="shared" si="102"/>
        <v>10</v>
      </c>
      <c r="AD863" s="14">
        <f t="shared" si="103"/>
        <v>13</v>
      </c>
    </row>
    <row r="864" spans="5:30">
      <c r="E864" s="10">
        <v>6.18</v>
      </c>
      <c r="F864" s="8" t="s">
        <v>49</v>
      </c>
      <c r="G864" s="9">
        <v>20</v>
      </c>
      <c r="H864" s="23">
        <v>22</v>
      </c>
      <c r="I864" s="24"/>
      <c r="J864" s="22"/>
      <c r="K864" s="23">
        <v>32</v>
      </c>
      <c r="L864" s="22"/>
      <c r="M864" s="9">
        <v>18</v>
      </c>
      <c r="N864" s="9">
        <v>15</v>
      </c>
      <c r="O864" s="9">
        <v>13.5</v>
      </c>
      <c r="P864" s="9">
        <v>20</v>
      </c>
      <c r="Q864" s="23">
        <v>13</v>
      </c>
      <c r="R864" s="22"/>
      <c r="S864" s="8">
        <v>153.5</v>
      </c>
      <c r="U864">
        <v>0</v>
      </c>
      <c r="V864">
        <v>0</v>
      </c>
      <c r="W864" s="14">
        <f t="shared" si="96"/>
        <v>20</v>
      </c>
      <c r="X864" s="14">
        <f t="shared" si="97"/>
        <v>22</v>
      </c>
      <c r="Y864" s="14">
        <f t="shared" si="98"/>
        <v>32</v>
      </c>
      <c r="Z864" s="14">
        <f t="shared" si="99"/>
        <v>18</v>
      </c>
      <c r="AA864" s="14">
        <f t="shared" si="100"/>
        <v>15</v>
      </c>
      <c r="AB864" s="14">
        <f t="shared" si="101"/>
        <v>13.5</v>
      </c>
      <c r="AC864" s="14">
        <f t="shared" si="102"/>
        <v>20</v>
      </c>
      <c r="AD864" s="14">
        <f t="shared" si="103"/>
        <v>32</v>
      </c>
    </row>
    <row r="865" spans="5:30">
      <c r="E865" s="4"/>
      <c r="F865" s="8" t="s">
        <v>36</v>
      </c>
      <c r="G865" s="9">
        <v>46</v>
      </c>
      <c r="H865" s="23">
        <v>52</v>
      </c>
      <c r="I865" s="24"/>
      <c r="J865" s="22"/>
      <c r="K865" s="23">
        <v>77</v>
      </c>
      <c r="L865" s="22"/>
      <c r="M865" s="9">
        <v>57</v>
      </c>
      <c r="N865" s="9">
        <v>45</v>
      </c>
      <c r="O865" s="9">
        <v>40</v>
      </c>
      <c r="P865" s="9">
        <v>48</v>
      </c>
      <c r="Q865" s="23">
        <v>32</v>
      </c>
      <c r="R865" s="22"/>
      <c r="S865" s="8">
        <v>397</v>
      </c>
      <c r="U865">
        <v>0</v>
      </c>
      <c r="V865">
        <v>0</v>
      </c>
      <c r="W865" s="14">
        <f t="shared" si="96"/>
        <v>46</v>
      </c>
      <c r="X865" s="14">
        <f t="shared" si="97"/>
        <v>52</v>
      </c>
      <c r="Y865" s="14">
        <f t="shared" si="98"/>
        <v>77</v>
      </c>
      <c r="Z865" s="14">
        <f t="shared" si="99"/>
        <v>57</v>
      </c>
      <c r="AA865" s="14">
        <f t="shared" si="100"/>
        <v>45</v>
      </c>
      <c r="AB865" s="14">
        <f t="shared" si="101"/>
        <v>40</v>
      </c>
      <c r="AC865" s="14">
        <f t="shared" si="102"/>
        <v>48</v>
      </c>
      <c r="AD865" s="14">
        <f t="shared" si="103"/>
        <v>50</v>
      </c>
    </row>
    <row r="866" spans="5:30">
      <c r="E866" s="6"/>
      <c r="F866" s="8" t="s">
        <v>52</v>
      </c>
      <c r="G866" s="9">
        <v>100</v>
      </c>
      <c r="H866" s="23">
        <v>100</v>
      </c>
      <c r="I866" s="24"/>
      <c r="J866" s="22"/>
      <c r="K866" s="23">
        <v>100</v>
      </c>
      <c r="L866" s="22"/>
      <c r="M866" s="9">
        <v>100</v>
      </c>
      <c r="N866" s="9">
        <v>100</v>
      </c>
      <c r="O866" s="9">
        <v>100</v>
      </c>
      <c r="P866" s="9">
        <v>50</v>
      </c>
      <c r="Q866" s="23">
        <v>50</v>
      </c>
      <c r="R866" s="22"/>
      <c r="S866" s="8">
        <v>700</v>
      </c>
      <c r="U866" t="s">
        <v>31</v>
      </c>
      <c r="V866" t="s">
        <v>33</v>
      </c>
      <c r="W866" s="14">
        <f t="shared" si="96"/>
        <v>100</v>
      </c>
      <c r="X866" s="14">
        <f t="shared" si="97"/>
        <v>100</v>
      </c>
      <c r="Y866" s="14">
        <f t="shared" si="98"/>
        <v>100</v>
      </c>
      <c r="Z866" s="14">
        <f t="shared" si="99"/>
        <v>100</v>
      </c>
      <c r="AA866" s="14">
        <f t="shared" si="100"/>
        <v>100</v>
      </c>
      <c r="AB866" s="14">
        <f t="shared" si="101"/>
        <v>100</v>
      </c>
      <c r="AC866" s="14">
        <f t="shared" si="102"/>
        <v>50</v>
      </c>
      <c r="AD866" s="14" t="str">
        <f t="shared" si="103"/>
        <v>AB</v>
      </c>
    </row>
    <row r="867" spans="5:30">
      <c r="E867" s="4"/>
      <c r="F867" s="8" t="s">
        <v>54</v>
      </c>
      <c r="G867" s="9" t="s">
        <v>55</v>
      </c>
      <c r="H867" s="23" t="s">
        <v>123</v>
      </c>
      <c r="I867" s="24"/>
      <c r="J867" s="22"/>
      <c r="K867" s="23" t="s">
        <v>135</v>
      </c>
      <c r="L867" s="22"/>
      <c r="M867" s="9" t="s">
        <v>147</v>
      </c>
      <c r="N867" s="9" t="s">
        <v>55</v>
      </c>
      <c r="O867" s="9" t="s">
        <v>75</v>
      </c>
      <c r="P867" s="9" t="s">
        <v>93</v>
      </c>
      <c r="Q867" s="23" t="s">
        <v>76</v>
      </c>
      <c r="R867" s="22"/>
      <c r="S867" s="8" t="s">
        <v>33</v>
      </c>
      <c r="U867" t="s">
        <v>572</v>
      </c>
      <c r="V867" t="s">
        <v>36</v>
      </c>
      <c r="W867" s="14" t="str">
        <f t="shared" si="96"/>
        <v>BC</v>
      </c>
      <c r="X867" s="14" t="str">
        <f t="shared" si="97"/>
        <v>BB</v>
      </c>
      <c r="Y867" s="14" t="str">
        <f t="shared" si="98"/>
        <v>AA+</v>
      </c>
      <c r="Z867" s="14" t="str">
        <f t="shared" si="99"/>
        <v>BB+</v>
      </c>
      <c r="AA867" s="14" t="str">
        <f t="shared" si="100"/>
        <v>BC</v>
      </c>
      <c r="AB867" s="14" t="str">
        <f t="shared" si="101"/>
        <v>PP</v>
      </c>
      <c r="AC867" s="14" t="str">
        <f t="shared" si="102"/>
        <v>OO+</v>
      </c>
      <c r="AD867" s="14" t="str">
        <f t="shared" si="103"/>
        <v>Pass</v>
      </c>
    </row>
    <row r="868" spans="5:30">
      <c r="E868" s="11" t="s">
        <v>571</v>
      </c>
      <c r="F868" s="8" t="s">
        <v>58</v>
      </c>
      <c r="G868" s="9" t="s">
        <v>59</v>
      </c>
      <c r="H868" s="23" t="s">
        <v>59</v>
      </c>
      <c r="I868" s="24"/>
      <c r="J868" s="22"/>
      <c r="K868" s="23" t="s">
        <v>59</v>
      </c>
      <c r="L868" s="22"/>
      <c r="M868" s="9" t="s">
        <v>59</v>
      </c>
      <c r="N868" s="9" t="s">
        <v>59</v>
      </c>
      <c r="O868" s="9" t="s">
        <v>59</v>
      </c>
      <c r="P868" s="9" t="s">
        <v>59</v>
      </c>
      <c r="Q868" s="23" t="s">
        <v>59</v>
      </c>
      <c r="R868" s="22"/>
      <c r="S868" s="8" t="s">
        <v>33</v>
      </c>
      <c r="U868" t="s">
        <v>37</v>
      </c>
      <c r="V868" t="s">
        <v>33</v>
      </c>
      <c r="W868" s="14" t="str">
        <f t="shared" si="96"/>
        <v>Pass</v>
      </c>
      <c r="X868" s="14" t="str">
        <f t="shared" si="97"/>
        <v>Pass</v>
      </c>
      <c r="Y868" s="14" t="str">
        <f t="shared" si="98"/>
        <v>Pass</v>
      </c>
      <c r="Z868" s="14" t="str">
        <f t="shared" si="99"/>
        <v>Pass</v>
      </c>
      <c r="AA868" s="14" t="str">
        <f t="shared" si="100"/>
        <v>Pass</v>
      </c>
      <c r="AB868" s="14" t="str">
        <f t="shared" si="101"/>
        <v>Pass</v>
      </c>
      <c r="AC868" s="14" t="str">
        <f t="shared" si="102"/>
        <v>Pass</v>
      </c>
      <c r="AD868" s="14" t="str">
        <f t="shared" si="103"/>
        <v/>
      </c>
    </row>
    <row r="869" spans="5:30">
      <c r="E869" s="12" t="s">
        <v>33</v>
      </c>
      <c r="F869" s="12" t="s">
        <v>33</v>
      </c>
      <c r="G869" s="13" t="s">
        <v>33</v>
      </c>
      <c r="H869" s="20" t="s">
        <v>33</v>
      </c>
      <c r="I869" s="18"/>
      <c r="J869" s="18"/>
      <c r="K869" s="20" t="s">
        <v>33</v>
      </c>
      <c r="L869" s="18"/>
      <c r="M869" s="13" t="s">
        <v>33</v>
      </c>
      <c r="N869" s="13" t="s">
        <v>33</v>
      </c>
      <c r="O869" s="13" t="s">
        <v>33</v>
      </c>
      <c r="P869" s="13" t="s">
        <v>33</v>
      </c>
      <c r="Q869" s="20" t="s">
        <v>33</v>
      </c>
      <c r="R869" s="18"/>
      <c r="S869" s="13" t="s">
        <v>33</v>
      </c>
      <c r="U869" t="s">
        <v>230</v>
      </c>
      <c r="V869" t="s">
        <v>33</v>
      </c>
      <c r="W869" s="14" t="str">
        <f t="shared" si="96"/>
        <v/>
      </c>
      <c r="X869" s="14" t="str">
        <f t="shared" si="97"/>
        <v/>
      </c>
      <c r="Y869" s="14" t="str">
        <f t="shared" si="98"/>
        <v/>
      </c>
      <c r="Z869" s="14" t="str">
        <f t="shared" si="99"/>
        <v/>
      </c>
      <c r="AA869" s="14" t="str">
        <f t="shared" si="100"/>
        <v/>
      </c>
      <c r="AB869" s="14" t="str">
        <f t="shared" si="101"/>
        <v/>
      </c>
      <c r="AC869" s="14" t="str">
        <f t="shared" si="102"/>
        <v/>
      </c>
      <c r="AD869" s="14">
        <f t="shared" si="103"/>
        <v>0</v>
      </c>
    </row>
    <row r="870" spans="5:30" ht="0" hidden="1" customHeight="1">
      <c r="U870">
        <v>0</v>
      </c>
      <c r="V870">
        <v>0</v>
      </c>
      <c r="W870" s="14">
        <f t="shared" si="96"/>
        <v>0</v>
      </c>
      <c r="X870" s="14">
        <f t="shared" si="97"/>
        <v>0</v>
      </c>
      <c r="Y870" s="14">
        <f t="shared" si="98"/>
        <v>0</v>
      </c>
      <c r="Z870" s="14">
        <f t="shared" si="99"/>
        <v>0</v>
      </c>
      <c r="AA870" s="14">
        <f t="shared" si="100"/>
        <v>0</v>
      </c>
      <c r="AB870" s="14">
        <f t="shared" si="101"/>
        <v>0</v>
      </c>
      <c r="AC870" s="14">
        <f t="shared" si="102"/>
        <v>0</v>
      </c>
      <c r="AD870" s="14">
        <f t="shared" si="103"/>
        <v>0</v>
      </c>
    </row>
    <row r="871" spans="5:30" ht="0.6" customHeight="1">
      <c r="U871">
        <v>0</v>
      </c>
      <c r="V871">
        <v>25</v>
      </c>
      <c r="W871" s="14">
        <f t="shared" si="96"/>
        <v>0</v>
      </c>
      <c r="X871" s="14">
        <f t="shared" si="97"/>
        <v>0</v>
      </c>
      <c r="Y871" s="14">
        <f t="shared" si="98"/>
        <v>0</v>
      </c>
      <c r="Z871" s="14">
        <f t="shared" si="99"/>
        <v>0</v>
      </c>
      <c r="AA871" s="14">
        <f t="shared" si="100"/>
        <v>0</v>
      </c>
      <c r="AB871" s="14">
        <f t="shared" si="101"/>
        <v>0</v>
      </c>
      <c r="AC871" s="14">
        <f t="shared" si="102"/>
        <v>0</v>
      </c>
      <c r="AD871" s="14" t="str">
        <f t="shared" si="103"/>
        <v/>
      </c>
    </row>
    <row r="872" spans="5:30">
      <c r="E872" s="4"/>
      <c r="F872" s="3" t="s">
        <v>32</v>
      </c>
      <c r="G872" s="5" t="s">
        <v>33</v>
      </c>
      <c r="H872" s="32" t="s">
        <v>33</v>
      </c>
      <c r="I872" s="18"/>
      <c r="J872" s="18"/>
      <c r="K872" s="32" t="s">
        <v>33</v>
      </c>
      <c r="L872" s="18"/>
      <c r="M872" s="5" t="s">
        <v>33</v>
      </c>
      <c r="N872" s="5" t="s">
        <v>33</v>
      </c>
      <c r="O872" s="5" t="s">
        <v>33</v>
      </c>
      <c r="P872" s="5" t="s">
        <v>33</v>
      </c>
      <c r="Q872" s="32" t="s">
        <v>33</v>
      </c>
      <c r="R872" s="18"/>
      <c r="S872" s="5" t="s">
        <v>33</v>
      </c>
      <c r="U872" t="s">
        <v>46</v>
      </c>
      <c r="V872" t="s">
        <v>33</v>
      </c>
      <c r="W872" s="14" t="str">
        <f t="shared" si="96"/>
        <v/>
      </c>
      <c r="X872" s="14" t="str">
        <f t="shared" si="97"/>
        <v/>
      </c>
      <c r="Y872" s="14" t="str">
        <f t="shared" si="98"/>
        <v/>
      </c>
      <c r="Z872" s="14" t="str">
        <f t="shared" si="99"/>
        <v/>
      </c>
      <c r="AA872" s="14" t="str">
        <f t="shared" si="100"/>
        <v/>
      </c>
      <c r="AB872" s="14" t="str">
        <f t="shared" si="101"/>
        <v/>
      </c>
      <c r="AC872" s="14" t="str">
        <f t="shared" si="102"/>
        <v/>
      </c>
      <c r="AD872" s="14" t="str">
        <f t="shared" si="103"/>
        <v>COMNCSN302</v>
      </c>
    </row>
    <row r="873" spans="5:30" ht="21">
      <c r="E873" s="4"/>
      <c r="F873" s="7" t="s">
        <v>35</v>
      </c>
      <c r="G873" s="7" t="s">
        <v>5</v>
      </c>
      <c r="H873" s="30" t="s">
        <v>7</v>
      </c>
      <c r="I873" s="24"/>
      <c r="J873" s="22"/>
      <c r="K873" s="30" t="s">
        <v>9</v>
      </c>
      <c r="L873" s="22"/>
      <c r="M873" s="7" t="s">
        <v>11</v>
      </c>
      <c r="N873" s="7" t="s">
        <v>15</v>
      </c>
      <c r="O873" s="7" t="s">
        <v>17</v>
      </c>
      <c r="P873" s="7" t="s">
        <v>21</v>
      </c>
      <c r="Q873" s="30" t="s">
        <v>23</v>
      </c>
      <c r="R873" s="22"/>
      <c r="S873" s="7" t="s">
        <v>36</v>
      </c>
      <c r="U873" t="s">
        <v>48</v>
      </c>
      <c r="V873">
        <v>223.5</v>
      </c>
      <c r="W873" s="14" t="str">
        <f t="shared" si="96"/>
        <v>BBABMCN301</v>
      </c>
      <c r="X873" s="14" t="str">
        <f t="shared" si="97"/>
        <v>BBABMCN302</v>
      </c>
      <c r="Y873" s="14" t="str">
        <f t="shared" si="98"/>
        <v>BBABMCN303</v>
      </c>
      <c r="Z873" s="14" t="str">
        <f t="shared" si="99"/>
        <v>BBAENLN301</v>
      </c>
      <c r="AA873" s="14" t="str">
        <f t="shared" si="100"/>
        <v>BBAKALN302</v>
      </c>
      <c r="AB873" s="14" t="str">
        <f t="shared" si="101"/>
        <v>BCACAEN302</v>
      </c>
      <c r="AC873" s="14" t="str">
        <f t="shared" si="102"/>
        <v>COMFISN301</v>
      </c>
      <c r="AD873" s="14" t="str">
        <f t="shared" si="103"/>
        <v xml:space="preserve"> - - + - - </v>
      </c>
    </row>
    <row r="874" spans="5:30" ht="22.5">
      <c r="E874" s="6" t="s">
        <v>573</v>
      </c>
      <c r="F874" s="8" t="s">
        <v>39</v>
      </c>
      <c r="G874" s="9" t="s">
        <v>302</v>
      </c>
      <c r="H874" s="23" t="s">
        <v>274</v>
      </c>
      <c r="I874" s="24"/>
      <c r="J874" s="22"/>
      <c r="K874" s="23" t="s">
        <v>574</v>
      </c>
      <c r="L874" s="22"/>
      <c r="M874" s="9" t="s">
        <v>433</v>
      </c>
      <c r="N874" s="9" t="s">
        <v>165</v>
      </c>
      <c r="O874" s="9" t="s">
        <v>188</v>
      </c>
      <c r="P874" s="9" t="s">
        <v>201</v>
      </c>
      <c r="Q874" s="23" t="s">
        <v>43</v>
      </c>
      <c r="R874" s="22"/>
      <c r="S874" s="8" t="s">
        <v>33</v>
      </c>
      <c r="U874" t="s">
        <v>50</v>
      </c>
      <c r="V874">
        <v>600</v>
      </c>
      <c r="W874" s="14" t="str">
        <f t="shared" si="96"/>
        <v>51.00 + 34.00</v>
      </c>
      <c r="X874" s="14" t="str">
        <f t="shared" si="97"/>
        <v>46.00 + 38.00</v>
      </c>
      <c r="Y874" s="14" t="str">
        <f t="shared" si="98"/>
        <v>60.00 + 39.00</v>
      </c>
      <c r="Z874" s="14" t="str">
        <f t="shared" si="99"/>
        <v>38.00 + 33.00</v>
      </c>
      <c r="AA874" s="14" t="str">
        <f t="shared" si="100"/>
        <v>57.00 + 40.00</v>
      </c>
      <c r="AB874" s="14" t="str">
        <f t="shared" si="101"/>
        <v>36.00 + 29.00</v>
      </c>
      <c r="AC874" s="14" t="str">
        <f t="shared" si="102"/>
        <v>29.00 + 20.00</v>
      </c>
      <c r="AD874" s="14" t="str">
        <f t="shared" si="103"/>
        <v xml:space="preserve"> - - +50.00</v>
      </c>
    </row>
    <row r="875" spans="5:30">
      <c r="E875" s="25"/>
      <c r="F875" s="8" t="s">
        <v>42</v>
      </c>
      <c r="G875" s="9" t="s">
        <v>43</v>
      </c>
      <c r="H875" s="23" t="s">
        <v>43</v>
      </c>
      <c r="I875" s="24"/>
      <c r="J875" s="22"/>
      <c r="K875" s="23" t="s">
        <v>43</v>
      </c>
      <c r="L875" s="22"/>
      <c r="M875" s="9" t="s">
        <v>43</v>
      </c>
      <c r="N875" s="9" t="s">
        <v>43</v>
      </c>
      <c r="O875" s="9" t="s">
        <v>43</v>
      </c>
      <c r="P875" s="9" t="s">
        <v>43</v>
      </c>
      <c r="Q875" s="23" t="s">
        <v>91</v>
      </c>
      <c r="R875" s="22"/>
      <c r="S875" s="8" t="s">
        <v>33</v>
      </c>
      <c r="U875" t="s">
        <v>51</v>
      </c>
      <c r="V875">
        <v>700</v>
      </c>
      <c r="W875" s="14" t="str">
        <f t="shared" si="96"/>
        <v xml:space="preserve"> - - + - - </v>
      </c>
      <c r="X875" s="14" t="str">
        <f t="shared" si="97"/>
        <v xml:space="preserve"> - - + - - </v>
      </c>
      <c r="Y875" s="14" t="str">
        <f t="shared" si="98"/>
        <v xml:space="preserve"> - - + - - </v>
      </c>
      <c r="Z875" s="14" t="str">
        <f t="shared" si="99"/>
        <v xml:space="preserve"> - - + - - </v>
      </c>
      <c r="AA875" s="14" t="str">
        <f t="shared" si="100"/>
        <v xml:space="preserve"> - - + - - </v>
      </c>
      <c r="AB875" s="14" t="str">
        <f t="shared" si="101"/>
        <v xml:space="preserve"> - - + - - </v>
      </c>
      <c r="AC875" s="14" t="str">
        <f t="shared" si="102"/>
        <v xml:space="preserve"> - - + - - </v>
      </c>
      <c r="AD875" s="14" t="str">
        <f t="shared" si="103"/>
        <v/>
      </c>
    </row>
    <row r="876" spans="5:30">
      <c r="E876" s="27"/>
      <c r="F876" s="8" t="s">
        <v>44</v>
      </c>
      <c r="G876" s="9" t="s">
        <v>33</v>
      </c>
      <c r="H876" s="23" t="s">
        <v>33</v>
      </c>
      <c r="I876" s="24"/>
      <c r="J876" s="22"/>
      <c r="K876" s="23" t="s">
        <v>33</v>
      </c>
      <c r="L876" s="22"/>
      <c r="M876" s="9" t="s">
        <v>33</v>
      </c>
      <c r="N876" s="9" t="s">
        <v>33</v>
      </c>
      <c r="O876" s="9" t="s">
        <v>33</v>
      </c>
      <c r="P876" s="9" t="s">
        <v>33</v>
      </c>
      <c r="Q876" s="23" t="s">
        <v>33</v>
      </c>
      <c r="R876" s="22"/>
      <c r="S876" s="8">
        <v>0</v>
      </c>
      <c r="U876" t="s">
        <v>170</v>
      </c>
      <c r="V876" t="s">
        <v>33</v>
      </c>
      <c r="W876" s="14" t="str">
        <f t="shared" si="96"/>
        <v/>
      </c>
      <c r="X876" s="14" t="str">
        <f t="shared" si="97"/>
        <v/>
      </c>
      <c r="Y876" s="14" t="str">
        <f t="shared" si="98"/>
        <v/>
      </c>
      <c r="Z876" s="14" t="str">
        <f t="shared" si="99"/>
        <v/>
      </c>
      <c r="AA876" s="14" t="str">
        <f t="shared" si="100"/>
        <v/>
      </c>
      <c r="AB876" s="14" t="str">
        <f t="shared" si="101"/>
        <v/>
      </c>
      <c r="AC876" s="14" t="str">
        <f t="shared" si="102"/>
        <v/>
      </c>
      <c r="AD876" s="14">
        <f t="shared" si="103"/>
        <v>2</v>
      </c>
    </row>
    <row r="877" spans="5:30">
      <c r="E877" s="29"/>
      <c r="F877" s="8" t="s">
        <v>45</v>
      </c>
      <c r="G877" s="9">
        <v>4</v>
      </c>
      <c r="H877" s="23">
        <v>4</v>
      </c>
      <c r="I877" s="24"/>
      <c r="J877" s="22"/>
      <c r="K877" s="23">
        <v>4</v>
      </c>
      <c r="L877" s="22"/>
      <c r="M877" s="9">
        <v>3</v>
      </c>
      <c r="N877" s="9">
        <v>3</v>
      </c>
      <c r="O877" s="9">
        <v>3</v>
      </c>
      <c r="P877" s="9">
        <v>2</v>
      </c>
      <c r="Q877" s="23">
        <v>2</v>
      </c>
      <c r="R877" s="22"/>
      <c r="S877" s="8">
        <v>25</v>
      </c>
      <c r="U877" t="s">
        <v>56</v>
      </c>
      <c r="V877" t="s">
        <v>33</v>
      </c>
      <c r="W877" s="14">
        <f t="shared" si="96"/>
        <v>4</v>
      </c>
      <c r="X877" s="14">
        <f t="shared" si="97"/>
        <v>4</v>
      </c>
      <c r="Y877" s="14">
        <f t="shared" si="98"/>
        <v>4</v>
      </c>
      <c r="Z877" s="14">
        <f t="shared" si="99"/>
        <v>3</v>
      </c>
      <c r="AA877" s="14">
        <f t="shared" si="100"/>
        <v>3</v>
      </c>
      <c r="AB877" s="14">
        <f t="shared" si="101"/>
        <v>3</v>
      </c>
      <c r="AC877" s="14">
        <f t="shared" si="102"/>
        <v>2</v>
      </c>
      <c r="AD877" s="14">
        <f t="shared" si="103"/>
        <v>10</v>
      </c>
    </row>
    <row r="878" spans="5:30">
      <c r="E878" s="6">
        <v>8.94</v>
      </c>
      <c r="F878" s="8" t="s">
        <v>47</v>
      </c>
      <c r="G878" s="9">
        <v>9</v>
      </c>
      <c r="H878" s="23">
        <v>8.5</v>
      </c>
      <c r="I878" s="24"/>
      <c r="J878" s="22"/>
      <c r="K878" s="23">
        <v>10</v>
      </c>
      <c r="L878" s="22"/>
      <c r="M878" s="9">
        <v>7.5</v>
      </c>
      <c r="N878" s="9">
        <v>10</v>
      </c>
      <c r="O878" s="9">
        <v>7</v>
      </c>
      <c r="P878" s="9">
        <v>10</v>
      </c>
      <c r="Q878" s="23">
        <v>10</v>
      </c>
      <c r="R878" s="22"/>
      <c r="S878" s="8" t="s">
        <v>33</v>
      </c>
      <c r="U878" t="s">
        <v>33</v>
      </c>
      <c r="V878" t="s">
        <v>33</v>
      </c>
      <c r="W878" s="14">
        <f t="shared" si="96"/>
        <v>9</v>
      </c>
      <c r="X878" s="14">
        <f t="shared" si="97"/>
        <v>8.5</v>
      </c>
      <c r="Y878" s="14">
        <f t="shared" si="98"/>
        <v>10</v>
      </c>
      <c r="Z878" s="14">
        <f t="shared" si="99"/>
        <v>7.5</v>
      </c>
      <c r="AA878" s="14">
        <f t="shared" si="100"/>
        <v>10</v>
      </c>
      <c r="AB878" s="14">
        <f t="shared" si="101"/>
        <v>7</v>
      </c>
      <c r="AC878" s="14">
        <f t="shared" si="102"/>
        <v>10</v>
      </c>
      <c r="AD878" s="14">
        <f t="shared" si="103"/>
        <v>20</v>
      </c>
    </row>
    <row r="879" spans="5:30">
      <c r="E879" s="10">
        <v>9.01</v>
      </c>
      <c r="F879" s="8" t="s">
        <v>49</v>
      </c>
      <c r="G879" s="9">
        <v>36</v>
      </c>
      <c r="H879" s="23">
        <v>34</v>
      </c>
      <c r="I879" s="24"/>
      <c r="J879" s="22"/>
      <c r="K879" s="23">
        <v>40</v>
      </c>
      <c r="L879" s="22"/>
      <c r="M879" s="9">
        <v>22.5</v>
      </c>
      <c r="N879" s="9">
        <v>30</v>
      </c>
      <c r="O879" s="9">
        <v>21</v>
      </c>
      <c r="P879" s="9">
        <v>20</v>
      </c>
      <c r="Q879" s="23">
        <v>20</v>
      </c>
      <c r="R879" s="22"/>
      <c r="S879" s="8">
        <v>223.5</v>
      </c>
      <c r="U879">
        <v>0</v>
      </c>
      <c r="V879">
        <v>0</v>
      </c>
      <c r="W879" s="14">
        <f t="shared" si="96"/>
        <v>36</v>
      </c>
      <c r="X879" s="14">
        <f t="shared" si="97"/>
        <v>34</v>
      </c>
      <c r="Y879" s="14">
        <f t="shared" si="98"/>
        <v>40</v>
      </c>
      <c r="Z879" s="14">
        <f t="shared" si="99"/>
        <v>22.5</v>
      </c>
      <c r="AA879" s="14">
        <f t="shared" si="100"/>
        <v>30</v>
      </c>
      <c r="AB879" s="14">
        <f t="shared" si="101"/>
        <v>21</v>
      </c>
      <c r="AC879" s="14">
        <f t="shared" si="102"/>
        <v>20</v>
      </c>
      <c r="AD879" s="14">
        <f t="shared" si="103"/>
        <v>50</v>
      </c>
    </row>
    <row r="880" spans="5:30">
      <c r="E880" s="4"/>
      <c r="F880" s="8" t="s">
        <v>36</v>
      </c>
      <c r="G880" s="9">
        <v>85</v>
      </c>
      <c r="H880" s="23">
        <v>84</v>
      </c>
      <c r="I880" s="24"/>
      <c r="J880" s="22"/>
      <c r="K880" s="23">
        <v>99</v>
      </c>
      <c r="L880" s="22"/>
      <c r="M880" s="9">
        <v>71</v>
      </c>
      <c r="N880" s="9">
        <v>97</v>
      </c>
      <c r="O880" s="9">
        <v>65</v>
      </c>
      <c r="P880" s="9">
        <v>49</v>
      </c>
      <c r="Q880" s="23">
        <v>50</v>
      </c>
      <c r="R880" s="22"/>
      <c r="S880" s="8">
        <v>600</v>
      </c>
      <c r="U880">
        <v>0</v>
      </c>
      <c r="V880">
        <v>0</v>
      </c>
      <c r="W880" s="14">
        <f t="shared" si="96"/>
        <v>85</v>
      </c>
      <c r="X880" s="14">
        <f t="shared" si="97"/>
        <v>84</v>
      </c>
      <c r="Y880" s="14">
        <f t="shared" si="98"/>
        <v>99</v>
      </c>
      <c r="Z880" s="14">
        <f t="shared" si="99"/>
        <v>71</v>
      </c>
      <c r="AA880" s="14">
        <f t="shared" si="100"/>
        <v>97</v>
      </c>
      <c r="AB880" s="14">
        <f t="shared" si="101"/>
        <v>65</v>
      </c>
      <c r="AC880" s="14">
        <f t="shared" si="102"/>
        <v>49</v>
      </c>
      <c r="AD880" s="14">
        <f t="shared" si="103"/>
        <v>50</v>
      </c>
    </row>
    <row r="881" spans="5:30">
      <c r="E881" s="6"/>
      <c r="F881" s="8" t="s">
        <v>52</v>
      </c>
      <c r="G881" s="9">
        <v>100</v>
      </c>
      <c r="H881" s="23">
        <v>100</v>
      </c>
      <c r="I881" s="24"/>
      <c r="J881" s="22"/>
      <c r="K881" s="23">
        <v>100</v>
      </c>
      <c r="L881" s="22"/>
      <c r="M881" s="9">
        <v>100</v>
      </c>
      <c r="N881" s="9">
        <v>100</v>
      </c>
      <c r="O881" s="9">
        <v>100</v>
      </c>
      <c r="P881" s="9">
        <v>50</v>
      </c>
      <c r="Q881" s="23">
        <v>50</v>
      </c>
      <c r="R881" s="22"/>
      <c r="S881" s="8">
        <v>700</v>
      </c>
      <c r="U881" t="s">
        <v>31</v>
      </c>
      <c r="V881" t="s">
        <v>33</v>
      </c>
      <c r="W881" s="14">
        <f t="shared" si="96"/>
        <v>100</v>
      </c>
      <c r="X881" s="14">
        <f t="shared" si="97"/>
        <v>100</v>
      </c>
      <c r="Y881" s="14">
        <f t="shared" si="98"/>
        <v>100</v>
      </c>
      <c r="Z881" s="14">
        <f t="shared" si="99"/>
        <v>100</v>
      </c>
      <c r="AA881" s="14">
        <f t="shared" si="100"/>
        <v>100</v>
      </c>
      <c r="AB881" s="14">
        <f t="shared" si="101"/>
        <v>100</v>
      </c>
      <c r="AC881" s="14">
        <f t="shared" si="102"/>
        <v>50</v>
      </c>
      <c r="AD881" s="14" t="str">
        <f t="shared" si="103"/>
        <v>OO+</v>
      </c>
    </row>
    <row r="882" spans="5:30">
      <c r="E882" s="4"/>
      <c r="F882" s="8" t="s">
        <v>54</v>
      </c>
      <c r="G882" s="9" t="s">
        <v>122</v>
      </c>
      <c r="H882" s="23" t="s">
        <v>95</v>
      </c>
      <c r="I882" s="24"/>
      <c r="J882" s="22"/>
      <c r="K882" s="23" t="s">
        <v>93</v>
      </c>
      <c r="L882" s="22"/>
      <c r="M882" s="9" t="s">
        <v>108</v>
      </c>
      <c r="N882" s="9" t="s">
        <v>93</v>
      </c>
      <c r="O882" s="9" t="s">
        <v>109</v>
      </c>
      <c r="P882" s="9" t="s">
        <v>93</v>
      </c>
      <c r="Q882" s="23" t="s">
        <v>93</v>
      </c>
      <c r="R882" s="22"/>
      <c r="S882" s="8" t="s">
        <v>33</v>
      </c>
      <c r="U882" t="s">
        <v>576</v>
      </c>
      <c r="V882" t="s">
        <v>36</v>
      </c>
      <c r="W882" s="14" t="str">
        <f t="shared" si="96"/>
        <v>OA+</v>
      </c>
      <c r="X882" s="14" t="str">
        <f t="shared" si="97"/>
        <v>OA</v>
      </c>
      <c r="Y882" s="14" t="str">
        <f t="shared" si="98"/>
        <v>OO+</v>
      </c>
      <c r="Z882" s="14" t="str">
        <f t="shared" si="99"/>
        <v>AA</v>
      </c>
      <c r="AA882" s="14" t="str">
        <f t="shared" si="100"/>
        <v>OO+</v>
      </c>
      <c r="AB882" s="14" t="str">
        <f t="shared" si="101"/>
        <v>AB+</v>
      </c>
      <c r="AC882" s="14" t="str">
        <f t="shared" si="102"/>
        <v>OO+</v>
      </c>
      <c r="AD882" s="14" t="str">
        <f t="shared" si="103"/>
        <v>Pass</v>
      </c>
    </row>
    <row r="883" spans="5:30">
      <c r="E883" s="11" t="s">
        <v>575</v>
      </c>
      <c r="F883" s="8" t="s">
        <v>58</v>
      </c>
      <c r="G883" s="9" t="s">
        <v>59</v>
      </c>
      <c r="H883" s="23" t="s">
        <v>59</v>
      </c>
      <c r="I883" s="24"/>
      <c r="J883" s="22"/>
      <c r="K883" s="23" t="s">
        <v>59</v>
      </c>
      <c r="L883" s="22"/>
      <c r="M883" s="9" t="s">
        <v>59</v>
      </c>
      <c r="N883" s="9" t="s">
        <v>59</v>
      </c>
      <c r="O883" s="9" t="s">
        <v>59</v>
      </c>
      <c r="P883" s="9" t="s">
        <v>59</v>
      </c>
      <c r="Q883" s="23" t="s">
        <v>59</v>
      </c>
      <c r="R883" s="22"/>
      <c r="S883" s="8" t="s">
        <v>33</v>
      </c>
      <c r="U883" t="s">
        <v>37</v>
      </c>
      <c r="V883" t="s">
        <v>33</v>
      </c>
      <c r="W883" s="14" t="str">
        <f t="shared" si="96"/>
        <v>Pass</v>
      </c>
      <c r="X883" s="14" t="str">
        <f t="shared" si="97"/>
        <v>Pass</v>
      </c>
      <c r="Y883" s="14" t="str">
        <f t="shared" si="98"/>
        <v>Pass</v>
      </c>
      <c r="Z883" s="14" t="str">
        <f t="shared" si="99"/>
        <v>Pass</v>
      </c>
      <c r="AA883" s="14" t="str">
        <f t="shared" si="100"/>
        <v>Pass</v>
      </c>
      <c r="AB883" s="14" t="str">
        <f t="shared" si="101"/>
        <v>Pass</v>
      </c>
      <c r="AC883" s="14" t="str">
        <f t="shared" si="102"/>
        <v>Pass</v>
      </c>
      <c r="AD883" s="14" t="str">
        <f t="shared" si="103"/>
        <v/>
      </c>
    </row>
    <row r="884" spans="5:30">
      <c r="E884" s="12" t="s">
        <v>33</v>
      </c>
      <c r="F884" s="12" t="s">
        <v>33</v>
      </c>
      <c r="G884" s="13" t="s">
        <v>33</v>
      </c>
      <c r="H884" s="20" t="s">
        <v>33</v>
      </c>
      <c r="I884" s="18"/>
      <c r="J884" s="18"/>
      <c r="K884" s="20" t="s">
        <v>33</v>
      </c>
      <c r="L884" s="18"/>
      <c r="M884" s="13" t="s">
        <v>33</v>
      </c>
      <c r="N884" s="13" t="s">
        <v>33</v>
      </c>
      <c r="O884" s="13" t="s">
        <v>33</v>
      </c>
      <c r="P884" s="13" t="s">
        <v>33</v>
      </c>
      <c r="Q884" s="20" t="s">
        <v>33</v>
      </c>
      <c r="R884" s="18"/>
      <c r="S884" s="13" t="s">
        <v>33</v>
      </c>
      <c r="U884" t="s">
        <v>580</v>
      </c>
      <c r="V884" t="s">
        <v>33</v>
      </c>
      <c r="W884" s="14" t="str">
        <f t="shared" si="96"/>
        <v/>
      </c>
      <c r="X884" s="14" t="str">
        <f t="shared" si="97"/>
        <v/>
      </c>
      <c r="Y884" s="14" t="str">
        <f t="shared" si="98"/>
        <v/>
      </c>
      <c r="Z884" s="14" t="str">
        <f t="shared" si="99"/>
        <v/>
      </c>
      <c r="AA884" s="14" t="str">
        <f t="shared" si="100"/>
        <v/>
      </c>
      <c r="AB884" s="14" t="str">
        <f t="shared" si="101"/>
        <v/>
      </c>
      <c r="AC884" s="14" t="str">
        <f t="shared" si="102"/>
        <v/>
      </c>
      <c r="AD884" s="14">
        <f t="shared" si="103"/>
        <v>0</v>
      </c>
    </row>
    <row r="885" spans="5:30" ht="0" hidden="1" customHeight="1">
      <c r="U885">
        <v>0</v>
      </c>
      <c r="V885">
        <v>0</v>
      </c>
      <c r="W885" s="14">
        <f t="shared" si="96"/>
        <v>0</v>
      </c>
      <c r="X885" s="14">
        <f t="shared" si="97"/>
        <v>0</v>
      </c>
      <c r="Y885" s="14">
        <f t="shared" si="98"/>
        <v>0</v>
      </c>
      <c r="Z885" s="14">
        <f t="shared" si="99"/>
        <v>0</v>
      </c>
      <c r="AA885" s="14">
        <f t="shared" si="100"/>
        <v>0</v>
      </c>
      <c r="AB885" s="14">
        <f t="shared" si="101"/>
        <v>0</v>
      </c>
      <c r="AC885" s="14">
        <f t="shared" si="102"/>
        <v>0</v>
      </c>
      <c r="AD885" s="14">
        <f t="shared" si="103"/>
        <v>0</v>
      </c>
    </row>
    <row r="886" spans="5:30" ht="0.6" customHeight="1">
      <c r="U886">
        <v>0</v>
      </c>
      <c r="V886">
        <v>25</v>
      </c>
      <c r="W886" s="14">
        <f t="shared" si="96"/>
        <v>0</v>
      </c>
      <c r="X886" s="14">
        <f t="shared" si="97"/>
        <v>0</v>
      </c>
      <c r="Y886" s="14">
        <f t="shared" si="98"/>
        <v>0</v>
      </c>
      <c r="Z886" s="14">
        <f t="shared" si="99"/>
        <v>0</v>
      </c>
      <c r="AA886" s="14">
        <f t="shared" si="100"/>
        <v>0</v>
      </c>
      <c r="AB886" s="14">
        <f t="shared" si="101"/>
        <v>0</v>
      </c>
      <c r="AC886" s="14">
        <f t="shared" si="102"/>
        <v>0</v>
      </c>
      <c r="AD886" s="14" t="str">
        <f t="shared" si="103"/>
        <v/>
      </c>
    </row>
    <row r="887" spans="5:30">
      <c r="E887" s="4"/>
      <c r="F887" s="3" t="s">
        <v>32</v>
      </c>
      <c r="G887" s="5" t="s">
        <v>33</v>
      </c>
      <c r="H887" s="32" t="s">
        <v>33</v>
      </c>
      <c r="I887" s="18"/>
      <c r="J887" s="18"/>
      <c r="K887" s="32" t="s">
        <v>33</v>
      </c>
      <c r="L887" s="18"/>
      <c r="M887" s="5" t="s">
        <v>33</v>
      </c>
      <c r="N887" s="5" t="s">
        <v>33</v>
      </c>
      <c r="O887" s="5" t="s">
        <v>33</v>
      </c>
      <c r="P887" s="5" t="s">
        <v>33</v>
      </c>
      <c r="Q887" s="32" t="s">
        <v>33</v>
      </c>
      <c r="R887" s="18"/>
      <c r="S887" s="5" t="s">
        <v>33</v>
      </c>
      <c r="U887" t="s">
        <v>46</v>
      </c>
      <c r="V887" t="s">
        <v>33</v>
      </c>
      <c r="W887" s="14" t="str">
        <f t="shared" si="96"/>
        <v/>
      </c>
      <c r="X887" s="14" t="str">
        <f t="shared" si="97"/>
        <v/>
      </c>
      <c r="Y887" s="14" t="str">
        <f t="shared" si="98"/>
        <v/>
      </c>
      <c r="Z887" s="14" t="str">
        <f t="shared" si="99"/>
        <v/>
      </c>
      <c r="AA887" s="14" t="str">
        <f t="shared" si="100"/>
        <v/>
      </c>
      <c r="AB887" s="14" t="str">
        <f t="shared" si="101"/>
        <v/>
      </c>
      <c r="AC887" s="14" t="str">
        <f t="shared" si="102"/>
        <v/>
      </c>
      <c r="AD887" s="14" t="str">
        <f t="shared" si="103"/>
        <v>COMRRSN302</v>
      </c>
    </row>
    <row r="888" spans="5:30" ht="21">
      <c r="E888" s="4"/>
      <c r="F888" s="7" t="s">
        <v>35</v>
      </c>
      <c r="G888" s="7" t="s">
        <v>5</v>
      </c>
      <c r="H888" s="30" t="s">
        <v>7</v>
      </c>
      <c r="I888" s="24"/>
      <c r="J888" s="22"/>
      <c r="K888" s="30" t="s">
        <v>9</v>
      </c>
      <c r="L888" s="22"/>
      <c r="M888" s="7" t="s">
        <v>11</v>
      </c>
      <c r="N888" s="7" t="s">
        <v>15</v>
      </c>
      <c r="O888" s="7" t="s">
        <v>17</v>
      </c>
      <c r="P888" s="7" t="s">
        <v>21</v>
      </c>
      <c r="Q888" s="30" t="s">
        <v>27</v>
      </c>
      <c r="R888" s="22"/>
      <c r="S888" s="7" t="s">
        <v>36</v>
      </c>
      <c r="U888" t="s">
        <v>48</v>
      </c>
      <c r="V888">
        <v>242</v>
      </c>
      <c r="W888" s="14" t="str">
        <f t="shared" si="96"/>
        <v>BBABMCN301</v>
      </c>
      <c r="X888" s="14" t="str">
        <f t="shared" si="97"/>
        <v>BBABMCN302</v>
      </c>
      <c r="Y888" s="14" t="str">
        <f t="shared" si="98"/>
        <v>BBABMCN303</v>
      </c>
      <c r="Z888" s="14" t="str">
        <f t="shared" si="99"/>
        <v>BBAENLN301</v>
      </c>
      <c r="AA888" s="14" t="str">
        <f t="shared" si="100"/>
        <v>BBAKALN302</v>
      </c>
      <c r="AB888" s="14" t="str">
        <f t="shared" si="101"/>
        <v>BCACAEN302</v>
      </c>
      <c r="AC888" s="14" t="str">
        <f t="shared" si="102"/>
        <v>COMFISN301</v>
      </c>
      <c r="AD888" s="14" t="str">
        <f t="shared" si="103"/>
        <v xml:space="preserve"> - - + - - </v>
      </c>
    </row>
    <row r="889" spans="5:30" ht="22.5">
      <c r="E889" s="6" t="s">
        <v>577</v>
      </c>
      <c r="F889" s="8" t="s">
        <v>39</v>
      </c>
      <c r="G889" s="9" t="s">
        <v>88</v>
      </c>
      <c r="H889" s="23" t="s">
        <v>578</v>
      </c>
      <c r="I889" s="24"/>
      <c r="J889" s="22"/>
      <c r="K889" s="23" t="s">
        <v>88</v>
      </c>
      <c r="L889" s="22"/>
      <c r="M889" s="9" t="s">
        <v>579</v>
      </c>
      <c r="N889" s="9" t="s">
        <v>85</v>
      </c>
      <c r="O889" s="9" t="s">
        <v>273</v>
      </c>
      <c r="P889" s="9" t="s">
        <v>201</v>
      </c>
      <c r="Q889" s="23" t="s">
        <v>43</v>
      </c>
      <c r="R889" s="22"/>
      <c r="S889" s="8" t="s">
        <v>33</v>
      </c>
      <c r="U889" t="s">
        <v>50</v>
      </c>
      <c r="V889">
        <v>661</v>
      </c>
      <c r="W889" s="14" t="str">
        <f t="shared" si="96"/>
        <v>60.00 + 40.00</v>
      </c>
      <c r="X889" s="14" t="str">
        <f t="shared" si="97"/>
        <v>50.00 + 40.00</v>
      </c>
      <c r="Y889" s="14" t="str">
        <f t="shared" si="98"/>
        <v>60.00 + 40.00</v>
      </c>
      <c r="Z889" s="14" t="str">
        <f t="shared" si="99"/>
        <v>42.00 + 38.00</v>
      </c>
      <c r="AA889" s="14" t="str">
        <f t="shared" si="100"/>
        <v>59.00 + 40.00</v>
      </c>
      <c r="AB889" s="14" t="str">
        <f t="shared" si="101"/>
        <v>53.00 + 40.00</v>
      </c>
      <c r="AC889" s="14" t="str">
        <f t="shared" si="102"/>
        <v>29.00 + 20.00</v>
      </c>
      <c r="AD889" s="14" t="str">
        <f t="shared" si="103"/>
        <v xml:space="preserve"> - - +50.00</v>
      </c>
    </row>
    <row r="890" spans="5:30">
      <c r="E890" s="25"/>
      <c r="F890" s="8" t="s">
        <v>42</v>
      </c>
      <c r="G890" s="9" t="s">
        <v>43</v>
      </c>
      <c r="H890" s="23" t="s">
        <v>43</v>
      </c>
      <c r="I890" s="24"/>
      <c r="J890" s="22"/>
      <c r="K890" s="23" t="s">
        <v>43</v>
      </c>
      <c r="L890" s="22"/>
      <c r="M890" s="9" t="s">
        <v>43</v>
      </c>
      <c r="N890" s="9" t="s">
        <v>43</v>
      </c>
      <c r="O890" s="9" t="s">
        <v>43</v>
      </c>
      <c r="P890" s="9" t="s">
        <v>43</v>
      </c>
      <c r="Q890" s="23" t="s">
        <v>91</v>
      </c>
      <c r="R890" s="22"/>
      <c r="S890" s="8" t="s">
        <v>33</v>
      </c>
      <c r="U890" t="s">
        <v>51</v>
      </c>
      <c r="V890">
        <v>700</v>
      </c>
      <c r="W890" s="14" t="str">
        <f t="shared" si="96"/>
        <v xml:space="preserve"> - - + - - </v>
      </c>
      <c r="X890" s="14" t="str">
        <f t="shared" si="97"/>
        <v xml:space="preserve"> - - + - - </v>
      </c>
      <c r="Y890" s="14" t="str">
        <f t="shared" si="98"/>
        <v xml:space="preserve"> - - + - - </v>
      </c>
      <c r="Z890" s="14" t="str">
        <f t="shared" si="99"/>
        <v xml:space="preserve"> - - + - - </v>
      </c>
      <c r="AA890" s="14" t="str">
        <f t="shared" si="100"/>
        <v xml:space="preserve"> - - + - - </v>
      </c>
      <c r="AB890" s="14" t="str">
        <f t="shared" si="101"/>
        <v xml:space="preserve"> - - + - - </v>
      </c>
      <c r="AC890" s="14" t="str">
        <f t="shared" si="102"/>
        <v xml:space="preserve"> - - + - - </v>
      </c>
      <c r="AD890" s="14" t="str">
        <f t="shared" si="103"/>
        <v/>
      </c>
    </row>
    <row r="891" spans="5:30">
      <c r="E891" s="27"/>
      <c r="F891" s="8" t="s">
        <v>44</v>
      </c>
      <c r="G891" s="9" t="s">
        <v>33</v>
      </c>
      <c r="H891" s="23" t="s">
        <v>33</v>
      </c>
      <c r="I891" s="24"/>
      <c r="J891" s="22"/>
      <c r="K891" s="23" t="s">
        <v>33</v>
      </c>
      <c r="L891" s="22"/>
      <c r="M891" s="9" t="s">
        <v>33</v>
      </c>
      <c r="N891" s="9" t="s">
        <v>33</v>
      </c>
      <c r="O891" s="9" t="s">
        <v>33</v>
      </c>
      <c r="P891" s="9" t="s">
        <v>33</v>
      </c>
      <c r="Q891" s="23" t="s">
        <v>33</v>
      </c>
      <c r="R891" s="22"/>
      <c r="S891" s="8">
        <v>0</v>
      </c>
      <c r="U891" t="s">
        <v>92</v>
      </c>
      <c r="V891" t="s">
        <v>33</v>
      </c>
      <c r="W891" s="14" t="str">
        <f t="shared" si="96"/>
        <v/>
      </c>
      <c r="X891" s="14" t="str">
        <f t="shared" si="97"/>
        <v/>
      </c>
      <c r="Y891" s="14" t="str">
        <f t="shared" si="98"/>
        <v/>
      </c>
      <c r="Z891" s="14" t="str">
        <f t="shared" si="99"/>
        <v/>
      </c>
      <c r="AA891" s="14" t="str">
        <f t="shared" si="100"/>
        <v/>
      </c>
      <c r="AB891" s="14" t="str">
        <f t="shared" si="101"/>
        <v/>
      </c>
      <c r="AC891" s="14" t="str">
        <f t="shared" si="102"/>
        <v/>
      </c>
      <c r="AD891" s="14">
        <f t="shared" si="103"/>
        <v>2</v>
      </c>
    </row>
    <row r="892" spans="5:30">
      <c r="E892" s="29"/>
      <c r="F892" s="8" t="s">
        <v>45</v>
      </c>
      <c r="G892" s="9">
        <v>4</v>
      </c>
      <c r="H892" s="23">
        <v>4</v>
      </c>
      <c r="I892" s="24"/>
      <c r="J892" s="22"/>
      <c r="K892" s="23">
        <v>4</v>
      </c>
      <c r="L892" s="22"/>
      <c r="M892" s="9">
        <v>3</v>
      </c>
      <c r="N892" s="9">
        <v>3</v>
      </c>
      <c r="O892" s="9">
        <v>3</v>
      </c>
      <c r="P892" s="9">
        <v>2</v>
      </c>
      <c r="Q892" s="23">
        <v>2</v>
      </c>
      <c r="R892" s="22"/>
      <c r="S892" s="8">
        <v>25</v>
      </c>
      <c r="U892" t="s">
        <v>56</v>
      </c>
      <c r="V892" t="s">
        <v>33</v>
      </c>
      <c r="W892" s="14">
        <f t="shared" si="96"/>
        <v>4</v>
      </c>
      <c r="X892" s="14">
        <f t="shared" si="97"/>
        <v>4</v>
      </c>
      <c r="Y892" s="14">
        <f t="shared" si="98"/>
        <v>4</v>
      </c>
      <c r="Z892" s="14">
        <f t="shared" si="99"/>
        <v>3</v>
      </c>
      <c r="AA892" s="14">
        <f t="shared" si="100"/>
        <v>3</v>
      </c>
      <c r="AB892" s="14">
        <f t="shared" si="101"/>
        <v>3</v>
      </c>
      <c r="AC892" s="14">
        <f t="shared" si="102"/>
        <v>2</v>
      </c>
      <c r="AD892" s="14">
        <f t="shared" si="103"/>
        <v>10</v>
      </c>
    </row>
    <row r="893" spans="5:30">
      <c r="E893" s="6">
        <v>9.68</v>
      </c>
      <c r="F893" s="8" t="s">
        <v>47</v>
      </c>
      <c r="G893" s="9">
        <v>10</v>
      </c>
      <c r="H893" s="23">
        <v>9.5</v>
      </c>
      <c r="I893" s="24"/>
      <c r="J893" s="22"/>
      <c r="K893" s="23">
        <v>10</v>
      </c>
      <c r="L893" s="22"/>
      <c r="M893" s="9">
        <v>8.5</v>
      </c>
      <c r="N893" s="9">
        <v>10</v>
      </c>
      <c r="O893" s="9">
        <v>9.5</v>
      </c>
      <c r="P893" s="9">
        <v>10</v>
      </c>
      <c r="Q893" s="23">
        <v>10</v>
      </c>
      <c r="R893" s="22"/>
      <c r="S893" s="8" t="s">
        <v>33</v>
      </c>
      <c r="U893" t="s">
        <v>33</v>
      </c>
      <c r="V893" t="s">
        <v>33</v>
      </c>
      <c r="W893" s="14">
        <f t="shared" si="96"/>
        <v>10</v>
      </c>
      <c r="X893" s="14">
        <f t="shared" si="97"/>
        <v>9.5</v>
      </c>
      <c r="Y893" s="14">
        <f t="shared" si="98"/>
        <v>10</v>
      </c>
      <c r="Z893" s="14">
        <f t="shared" si="99"/>
        <v>8.5</v>
      </c>
      <c r="AA893" s="14">
        <f t="shared" si="100"/>
        <v>10</v>
      </c>
      <c r="AB893" s="14">
        <f t="shared" si="101"/>
        <v>9.5</v>
      </c>
      <c r="AC893" s="14">
        <f t="shared" si="102"/>
        <v>10</v>
      </c>
      <c r="AD893" s="14">
        <f t="shared" si="103"/>
        <v>20</v>
      </c>
    </row>
    <row r="894" spans="5:30">
      <c r="E894" s="10">
        <v>9.52</v>
      </c>
      <c r="F894" s="8" t="s">
        <v>49</v>
      </c>
      <c r="G894" s="9">
        <v>40</v>
      </c>
      <c r="H894" s="23">
        <v>38</v>
      </c>
      <c r="I894" s="24"/>
      <c r="J894" s="22"/>
      <c r="K894" s="23">
        <v>40</v>
      </c>
      <c r="L894" s="22"/>
      <c r="M894" s="9">
        <v>25.5</v>
      </c>
      <c r="N894" s="9">
        <v>30</v>
      </c>
      <c r="O894" s="9">
        <v>28.5</v>
      </c>
      <c r="P894" s="9">
        <v>20</v>
      </c>
      <c r="Q894" s="23">
        <v>20</v>
      </c>
      <c r="R894" s="22"/>
      <c r="S894" s="8">
        <v>242</v>
      </c>
      <c r="U894">
        <v>0</v>
      </c>
      <c r="V894">
        <v>0</v>
      </c>
      <c r="W894" s="14">
        <f t="shared" si="96"/>
        <v>40</v>
      </c>
      <c r="X894" s="14">
        <f t="shared" si="97"/>
        <v>38</v>
      </c>
      <c r="Y894" s="14">
        <f t="shared" si="98"/>
        <v>40</v>
      </c>
      <c r="Z894" s="14">
        <f t="shared" si="99"/>
        <v>25.5</v>
      </c>
      <c r="AA894" s="14">
        <f t="shared" si="100"/>
        <v>30</v>
      </c>
      <c r="AB894" s="14">
        <f t="shared" si="101"/>
        <v>28.5</v>
      </c>
      <c r="AC894" s="14">
        <f t="shared" si="102"/>
        <v>20</v>
      </c>
      <c r="AD894" s="14">
        <f t="shared" si="103"/>
        <v>50</v>
      </c>
    </row>
    <row r="895" spans="5:30">
      <c r="E895" s="4"/>
      <c r="F895" s="8" t="s">
        <v>36</v>
      </c>
      <c r="G895" s="9">
        <v>100</v>
      </c>
      <c r="H895" s="23">
        <v>90</v>
      </c>
      <c r="I895" s="24"/>
      <c r="J895" s="22"/>
      <c r="K895" s="23">
        <v>100</v>
      </c>
      <c r="L895" s="22"/>
      <c r="M895" s="9">
        <v>80</v>
      </c>
      <c r="N895" s="9">
        <v>99</v>
      </c>
      <c r="O895" s="9">
        <v>93</v>
      </c>
      <c r="P895" s="9">
        <v>49</v>
      </c>
      <c r="Q895" s="23">
        <v>50</v>
      </c>
      <c r="R895" s="22"/>
      <c r="S895" s="8">
        <v>661</v>
      </c>
      <c r="U895">
        <v>0</v>
      </c>
      <c r="V895">
        <v>0</v>
      </c>
      <c r="W895" s="14">
        <f t="shared" si="96"/>
        <v>100</v>
      </c>
      <c r="X895" s="14">
        <f t="shared" si="97"/>
        <v>90</v>
      </c>
      <c r="Y895" s="14">
        <f t="shared" si="98"/>
        <v>100</v>
      </c>
      <c r="Z895" s="14">
        <f t="shared" si="99"/>
        <v>80</v>
      </c>
      <c r="AA895" s="14">
        <f t="shared" si="100"/>
        <v>99</v>
      </c>
      <c r="AB895" s="14">
        <f t="shared" si="101"/>
        <v>93</v>
      </c>
      <c r="AC895" s="14">
        <f t="shared" si="102"/>
        <v>49</v>
      </c>
      <c r="AD895" s="14">
        <f t="shared" si="103"/>
        <v>50</v>
      </c>
    </row>
    <row r="896" spans="5:30">
      <c r="E896" s="6"/>
      <c r="F896" s="8" t="s">
        <v>52</v>
      </c>
      <c r="G896" s="9">
        <v>100</v>
      </c>
      <c r="H896" s="23">
        <v>100</v>
      </c>
      <c r="I896" s="24"/>
      <c r="J896" s="22"/>
      <c r="K896" s="23">
        <v>100</v>
      </c>
      <c r="L896" s="22"/>
      <c r="M896" s="9">
        <v>100</v>
      </c>
      <c r="N896" s="9">
        <v>100</v>
      </c>
      <c r="O896" s="9">
        <v>100</v>
      </c>
      <c r="P896" s="9">
        <v>50</v>
      </c>
      <c r="Q896" s="23">
        <v>50</v>
      </c>
      <c r="R896" s="22"/>
      <c r="S896" s="8">
        <v>700</v>
      </c>
      <c r="U896" t="s">
        <v>31</v>
      </c>
      <c r="V896" t="s">
        <v>33</v>
      </c>
      <c r="W896" s="14">
        <f t="shared" si="96"/>
        <v>100</v>
      </c>
      <c r="X896" s="14">
        <f t="shared" si="97"/>
        <v>100</v>
      </c>
      <c r="Y896" s="14">
        <f t="shared" si="98"/>
        <v>100</v>
      </c>
      <c r="Z896" s="14">
        <f t="shared" si="99"/>
        <v>100</v>
      </c>
      <c r="AA896" s="14">
        <f t="shared" si="100"/>
        <v>100</v>
      </c>
      <c r="AB896" s="14">
        <f t="shared" si="101"/>
        <v>100</v>
      </c>
      <c r="AC896" s="14">
        <f t="shared" si="102"/>
        <v>50</v>
      </c>
      <c r="AD896" s="14" t="str">
        <f t="shared" si="103"/>
        <v>OO+</v>
      </c>
    </row>
    <row r="897" spans="5:30">
      <c r="E897" s="4"/>
      <c r="F897" s="8" t="s">
        <v>54</v>
      </c>
      <c r="G897" s="9" t="s">
        <v>93</v>
      </c>
      <c r="H897" s="23" t="s">
        <v>94</v>
      </c>
      <c r="I897" s="24"/>
      <c r="J897" s="22"/>
      <c r="K897" s="23" t="s">
        <v>93</v>
      </c>
      <c r="L897" s="22"/>
      <c r="M897" s="9" t="s">
        <v>95</v>
      </c>
      <c r="N897" s="9" t="s">
        <v>93</v>
      </c>
      <c r="O897" s="9" t="s">
        <v>94</v>
      </c>
      <c r="P897" s="9" t="s">
        <v>93</v>
      </c>
      <c r="Q897" s="23" t="s">
        <v>93</v>
      </c>
      <c r="R897" s="22"/>
      <c r="S897" s="8" t="s">
        <v>33</v>
      </c>
      <c r="U897" t="s">
        <v>582</v>
      </c>
      <c r="V897" t="s">
        <v>36</v>
      </c>
      <c r="W897" s="14" t="str">
        <f t="shared" si="96"/>
        <v>OO+</v>
      </c>
      <c r="X897" s="14" t="str">
        <f t="shared" si="97"/>
        <v>OO</v>
      </c>
      <c r="Y897" s="14" t="str">
        <f t="shared" si="98"/>
        <v>OO+</v>
      </c>
      <c r="Z897" s="14" t="str">
        <f t="shared" si="99"/>
        <v>OA</v>
      </c>
      <c r="AA897" s="14" t="str">
        <f t="shared" si="100"/>
        <v>OO+</v>
      </c>
      <c r="AB897" s="14" t="str">
        <f t="shared" si="101"/>
        <v>OO</v>
      </c>
      <c r="AC897" s="14" t="str">
        <f t="shared" si="102"/>
        <v>OO+</v>
      </c>
      <c r="AD897" s="14" t="str">
        <f t="shared" si="103"/>
        <v>Pass</v>
      </c>
    </row>
    <row r="898" spans="5:30">
      <c r="E898" s="11" t="s">
        <v>581</v>
      </c>
      <c r="F898" s="8" t="s">
        <v>58</v>
      </c>
      <c r="G898" s="9" t="s">
        <v>59</v>
      </c>
      <c r="H898" s="23" t="s">
        <v>59</v>
      </c>
      <c r="I898" s="24"/>
      <c r="J898" s="22"/>
      <c r="K898" s="23" t="s">
        <v>59</v>
      </c>
      <c r="L898" s="22"/>
      <c r="M898" s="9" t="s">
        <v>59</v>
      </c>
      <c r="N898" s="9" t="s">
        <v>59</v>
      </c>
      <c r="O898" s="9" t="s">
        <v>59</v>
      </c>
      <c r="P898" s="9" t="s">
        <v>59</v>
      </c>
      <c r="Q898" s="23" t="s">
        <v>59</v>
      </c>
      <c r="R898" s="22"/>
      <c r="S898" s="8" t="s">
        <v>33</v>
      </c>
      <c r="U898" t="s">
        <v>37</v>
      </c>
      <c r="V898" t="s">
        <v>33</v>
      </c>
      <c r="W898" s="14" t="str">
        <f t="shared" si="96"/>
        <v>Pass</v>
      </c>
      <c r="X898" s="14" t="str">
        <f t="shared" si="97"/>
        <v>Pass</v>
      </c>
      <c r="Y898" s="14" t="str">
        <f t="shared" si="98"/>
        <v>Pass</v>
      </c>
      <c r="Z898" s="14" t="str">
        <f t="shared" si="99"/>
        <v>Pass</v>
      </c>
      <c r="AA898" s="14" t="str">
        <f t="shared" si="100"/>
        <v>Pass</v>
      </c>
      <c r="AB898" s="14" t="str">
        <f t="shared" si="101"/>
        <v>Pass</v>
      </c>
      <c r="AC898" s="14" t="str">
        <f t="shared" si="102"/>
        <v>Pass</v>
      </c>
      <c r="AD898" s="14" t="str">
        <f t="shared" si="103"/>
        <v/>
      </c>
    </row>
    <row r="899" spans="5:30">
      <c r="E899" s="12" t="s">
        <v>33</v>
      </c>
      <c r="F899" s="12" t="s">
        <v>33</v>
      </c>
      <c r="G899" s="13" t="s">
        <v>33</v>
      </c>
      <c r="H899" s="20" t="s">
        <v>33</v>
      </c>
      <c r="I899" s="18"/>
      <c r="J899" s="18"/>
      <c r="K899" s="20" t="s">
        <v>33</v>
      </c>
      <c r="L899" s="18"/>
      <c r="M899" s="13" t="s">
        <v>33</v>
      </c>
      <c r="N899" s="13" t="s">
        <v>33</v>
      </c>
      <c r="O899" s="13" t="s">
        <v>33</v>
      </c>
      <c r="P899" s="13" t="s">
        <v>33</v>
      </c>
      <c r="Q899" s="20" t="s">
        <v>33</v>
      </c>
      <c r="R899" s="18"/>
      <c r="S899" s="13" t="s">
        <v>33</v>
      </c>
      <c r="U899" t="s">
        <v>585</v>
      </c>
      <c r="V899" t="s">
        <v>33</v>
      </c>
      <c r="W899" s="14" t="str">
        <f t="shared" si="96"/>
        <v/>
      </c>
      <c r="X899" s="14" t="str">
        <f t="shared" si="97"/>
        <v/>
      </c>
      <c r="Y899" s="14" t="str">
        <f t="shared" si="98"/>
        <v/>
      </c>
      <c r="Z899" s="14" t="str">
        <f t="shared" si="99"/>
        <v/>
      </c>
      <c r="AA899" s="14" t="str">
        <f t="shared" si="100"/>
        <v/>
      </c>
      <c r="AB899" s="14" t="str">
        <f t="shared" si="101"/>
        <v/>
      </c>
      <c r="AC899" s="14" t="str">
        <f t="shared" si="102"/>
        <v/>
      </c>
      <c r="AD899" s="14">
        <f t="shared" si="103"/>
        <v>0</v>
      </c>
    </row>
    <row r="900" spans="5:30" ht="0" hidden="1" customHeight="1">
      <c r="U900">
        <v>0</v>
      </c>
      <c r="V900">
        <v>0</v>
      </c>
      <c r="W900" s="14">
        <f t="shared" si="96"/>
        <v>0</v>
      </c>
      <c r="X900" s="14">
        <f t="shared" si="97"/>
        <v>0</v>
      </c>
      <c r="Y900" s="14">
        <f t="shared" si="98"/>
        <v>0</v>
      </c>
      <c r="Z900" s="14">
        <f t="shared" si="99"/>
        <v>0</v>
      </c>
      <c r="AA900" s="14">
        <f t="shared" si="100"/>
        <v>0</v>
      </c>
      <c r="AB900" s="14">
        <f t="shared" si="101"/>
        <v>0</v>
      </c>
      <c r="AC900" s="14">
        <f t="shared" si="102"/>
        <v>0</v>
      </c>
      <c r="AD900" s="14">
        <f t="shared" si="103"/>
        <v>0</v>
      </c>
    </row>
    <row r="901" spans="5:30" ht="0.6" customHeight="1">
      <c r="U901">
        <v>0</v>
      </c>
      <c r="V901">
        <v>25</v>
      </c>
      <c r="W901" s="14">
        <f t="shared" si="96"/>
        <v>0</v>
      </c>
      <c r="X901" s="14">
        <f t="shared" si="97"/>
        <v>0</v>
      </c>
      <c r="Y901" s="14">
        <f t="shared" si="98"/>
        <v>0</v>
      </c>
      <c r="Z901" s="14">
        <f t="shared" si="99"/>
        <v>0</v>
      </c>
      <c r="AA901" s="14">
        <f t="shared" si="100"/>
        <v>0</v>
      </c>
      <c r="AB901" s="14">
        <f t="shared" si="101"/>
        <v>0</v>
      </c>
      <c r="AC901" s="14">
        <f t="shared" si="102"/>
        <v>0</v>
      </c>
      <c r="AD901" s="14" t="str">
        <f t="shared" si="103"/>
        <v/>
      </c>
    </row>
    <row r="902" spans="5:30">
      <c r="E902" s="4"/>
      <c r="F902" s="3" t="s">
        <v>32</v>
      </c>
      <c r="G902" s="5" t="s">
        <v>33</v>
      </c>
      <c r="H902" s="32" t="s">
        <v>33</v>
      </c>
      <c r="I902" s="18"/>
      <c r="J902" s="18"/>
      <c r="K902" s="32" t="s">
        <v>33</v>
      </c>
      <c r="L902" s="18"/>
      <c r="M902" s="5" t="s">
        <v>33</v>
      </c>
      <c r="N902" s="5" t="s">
        <v>33</v>
      </c>
      <c r="O902" s="5" t="s">
        <v>33</v>
      </c>
      <c r="P902" s="5" t="s">
        <v>33</v>
      </c>
      <c r="Q902" s="32" t="s">
        <v>33</v>
      </c>
      <c r="R902" s="18"/>
      <c r="S902" s="5" t="s">
        <v>33</v>
      </c>
      <c r="U902" t="s">
        <v>46</v>
      </c>
      <c r="V902" t="s">
        <v>33</v>
      </c>
      <c r="W902" s="14" t="str">
        <f t="shared" si="96"/>
        <v/>
      </c>
      <c r="X902" s="14" t="str">
        <f t="shared" si="97"/>
        <v/>
      </c>
      <c r="Y902" s="14" t="str">
        <f t="shared" si="98"/>
        <v/>
      </c>
      <c r="Z902" s="14" t="str">
        <f t="shared" si="99"/>
        <v/>
      </c>
      <c r="AA902" s="14" t="str">
        <f t="shared" si="100"/>
        <v/>
      </c>
      <c r="AB902" s="14" t="str">
        <f t="shared" si="101"/>
        <v/>
      </c>
      <c r="AC902" s="14" t="str">
        <f t="shared" si="102"/>
        <v/>
      </c>
      <c r="AD902" s="14" t="str">
        <f t="shared" si="103"/>
        <v>COMRRSN302</v>
      </c>
    </row>
    <row r="903" spans="5:30" ht="21">
      <c r="E903" s="4"/>
      <c r="F903" s="7" t="s">
        <v>35</v>
      </c>
      <c r="G903" s="7" t="s">
        <v>5</v>
      </c>
      <c r="H903" s="30" t="s">
        <v>7</v>
      </c>
      <c r="I903" s="24"/>
      <c r="J903" s="22"/>
      <c r="K903" s="30" t="s">
        <v>9</v>
      </c>
      <c r="L903" s="22"/>
      <c r="M903" s="7" t="s">
        <v>11</v>
      </c>
      <c r="N903" s="7" t="s">
        <v>15</v>
      </c>
      <c r="O903" s="7" t="s">
        <v>17</v>
      </c>
      <c r="P903" s="7" t="s">
        <v>21</v>
      </c>
      <c r="Q903" s="30" t="s">
        <v>27</v>
      </c>
      <c r="R903" s="22"/>
      <c r="S903" s="7" t="s">
        <v>36</v>
      </c>
      <c r="U903" t="s">
        <v>48</v>
      </c>
      <c r="V903">
        <v>239.5</v>
      </c>
      <c r="W903" s="14" t="str">
        <f t="shared" ref="W903:W966" si="104">$G903</f>
        <v>BBABMCN301</v>
      </c>
      <c r="X903" s="14" t="str">
        <f t="shared" ref="X903:X966" si="105">$H903</f>
        <v>BBABMCN302</v>
      </c>
      <c r="Y903" s="14" t="str">
        <f t="shared" ref="Y903:Y966" si="106">$K903</f>
        <v>BBABMCN303</v>
      </c>
      <c r="Z903" s="14" t="str">
        <f t="shared" ref="Z903:Z966" si="107">$M903</f>
        <v>BBAENLN301</v>
      </c>
      <c r="AA903" s="14" t="str">
        <f t="shared" ref="AA903:AA966" si="108">$N903</f>
        <v>BBAKALN302</v>
      </c>
      <c r="AB903" s="14" t="str">
        <f t="shared" ref="AB903:AB966" si="109">$O903</f>
        <v>BCACAEN302</v>
      </c>
      <c r="AC903" s="14" t="str">
        <f t="shared" ref="AC903:AC966" si="110">$P903</f>
        <v>COMFISN301</v>
      </c>
      <c r="AD903" s="14" t="str">
        <f t="shared" ref="AD903:AD966" si="111">$Q904</f>
        <v xml:space="preserve"> - - + - - </v>
      </c>
    </row>
    <row r="904" spans="5:30" ht="22.5">
      <c r="E904" s="6" t="s">
        <v>583</v>
      </c>
      <c r="F904" s="8" t="s">
        <v>39</v>
      </c>
      <c r="G904" s="9" t="s">
        <v>86</v>
      </c>
      <c r="H904" s="23" t="s">
        <v>474</v>
      </c>
      <c r="I904" s="24"/>
      <c r="J904" s="22"/>
      <c r="K904" s="23" t="s">
        <v>88</v>
      </c>
      <c r="L904" s="22"/>
      <c r="M904" s="9" t="s">
        <v>584</v>
      </c>
      <c r="N904" s="9" t="s">
        <v>187</v>
      </c>
      <c r="O904" s="9" t="s">
        <v>88</v>
      </c>
      <c r="P904" s="9" t="s">
        <v>89</v>
      </c>
      <c r="Q904" s="23" t="s">
        <v>43</v>
      </c>
      <c r="R904" s="22"/>
      <c r="S904" s="8" t="s">
        <v>33</v>
      </c>
      <c r="U904" t="s">
        <v>50</v>
      </c>
      <c r="V904">
        <v>661</v>
      </c>
      <c r="W904" s="14" t="str">
        <f t="shared" si="104"/>
        <v>54.00 + 40.00</v>
      </c>
      <c r="X904" s="14" t="str">
        <f t="shared" si="105"/>
        <v>46.00 + 40.00</v>
      </c>
      <c r="Y904" s="14" t="str">
        <f t="shared" si="106"/>
        <v>60.00 + 40.00</v>
      </c>
      <c r="Z904" s="14" t="str">
        <f t="shared" si="107"/>
        <v>44.00 + 39.00</v>
      </c>
      <c r="AA904" s="14" t="str">
        <f t="shared" si="108"/>
        <v>58.00 + 40.00</v>
      </c>
      <c r="AB904" s="14" t="str">
        <f t="shared" si="109"/>
        <v>60.00 + 40.00</v>
      </c>
      <c r="AC904" s="14" t="str">
        <f t="shared" si="110"/>
        <v>30.00 + 20.00</v>
      </c>
      <c r="AD904" s="14" t="str">
        <f t="shared" si="111"/>
        <v xml:space="preserve"> - - +50.00</v>
      </c>
    </row>
    <row r="905" spans="5:30">
      <c r="E905" s="25"/>
      <c r="F905" s="8" t="s">
        <v>42</v>
      </c>
      <c r="G905" s="9" t="s">
        <v>43</v>
      </c>
      <c r="H905" s="23" t="s">
        <v>43</v>
      </c>
      <c r="I905" s="24"/>
      <c r="J905" s="22"/>
      <c r="K905" s="23" t="s">
        <v>43</v>
      </c>
      <c r="L905" s="22"/>
      <c r="M905" s="9" t="s">
        <v>43</v>
      </c>
      <c r="N905" s="9" t="s">
        <v>43</v>
      </c>
      <c r="O905" s="9" t="s">
        <v>43</v>
      </c>
      <c r="P905" s="9" t="s">
        <v>43</v>
      </c>
      <c r="Q905" s="23" t="s">
        <v>91</v>
      </c>
      <c r="R905" s="22"/>
      <c r="S905" s="8" t="s">
        <v>33</v>
      </c>
      <c r="U905" t="s">
        <v>51</v>
      </c>
      <c r="V905">
        <v>700</v>
      </c>
      <c r="W905" s="14" t="str">
        <f t="shared" si="104"/>
        <v xml:space="preserve"> - - + - - </v>
      </c>
      <c r="X905" s="14" t="str">
        <f t="shared" si="105"/>
        <v xml:space="preserve"> - - + - - </v>
      </c>
      <c r="Y905" s="14" t="str">
        <f t="shared" si="106"/>
        <v xml:space="preserve"> - - + - - </v>
      </c>
      <c r="Z905" s="14" t="str">
        <f t="shared" si="107"/>
        <v xml:space="preserve"> - - + - - </v>
      </c>
      <c r="AA905" s="14" t="str">
        <f t="shared" si="108"/>
        <v xml:space="preserve"> - - + - - </v>
      </c>
      <c r="AB905" s="14" t="str">
        <f t="shared" si="109"/>
        <v xml:space="preserve"> - - + - - </v>
      </c>
      <c r="AC905" s="14" t="str">
        <f t="shared" si="110"/>
        <v xml:space="preserve"> - - + - - </v>
      </c>
      <c r="AD905" s="14" t="str">
        <f t="shared" si="111"/>
        <v/>
      </c>
    </row>
    <row r="906" spans="5:30">
      <c r="E906" s="27"/>
      <c r="F906" s="8" t="s">
        <v>44</v>
      </c>
      <c r="G906" s="9" t="s">
        <v>33</v>
      </c>
      <c r="H906" s="23" t="s">
        <v>33</v>
      </c>
      <c r="I906" s="24"/>
      <c r="J906" s="22"/>
      <c r="K906" s="23" t="s">
        <v>33</v>
      </c>
      <c r="L906" s="22"/>
      <c r="M906" s="9" t="s">
        <v>33</v>
      </c>
      <c r="N906" s="9" t="s">
        <v>33</v>
      </c>
      <c r="O906" s="9" t="s">
        <v>33</v>
      </c>
      <c r="P906" s="9" t="s">
        <v>33</v>
      </c>
      <c r="Q906" s="23" t="s">
        <v>33</v>
      </c>
      <c r="R906" s="22"/>
      <c r="S906" s="8">
        <v>0</v>
      </c>
      <c r="U906" t="s">
        <v>92</v>
      </c>
      <c r="V906" t="s">
        <v>33</v>
      </c>
      <c r="W906" s="14" t="str">
        <f t="shared" si="104"/>
        <v/>
      </c>
      <c r="X906" s="14" t="str">
        <f t="shared" si="105"/>
        <v/>
      </c>
      <c r="Y906" s="14" t="str">
        <f t="shared" si="106"/>
        <v/>
      </c>
      <c r="Z906" s="14" t="str">
        <f t="shared" si="107"/>
        <v/>
      </c>
      <c r="AA906" s="14" t="str">
        <f t="shared" si="108"/>
        <v/>
      </c>
      <c r="AB906" s="14" t="str">
        <f t="shared" si="109"/>
        <v/>
      </c>
      <c r="AC906" s="14" t="str">
        <f t="shared" si="110"/>
        <v/>
      </c>
      <c r="AD906" s="14">
        <f t="shared" si="111"/>
        <v>2</v>
      </c>
    </row>
    <row r="907" spans="5:30">
      <c r="E907" s="29"/>
      <c r="F907" s="8" t="s">
        <v>45</v>
      </c>
      <c r="G907" s="9">
        <v>4</v>
      </c>
      <c r="H907" s="23">
        <v>4</v>
      </c>
      <c r="I907" s="24"/>
      <c r="J907" s="22"/>
      <c r="K907" s="23">
        <v>4</v>
      </c>
      <c r="L907" s="22"/>
      <c r="M907" s="9">
        <v>3</v>
      </c>
      <c r="N907" s="9">
        <v>3</v>
      </c>
      <c r="O907" s="9">
        <v>3</v>
      </c>
      <c r="P907" s="9">
        <v>2</v>
      </c>
      <c r="Q907" s="23">
        <v>2</v>
      </c>
      <c r="R907" s="22"/>
      <c r="S907" s="8">
        <v>25</v>
      </c>
      <c r="U907" t="s">
        <v>56</v>
      </c>
      <c r="V907" t="s">
        <v>33</v>
      </c>
      <c r="W907" s="14">
        <f t="shared" si="104"/>
        <v>4</v>
      </c>
      <c r="X907" s="14">
        <f t="shared" si="105"/>
        <v>4</v>
      </c>
      <c r="Y907" s="14">
        <f t="shared" si="106"/>
        <v>4</v>
      </c>
      <c r="Z907" s="14">
        <f t="shared" si="107"/>
        <v>3</v>
      </c>
      <c r="AA907" s="14">
        <f t="shared" si="108"/>
        <v>3</v>
      </c>
      <c r="AB907" s="14">
        <f t="shared" si="109"/>
        <v>3</v>
      </c>
      <c r="AC907" s="14">
        <f t="shared" si="110"/>
        <v>2</v>
      </c>
      <c r="AD907" s="14">
        <f t="shared" si="111"/>
        <v>10</v>
      </c>
    </row>
    <row r="908" spans="5:30">
      <c r="E908" s="6">
        <v>9.58</v>
      </c>
      <c r="F908" s="8" t="s">
        <v>47</v>
      </c>
      <c r="G908" s="9">
        <v>9.5</v>
      </c>
      <c r="H908" s="23">
        <v>9</v>
      </c>
      <c r="I908" s="24"/>
      <c r="J908" s="22"/>
      <c r="K908" s="23">
        <v>10</v>
      </c>
      <c r="L908" s="22"/>
      <c r="M908" s="9">
        <v>8.5</v>
      </c>
      <c r="N908" s="9">
        <v>10</v>
      </c>
      <c r="O908" s="9">
        <v>10</v>
      </c>
      <c r="P908" s="9">
        <v>10</v>
      </c>
      <c r="Q908" s="23">
        <v>10</v>
      </c>
      <c r="R908" s="22"/>
      <c r="S908" s="8" t="s">
        <v>33</v>
      </c>
      <c r="U908" t="s">
        <v>33</v>
      </c>
      <c r="V908" t="s">
        <v>33</v>
      </c>
      <c r="W908" s="14">
        <f t="shared" si="104"/>
        <v>9.5</v>
      </c>
      <c r="X908" s="14">
        <f t="shared" si="105"/>
        <v>9</v>
      </c>
      <c r="Y908" s="14">
        <f t="shared" si="106"/>
        <v>10</v>
      </c>
      <c r="Z908" s="14">
        <f t="shared" si="107"/>
        <v>8.5</v>
      </c>
      <c r="AA908" s="14">
        <f t="shared" si="108"/>
        <v>10</v>
      </c>
      <c r="AB908" s="14">
        <f t="shared" si="109"/>
        <v>10</v>
      </c>
      <c r="AC908" s="14">
        <f t="shared" si="110"/>
        <v>10</v>
      </c>
      <c r="AD908" s="14">
        <f t="shared" si="111"/>
        <v>20</v>
      </c>
    </row>
    <row r="909" spans="5:30">
      <c r="E909" s="10">
        <v>9.5299999999999994</v>
      </c>
      <c r="F909" s="8" t="s">
        <v>49</v>
      </c>
      <c r="G909" s="9">
        <v>38</v>
      </c>
      <c r="H909" s="23">
        <v>36</v>
      </c>
      <c r="I909" s="24"/>
      <c r="J909" s="22"/>
      <c r="K909" s="23">
        <v>40</v>
      </c>
      <c r="L909" s="22"/>
      <c r="M909" s="9">
        <v>25.5</v>
      </c>
      <c r="N909" s="9">
        <v>30</v>
      </c>
      <c r="O909" s="9">
        <v>30</v>
      </c>
      <c r="P909" s="9">
        <v>20</v>
      </c>
      <c r="Q909" s="23">
        <v>20</v>
      </c>
      <c r="R909" s="22"/>
      <c r="S909" s="8">
        <v>239.5</v>
      </c>
      <c r="U909">
        <v>0</v>
      </c>
      <c r="V909">
        <v>0</v>
      </c>
      <c r="W909" s="14">
        <f t="shared" si="104"/>
        <v>38</v>
      </c>
      <c r="X909" s="14">
        <f t="shared" si="105"/>
        <v>36</v>
      </c>
      <c r="Y909" s="14">
        <f t="shared" si="106"/>
        <v>40</v>
      </c>
      <c r="Z909" s="14">
        <f t="shared" si="107"/>
        <v>25.5</v>
      </c>
      <c r="AA909" s="14">
        <f t="shared" si="108"/>
        <v>30</v>
      </c>
      <c r="AB909" s="14">
        <f t="shared" si="109"/>
        <v>30</v>
      </c>
      <c r="AC909" s="14">
        <f t="shared" si="110"/>
        <v>20</v>
      </c>
      <c r="AD909" s="14">
        <f t="shared" si="111"/>
        <v>50</v>
      </c>
    </row>
    <row r="910" spans="5:30">
      <c r="E910" s="4"/>
      <c r="F910" s="8" t="s">
        <v>36</v>
      </c>
      <c r="G910" s="9">
        <v>94</v>
      </c>
      <c r="H910" s="23">
        <v>86</v>
      </c>
      <c r="I910" s="24"/>
      <c r="J910" s="22"/>
      <c r="K910" s="23">
        <v>100</v>
      </c>
      <c r="L910" s="22"/>
      <c r="M910" s="9">
        <v>83</v>
      </c>
      <c r="N910" s="9">
        <v>98</v>
      </c>
      <c r="O910" s="9">
        <v>100</v>
      </c>
      <c r="P910" s="9">
        <v>50</v>
      </c>
      <c r="Q910" s="23">
        <v>50</v>
      </c>
      <c r="R910" s="22"/>
      <c r="S910" s="8">
        <v>661</v>
      </c>
      <c r="U910">
        <v>0</v>
      </c>
      <c r="V910">
        <v>0</v>
      </c>
      <c r="W910" s="14">
        <f t="shared" si="104"/>
        <v>94</v>
      </c>
      <c r="X910" s="14">
        <f t="shared" si="105"/>
        <v>86</v>
      </c>
      <c r="Y910" s="14">
        <f t="shared" si="106"/>
        <v>100</v>
      </c>
      <c r="Z910" s="14">
        <f t="shared" si="107"/>
        <v>83</v>
      </c>
      <c r="AA910" s="14">
        <f t="shared" si="108"/>
        <v>98</v>
      </c>
      <c r="AB910" s="14">
        <f t="shared" si="109"/>
        <v>100</v>
      </c>
      <c r="AC910" s="14">
        <f t="shared" si="110"/>
        <v>50</v>
      </c>
      <c r="AD910" s="14">
        <f t="shared" si="111"/>
        <v>50</v>
      </c>
    </row>
    <row r="911" spans="5:30">
      <c r="E911" s="6"/>
      <c r="F911" s="8" t="s">
        <v>52</v>
      </c>
      <c r="G911" s="9">
        <v>100</v>
      </c>
      <c r="H911" s="23">
        <v>100</v>
      </c>
      <c r="I911" s="24"/>
      <c r="J911" s="22"/>
      <c r="K911" s="23">
        <v>100</v>
      </c>
      <c r="L911" s="22"/>
      <c r="M911" s="9">
        <v>100</v>
      </c>
      <c r="N911" s="9">
        <v>100</v>
      </c>
      <c r="O911" s="9">
        <v>100</v>
      </c>
      <c r="P911" s="9">
        <v>50</v>
      </c>
      <c r="Q911" s="23">
        <v>50</v>
      </c>
      <c r="R911" s="22"/>
      <c r="S911" s="8">
        <v>700</v>
      </c>
      <c r="U911" t="s">
        <v>31</v>
      </c>
      <c r="V911" t="s">
        <v>33</v>
      </c>
      <c r="W911" s="14">
        <f t="shared" si="104"/>
        <v>100</v>
      </c>
      <c r="X911" s="14">
        <f t="shared" si="105"/>
        <v>100</v>
      </c>
      <c r="Y911" s="14">
        <f t="shared" si="106"/>
        <v>100</v>
      </c>
      <c r="Z911" s="14">
        <f t="shared" si="107"/>
        <v>100</v>
      </c>
      <c r="AA911" s="14">
        <f t="shared" si="108"/>
        <v>100</v>
      </c>
      <c r="AB911" s="14">
        <f t="shared" si="109"/>
        <v>100</v>
      </c>
      <c r="AC911" s="14">
        <f t="shared" si="110"/>
        <v>50</v>
      </c>
      <c r="AD911" s="14" t="str">
        <f t="shared" si="111"/>
        <v>OO+</v>
      </c>
    </row>
    <row r="912" spans="5:30">
      <c r="E912" s="4"/>
      <c r="F912" s="8" t="s">
        <v>54</v>
      </c>
      <c r="G912" s="9" t="s">
        <v>94</v>
      </c>
      <c r="H912" s="23" t="s">
        <v>122</v>
      </c>
      <c r="I912" s="24"/>
      <c r="J912" s="22"/>
      <c r="K912" s="23" t="s">
        <v>93</v>
      </c>
      <c r="L912" s="22"/>
      <c r="M912" s="9" t="s">
        <v>95</v>
      </c>
      <c r="N912" s="9" t="s">
        <v>93</v>
      </c>
      <c r="O912" s="9" t="s">
        <v>93</v>
      </c>
      <c r="P912" s="9" t="s">
        <v>93</v>
      </c>
      <c r="Q912" s="23" t="s">
        <v>93</v>
      </c>
      <c r="R912" s="22"/>
      <c r="S912" s="8" t="s">
        <v>33</v>
      </c>
      <c r="U912" t="s">
        <v>587</v>
      </c>
      <c r="V912" t="s">
        <v>36</v>
      </c>
      <c r="W912" s="14" t="str">
        <f t="shared" si="104"/>
        <v>OO</v>
      </c>
      <c r="X912" s="14" t="str">
        <f t="shared" si="105"/>
        <v>OA+</v>
      </c>
      <c r="Y912" s="14" t="str">
        <f t="shared" si="106"/>
        <v>OO+</v>
      </c>
      <c r="Z912" s="14" t="str">
        <f t="shared" si="107"/>
        <v>OA</v>
      </c>
      <c r="AA912" s="14" t="str">
        <f t="shared" si="108"/>
        <v>OO+</v>
      </c>
      <c r="AB912" s="14" t="str">
        <f t="shared" si="109"/>
        <v>OO+</v>
      </c>
      <c r="AC912" s="14" t="str">
        <f t="shared" si="110"/>
        <v>OO+</v>
      </c>
      <c r="AD912" s="14" t="str">
        <f t="shared" si="111"/>
        <v>Pass</v>
      </c>
    </row>
    <row r="913" spans="5:30">
      <c r="E913" s="11" t="s">
        <v>586</v>
      </c>
      <c r="F913" s="8" t="s">
        <v>58</v>
      </c>
      <c r="G913" s="9" t="s">
        <v>59</v>
      </c>
      <c r="H913" s="23" t="s">
        <v>59</v>
      </c>
      <c r="I913" s="24"/>
      <c r="J913" s="22"/>
      <c r="K913" s="23" t="s">
        <v>59</v>
      </c>
      <c r="L913" s="22"/>
      <c r="M913" s="9" t="s">
        <v>59</v>
      </c>
      <c r="N913" s="9" t="s">
        <v>59</v>
      </c>
      <c r="O913" s="9" t="s">
        <v>59</v>
      </c>
      <c r="P913" s="9" t="s">
        <v>59</v>
      </c>
      <c r="Q913" s="23" t="s">
        <v>59</v>
      </c>
      <c r="R913" s="22"/>
      <c r="S913" s="8" t="s">
        <v>33</v>
      </c>
      <c r="U913" t="s">
        <v>37</v>
      </c>
      <c r="V913" t="s">
        <v>33</v>
      </c>
      <c r="W913" s="14" t="str">
        <f t="shared" si="104"/>
        <v>Pass</v>
      </c>
      <c r="X913" s="14" t="str">
        <f t="shared" si="105"/>
        <v>Pass</v>
      </c>
      <c r="Y913" s="14" t="str">
        <f t="shared" si="106"/>
        <v>Pass</v>
      </c>
      <c r="Z913" s="14" t="str">
        <f t="shared" si="107"/>
        <v>Pass</v>
      </c>
      <c r="AA913" s="14" t="str">
        <f t="shared" si="108"/>
        <v>Pass</v>
      </c>
      <c r="AB913" s="14" t="str">
        <f t="shared" si="109"/>
        <v>Pass</v>
      </c>
      <c r="AC913" s="14" t="str">
        <f t="shared" si="110"/>
        <v>Pass</v>
      </c>
      <c r="AD913" s="14" t="str">
        <f t="shared" si="111"/>
        <v/>
      </c>
    </row>
    <row r="914" spans="5:30">
      <c r="E914" s="12" t="s">
        <v>33</v>
      </c>
      <c r="F914" s="12" t="s">
        <v>33</v>
      </c>
      <c r="G914" s="13" t="s">
        <v>33</v>
      </c>
      <c r="H914" s="20" t="s">
        <v>33</v>
      </c>
      <c r="I914" s="18"/>
      <c r="J914" s="18"/>
      <c r="K914" s="20" t="s">
        <v>33</v>
      </c>
      <c r="L914" s="18"/>
      <c r="M914" s="13" t="s">
        <v>33</v>
      </c>
      <c r="N914" s="13" t="s">
        <v>33</v>
      </c>
      <c r="O914" s="13" t="s">
        <v>33</v>
      </c>
      <c r="P914" s="13" t="s">
        <v>33</v>
      </c>
      <c r="Q914" s="20" t="s">
        <v>33</v>
      </c>
      <c r="R914" s="18"/>
      <c r="S914" s="13" t="s">
        <v>33</v>
      </c>
      <c r="U914" t="s">
        <v>595</v>
      </c>
      <c r="V914" t="s">
        <v>33</v>
      </c>
      <c r="W914" s="14" t="str">
        <f t="shared" si="104"/>
        <v/>
      </c>
      <c r="X914" s="14" t="str">
        <f t="shared" si="105"/>
        <v/>
      </c>
      <c r="Y914" s="14" t="str">
        <f t="shared" si="106"/>
        <v/>
      </c>
      <c r="Z914" s="14" t="str">
        <f t="shared" si="107"/>
        <v/>
      </c>
      <c r="AA914" s="14" t="str">
        <f t="shared" si="108"/>
        <v/>
      </c>
      <c r="AB914" s="14" t="str">
        <f t="shared" si="109"/>
        <v/>
      </c>
      <c r="AC914" s="14" t="str">
        <f t="shared" si="110"/>
        <v/>
      </c>
      <c r="AD914" s="14">
        <f t="shared" si="111"/>
        <v>0</v>
      </c>
    </row>
    <row r="915" spans="5:30" ht="0" hidden="1" customHeight="1">
      <c r="U915">
        <v>0</v>
      </c>
      <c r="V915">
        <v>0</v>
      </c>
      <c r="W915" s="14">
        <f t="shared" si="104"/>
        <v>0</v>
      </c>
      <c r="X915" s="14">
        <f t="shared" si="105"/>
        <v>0</v>
      </c>
      <c r="Y915" s="14">
        <f t="shared" si="106"/>
        <v>0</v>
      </c>
      <c r="Z915" s="14">
        <f t="shared" si="107"/>
        <v>0</v>
      </c>
      <c r="AA915" s="14">
        <f t="shared" si="108"/>
        <v>0</v>
      </c>
      <c r="AB915" s="14">
        <f t="shared" si="109"/>
        <v>0</v>
      </c>
      <c r="AC915" s="14">
        <f t="shared" si="110"/>
        <v>0</v>
      </c>
      <c r="AD915" s="14">
        <f t="shared" si="111"/>
        <v>0</v>
      </c>
    </row>
    <row r="916" spans="5:30" ht="0.6" customHeight="1">
      <c r="U916">
        <v>0</v>
      </c>
      <c r="V916">
        <v>25</v>
      </c>
      <c r="W916" s="14">
        <f t="shared" si="104"/>
        <v>0</v>
      </c>
      <c r="X916" s="14">
        <f t="shared" si="105"/>
        <v>0</v>
      </c>
      <c r="Y916" s="14">
        <f t="shared" si="106"/>
        <v>0</v>
      </c>
      <c r="Z916" s="14">
        <f t="shared" si="107"/>
        <v>0</v>
      </c>
      <c r="AA916" s="14">
        <f t="shared" si="108"/>
        <v>0</v>
      </c>
      <c r="AB916" s="14">
        <f t="shared" si="109"/>
        <v>0</v>
      </c>
      <c r="AC916" s="14">
        <f t="shared" si="110"/>
        <v>0</v>
      </c>
      <c r="AD916" s="14" t="str">
        <f t="shared" si="111"/>
        <v/>
      </c>
    </row>
    <row r="917" spans="5:30">
      <c r="E917" s="4"/>
      <c r="F917" s="3" t="s">
        <v>32</v>
      </c>
      <c r="G917" s="5" t="s">
        <v>33</v>
      </c>
      <c r="H917" s="32" t="s">
        <v>33</v>
      </c>
      <c r="I917" s="18"/>
      <c r="J917" s="18"/>
      <c r="K917" s="32" t="s">
        <v>33</v>
      </c>
      <c r="L917" s="18"/>
      <c r="M917" s="5" t="s">
        <v>33</v>
      </c>
      <c r="N917" s="5" t="s">
        <v>33</v>
      </c>
      <c r="O917" s="5" t="s">
        <v>33</v>
      </c>
      <c r="P917" s="5" t="s">
        <v>33</v>
      </c>
      <c r="Q917" s="32" t="s">
        <v>33</v>
      </c>
      <c r="R917" s="18"/>
      <c r="S917" s="5" t="s">
        <v>33</v>
      </c>
      <c r="U917" t="s">
        <v>46</v>
      </c>
      <c r="V917" t="s">
        <v>33</v>
      </c>
      <c r="W917" s="14" t="str">
        <f t="shared" si="104"/>
        <v/>
      </c>
      <c r="X917" s="14" t="str">
        <f t="shared" si="105"/>
        <v/>
      </c>
      <c r="Y917" s="14" t="str">
        <f t="shared" si="106"/>
        <v/>
      </c>
      <c r="Z917" s="14" t="str">
        <f t="shared" si="107"/>
        <v/>
      </c>
      <c r="AA917" s="14" t="str">
        <f t="shared" si="108"/>
        <v/>
      </c>
      <c r="AB917" s="14" t="str">
        <f t="shared" si="109"/>
        <v/>
      </c>
      <c r="AC917" s="14" t="str">
        <f t="shared" si="110"/>
        <v/>
      </c>
      <c r="AD917" s="14" t="str">
        <f t="shared" si="111"/>
        <v>COMSRSN302</v>
      </c>
    </row>
    <row r="918" spans="5:30" ht="21">
      <c r="E918" s="4"/>
      <c r="F918" s="7" t="s">
        <v>35</v>
      </c>
      <c r="G918" s="7" t="s">
        <v>5</v>
      </c>
      <c r="H918" s="30" t="s">
        <v>7</v>
      </c>
      <c r="I918" s="24"/>
      <c r="J918" s="22"/>
      <c r="K918" s="30" t="s">
        <v>9</v>
      </c>
      <c r="L918" s="22"/>
      <c r="M918" s="7" t="s">
        <v>11</v>
      </c>
      <c r="N918" s="7" t="s">
        <v>13</v>
      </c>
      <c r="O918" s="7" t="s">
        <v>17</v>
      </c>
      <c r="P918" s="7" t="s">
        <v>21</v>
      </c>
      <c r="Q918" s="30" t="s">
        <v>29</v>
      </c>
      <c r="R918" s="22"/>
      <c r="S918" s="7" t="s">
        <v>36</v>
      </c>
      <c r="U918" t="s">
        <v>48</v>
      </c>
      <c r="V918">
        <v>174</v>
      </c>
      <c r="W918" s="14" t="str">
        <f t="shared" si="104"/>
        <v>BBABMCN301</v>
      </c>
      <c r="X918" s="14" t="str">
        <f t="shared" si="105"/>
        <v>BBABMCN302</v>
      </c>
      <c r="Y918" s="14" t="str">
        <f t="shared" si="106"/>
        <v>BBABMCN303</v>
      </c>
      <c r="Z918" s="14" t="str">
        <f t="shared" si="107"/>
        <v>BBAENLN301</v>
      </c>
      <c r="AA918" s="14" t="str">
        <f t="shared" si="108"/>
        <v>BBAHDLN301</v>
      </c>
      <c r="AB918" s="14" t="str">
        <f t="shared" si="109"/>
        <v>BCACAEN302</v>
      </c>
      <c r="AC918" s="14" t="str">
        <f t="shared" si="110"/>
        <v>COMFISN301</v>
      </c>
      <c r="AD918" s="14" t="str">
        <f t="shared" si="111"/>
        <v xml:space="preserve"> - - + - - </v>
      </c>
    </row>
    <row r="919" spans="5:30" ht="22.5">
      <c r="E919" s="6" t="s">
        <v>588</v>
      </c>
      <c r="F919" s="8" t="s">
        <v>39</v>
      </c>
      <c r="G919" s="9" t="s">
        <v>589</v>
      </c>
      <c r="H919" s="23" t="s">
        <v>590</v>
      </c>
      <c r="I919" s="24"/>
      <c r="J919" s="22"/>
      <c r="K919" s="23" t="s">
        <v>591</v>
      </c>
      <c r="L919" s="22"/>
      <c r="M919" s="9" t="s">
        <v>592</v>
      </c>
      <c r="N919" s="9" t="s">
        <v>593</v>
      </c>
      <c r="O919" s="9" t="s">
        <v>594</v>
      </c>
      <c r="P919" s="9" t="s">
        <v>548</v>
      </c>
      <c r="Q919" s="23" t="s">
        <v>43</v>
      </c>
      <c r="R919" s="22"/>
      <c r="S919" s="8" t="s">
        <v>33</v>
      </c>
      <c r="U919" t="s">
        <v>50</v>
      </c>
      <c r="V919">
        <v>461</v>
      </c>
      <c r="W919" s="14" t="str">
        <f t="shared" si="104"/>
        <v>38.00 + 22.00</v>
      </c>
      <c r="X919" s="14" t="str">
        <f t="shared" si="105"/>
        <v>38.00 + 20.00</v>
      </c>
      <c r="Y919" s="14" t="str">
        <f t="shared" si="106"/>
        <v>52.00 + 36.00</v>
      </c>
      <c r="Z919" s="14" t="str">
        <f t="shared" si="107"/>
        <v>35.00 + 29.00</v>
      </c>
      <c r="AA919" s="14" t="str">
        <f t="shared" si="108"/>
        <v>28.00 + 31.00</v>
      </c>
      <c r="AB919" s="14" t="str">
        <f t="shared" si="109"/>
        <v>21.00 + 22.00</v>
      </c>
      <c r="AC919" s="14" t="str">
        <f t="shared" si="110"/>
        <v>25.00 + 15.00</v>
      </c>
      <c r="AD919" s="14" t="str">
        <f t="shared" si="111"/>
        <v xml:space="preserve"> - - +49.00</v>
      </c>
    </row>
    <row r="920" spans="5:30">
      <c r="E920" s="25"/>
      <c r="F920" s="8" t="s">
        <v>42</v>
      </c>
      <c r="G920" s="9" t="s">
        <v>43</v>
      </c>
      <c r="H920" s="23" t="s">
        <v>43</v>
      </c>
      <c r="I920" s="24"/>
      <c r="J920" s="22"/>
      <c r="K920" s="23" t="s">
        <v>43</v>
      </c>
      <c r="L920" s="22"/>
      <c r="M920" s="9" t="s">
        <v>43</v>
      </c>
      <c r="N920" s="9" t="s">
        <v>43</v>
      </c>
      <c r="O920" s="9" t="s">
        <v>43</v>
      </c>
      <c r="P920" s="9" t="s">
        <v>43</v>
      </c>
      <c r="Q920" s="23" t="s">
        <v>120</v>
      </c>
      <c r="R920" s="22"/>
      <c r="S920" s="8" t="s">
        <v>33</v>
      </c>
      <c r="U920" t="s">
        <v>51</v>
      </c>
      <c r="V920">
        <v>700</v>
      </c>
      <c r="W920" s="14" t="str">
        <f t="shared" si="104"/>
        <v xml:space="preserve"> - - + - - </v>
      </c>
      <c r="X920" s="14" t="str">
        <f t="shared" si="105"/>
        <v xml:space="preserve"> - - + - - </v>
      </c>
      <c r="Y920" s="14" t="str">
        <f t="shared" si="106"/>
        <v xml:space="preserve"> - - + - - </v>
      </c>
      <c r="Z920" s="14" t="str">
        <f t="shared" si="107"/>
        <v xml:space="preserve"> - - + - - </v>
      </c>
      <c r="AA920" s="14" t="str">
        <f t="shared" si="108"/>
        <v xml:space="preserve"> - - + - - </v>
      </c>
      <c r="AB920" s="14" t="str">
        <f t="shared" si="109"/>
        <v xml:space="preserve"> - - + - - </v>
      </c>
      <c r="AC920" s="14" t="str">
        <f t="shared" si="110"/>
        <v xml:space="preserve"> - - + - - </v>
      </c>
      <c r="AD920" s="14" t="str">
        <f t="shared" si="111"/>
        <v/>
      </c>
    </row>
    <row r="921" spans="5:30">
      <c r="E921" s="27"/>
      <c r="F921" s="8" t="s">
        <v>44</v>
      </c>
      <c r="G921" s="9" t="s">
        <v>33</v>
      </c>
      <c r="H921" s="23" t="s">
        <v>33</v>
      </c>
      <c r="I921" s="24"/>
      <c r="J921" s="22"/>
      <c r="K921" s="23" t="s">
        <v>33</v>
      </c>
      <c r="L921" s="22"/>
      <c r="M921" s="9" t="s">
        <v>33</v>
      </c>
      <c r="N921" s="9" t="s">
        <v>33</v>
      </c>
      <c r="O921" s="9" t="s">
        <v>33</v>
      </c>
      <c r="P921" s="9" t="s">
        <v>33</v>
      </c>
      <c r="Q921" s="23" t="s">
        <v>33</v>
      </c>
      <c r="R921" s="22"/>
      <c r="S921" s="8">
        <v>0</v>
      </c>
      <c r="U921" t="s">
        <v>596</v>
      </c>
      <c r="V921" t="s">
        <v>33</v>
      </c>
      <c r="W921" s="14" t="str">
        <f t="shared" si="104"/>
        <v/>
      </c>
      <c r="X921" s="14" t="str">
        <f t="shared" si="105"/>
        <v/>
      </c>
      <c r="Y921" s="14" t="str">
        <f t="shared" si="106"/>
        <v/>
      </c>
      <c r="Z921" s="14" t="str">
        <f t="shared" si="107"/>
        <v/>
      </c>
      <c r="AA921" s="14" t="str">
        <f t="shared" si="108"/>
        <v/>
      </c>
      <c r="AB921" s="14" t="str">
        <f t="shared" si="109"/>
        <v/>
      </c>
      <c r="AC921" s="14" t="str">
        <f t="shared" si="110"/>
        <v/>
      </c>
      <c r="AD921" s="14">
        <f t="shared" si="111"/>
        <v>2</v>
      </c>
    </row>
    <row r="922" spans="5:30">
      <c r="E922" s="29"/>
      <c r="F922" s="8" t="s">
        <v>45</v>
      </c>
      <c r="G922" s="9">
        <v>4</v>
      </c>
      <c r="H922" s="23">
        <v>4</v>
      </c>
      <c r="I922" s="24"/>
      <c r="J922" s="22"/>
      <c r="K922" s="23">
        <v>4</v>
      </c>
      <c r="L922" s="22"/>
      <c r="M922" s="9">
        <v>3</v>
      </c>
      <c r="N922" s="9">
        <v>3</v>
      </c>
      <c r="O922" s="9">
        <v>3</v>
      </c>
      <c r="P922" s="9">
        <v>2</v>
      </c>
      <c r="Q922" s="23">
        <v>2</v>
      </c>
      <c r="R922" s="22"/>
      <c r="S922" s="8">
        <v>25</v>
      </c>
      <c r="U922" t="s">
        <v>56</v>
      </c>
      <c r="V922" t="s">
        <v>33</v>
      </c>
      <c r="W922" s="14">
        <f t="shared" si="104"/>
        <v>4</v>
      </c>
      <c r="X922" s="14">
        <f t="shared" si="105"/>
        <v>4</v>
      </c>
      <c r="Y922" s="14">
        <f t="shared" si="106"/>
        <v>4</v>
      </c>
      <c r="Z922" s="14">
        <f t="shared" si="107"/>
        <v>3</v>
      </c>
      <c r="AA922" s="14">
        <f t="shared" si="108"/>
        <v>3</v>
      </c>
      <c r="AB922" s="14">
        <f t="shared" si="109"/>
        <v>3</v>
      </c>
      <c r="AC922" s="14">
        <f t="shared" si="110"/>
        <v>2</v>
      </c>
      <c r="AD922" s="14">
        <f t="shared" si="111"/>
        <v>10</v>
      </c>
    </row>
    <row r="923" spans="5:30">
      <c r="E923" s="6">
        <v>6.96</v>
      </c>
      <c r="F923" s="8" t="s">
        <v>47</v>
      </c>
      <c r="G923" s="9">
        <v>6.5</v>
      </c>
      <c r="H923" s="23">
        <v>6</v>
      </c>
      <c r="I923" s="24"/>
      <c r="J923" s="22"/>
      <c r="K923" s="23">
        <v>9</v>
      </c>
      <c r="L923" s="22"/>
      <c r="M923" s="9">
        <v>6.5</v>
      </c>
      <c r="N923" s="9">
        <v>6</v>
      </c>
      <c r="O923" s="9">
        <v>4.5</v>
      </c>
      <c r="P923" s="9">
        <v>8.5</v>
      </c>
      <c r="Q923" s="23">
        <v>10</v>
      </c>
      <c r="R923" s="22"/>
      <c r="S923" s="8" t="s">
        <v>33</v>
      </c>
      <c r="U923" t="s">
        <v>33</v>
      </c>
      <c r="V923" t="s">
        <v>33</v>
      </c>
      <c r="W923" s="14">
        <f t="shared" si="104"/>
        <v>6.5</v>
      </c>
      <c r="X923" s="14">
        <f t="shared" si="105"/>
        <v>6</v>
      </c>
      <c r="Y923" s="14">
        <f t="shared" si="106"/>
        <v>9</v>
      </c>
      <c r="Z923" s="14">
        <f t="shared" si="107"/>
        <v>6.5</v>
      </c>
      <c r="AA923" s="14">
        <f t="shared" si="108"/>
        <v>6</v>
      </c>
      <c r="AB923" s="14">
        <f t="shared" si="109"/>
        <v>4.5</v>
      </c>
      <c r="AC923" s="14">
        <f t="shared" si="110"/>
        <v>8.5</v>
      </c>
      <c r="AD923" s="14">
        <f t="shared" si="111"/>
        <v>20</v>
      </c>
    </row>
    <row r="924" spans="5:30">
      <c r="E924" s="10">
        <v>6.7</v>
      </c>
      <c r="F924" s="8" t="s">
        <v>49</v>
      </c>
      <c r="G924" s="9">
        <v>26</v>
      </c>
      <c r="H924" s="23">
        <v>24</v>
      </c>
      <c r="I924" s="24"/>
      <c r="J924" s="22"/>
      <c r="K924" s="23">
        <v>36</v>
      </c>
      <c r="L924" s="22"/>
      <c r="M924" s="9">
        <v>19.5</v>
      </c>
      <c r="N924" s="9">
        <v>18</v>
      </c>
      <c r="O924" s="9">
        <v>13.5</v>
      </c>
      <c r="P924" s="9">
        <v>17</v>
      </c>
      <c r="Q924" s="23">
        <v>20</v>
      </c>
      <c r="R924" s="22"/>
      <c r="S924" s="8">
        <v>174</v>
      </c>
      <c r="U924">
        <v>0</v>
      </c>
      <c r="V924">
        <v>0</v>
      </c>
      <c r="W924" s="14">
        <f t="shared" si="104"/>
        <v>26</v>
      </c>
      <c r="X924" s="14">
        <f t="shared" si="105"/>
        <v>24</v>
      </c>
      <c r="Y924" s="14">
        <f t="shared" si="106"/>
        <v>36</v>
      </c>
      <c r="Z924" s="14">
        <f t="shared" si="107"/>
        <v>19.5</v>
      </c>
      <c r="AA924" s="14">
        <f t="shared" si="108"/>
        <v>18</v>
      </c>
      <c r="AB924" s="14">
        <f t="shared" si="109"/>
        <v>13.5</v>
      </c>
      <c r="AC924" s="14">
        <f t="shared" si="110"/>
        <v>17</v>
      </c>
      <c r="AD924" s="14">
        <f t="shared" si="111"/>
        <v>49</v>
      </c>
    </row>
    <row r="925" spans="5:30">
      <c r="E925" s="4"/>
      <c r="F925" s="8" t="s">
        <v>36</v>
      </c>
      <c r="G925" s="9">
        <v>60</v>
      </c>
      <c r="H925" s="23">
        <v>58</v>
      </c>
      <c r="I925" s="24"/>
      <c r="J925" s="22"/>
      <c r="K925" s="23">
        <v>88</v>
      </c>
      <c r="L925" s="22"/>
      <c r="M925" s="9">
        <v>64</v>
      </c>
      <c r="N925" s="9">
        <v>59</v>
      </c>
      <c r="O925" s="9">
        <v>43</v>
      </c>
      <c r="P925" s="9">
        <v>40</v>
      </c>
      <c r="Q925" s="23">
        <v>49</v>
      </c>
      <c r="R925" s="22"/>
      <c r="S925" s="8">
        <v>461</v>
      </c>
      <c r="U925">
        <v>0</v>
      </c>
      <c r="V925">
        <v>0</v>
      </c>
      <c r="W925" s="14">
        <f t="shared" si="104"/>
        <v>60</v>
      </c>
      <c r="X925" s="14">
        <f t="shared" si="105"/>
        <v>58</v>
      </c>
      <c r="Y925" s="14">
        <f t="shared" si="106"/>
        <v>88</v>
      </c>
      <c r="Z925" s="14">
        <f t="shared" si="107"/>
        <v>64</v>
      </c>
      <c r="AA925" s="14">
        <f t="shared" si="108"/>
        <v>59</v>
      </c>
      <c r="AB925" s="14">
        <f t="shared" si="109"/>
        <v>43</v>
      </c>
      <c r="AC925" s="14">
        <f t="shared" si="110"/>
        <v>40</v>
      </c>
      <c r="AD925" s="14">
        <f t="shared" si="111"/>
        <v>50</v>
      </c>
    </row>
    <row r="926" spans="5:30">
      <c r="E926" s="6"/>
      <c r="F926" s="8" t="s">
        <v>52</v>
      </c>
      <c r="G926" s="9">
        <v>100</v>
      </c>
      <c r="H926" s="23">
        <v>100</v>
      </c>
      <c r="I926" s="24"/>
      <c r="J926" s="22"/>
      <c r="K926" s="23">
        <v>100</v>
      </c>
      <c r="L926" s="22"/>
      <c r="M926" s="9">
        <v>100</v>
      </c>
      <c r="N926" s="9">
        <v>100</v>
      </c>
      <c r="O926" s="9">
        <v>100</v>
      </c>
      <c r="P926" s="9">
        <v>50</v>
      </c>
      <c r="Q926" s="23">
        <v>50</v>
      </c>
      <c r="R926" s="22"/>
      <c r="S926" s="8">
        <v>700</v>
      </c>
      <c r="U926" t="s">
        <v>31</v>
      </c>
      <c r="V926" t="s">
        <v>33</v>
      </c>
      <c r="W926" s="14">
        <f t="shared" si="104"/>
        <v>100</v>
      </c>
      <c r="X926" s="14">
        <f t="shared" si="105"/>
        <v>100</v>
      </c>
      <c r="Y926" s="14">
        <f t="shared" si="106"/>
        <v>100</v>
      </c>
      <c r="Z926" s="14">
        <f t="shared" si="107"/>
        <v>100</v>
      </c>
      <c r="AA926" s="14">
        <f t="shared" si="108"/>
        <v>100</v>
      </c>
      <c r="AB926" s="14">
        <f t="shared" si="109"/>
        <v>100</v>
      </c>
      <c r="AC926" s="14">
        <f t="shared" si="110"/>
        <v>50</v>
      </c>
      <c r="AD926" s="14" t="str">
        <f t="shared" si="111"/>
        <v>OO+</v>
      </c>
    </row>
    <row r="927" spans="5:30">
      <c r="E927" s="4"/>
      <c r="F927" s="8" t="s">
        <v>54</v>
      </c>
      <c r="G927" s="9" t="s">
        <v>76</v>
      </c>
      <c r="H927" s="23" t="s">
        <v>147</v>
      </c>
      <c r="I927" s="24"/>
      <c r="J927" s="22"/>
      <c r="K927" s="23" t="s">
        <v>122</v>
      </c>
      <c r="L927" s="22"/>
      <c r="M927" s="9" t="s">
        <v>76</v>
      </c>
      <c r="N927" s="9" t="s">
        <v>147</v>
      </c>
      <c r="O927" s="9" t="s">
        <v>75</v>
      </c>
      <c r="P927" s="9" t="s">
        <v>95</v>
      </c>
      <c r="Q927" s="23" t="s">
        <v>93</v>
      </c>
      <c r="R927" s="22"/>
      <c r="S927" s="8" t="s">
        <v>33</v>
      </c>
      <c r="U927" t="s">
        <v>598</v>
      </c>
      <c r="V927" t="s">
        <v>36</v>
      </c>
      <c r="W927" s="14" t="str">
        <f t="shared" si="104"/>
        <v>AB</v>
      </c>
      <c r="X927" s="14" t="str">
        <f t="shared" si="105"/>
        <v>BB+</v>
      </c>
      <c r="Y927" s="14" t="str">
        <f t="shared" si="106"/>
        <v>OA+</v>
      </c>
      <c r="Z927" s="14" t="str">
        <f t="shared" si="107"/>
        <v>AB</v>
      </c>
      <c r="AA927" s="14" t="str">
        <f t="shared" si="108"/>
        <v>BB+</v>
      </c>
      <c r="AB927" s="14" t="str">
        <f t="shared" si="109"/>
        <v>PP</v>
      </c>
      <c r="AC927" s="14" t="str">
        <f t="shared" si="110"/>
        <v>OA</v>
      </c>
      <c r="AD927" s="14" t="str">
        <f t="shared" si="111"/>
        <v>Pass</v>
      </c>
    </row>
    <row r="928" spans="5:30">
      <c r="E928" s="11" t="s">
        <v>597</v>
      </c>
      <c r="F928" s="8" t="s">
        <v>58</v>
      </c>
      <c r="G928" s="9" t="s">
        <v>59</v>
      </c>
      <c r="H928" s="23" t="s">
        <v>59</v>
      </c>
      <c r="I928" s="24"/>
      <c r="J928" s="22"/>
      <c r="K928" s="23" t="s">
        <v>59</v>
      </c>
      <c r="L928" s="22"/>
      <c r="M928" s="9" t="s">
        <v>59</v>
      </c>
      <c r="N928" s="9" t="s">
        <v>59</v>
      </c>
      <c r="O928" s="9" t="s">
        <v>59</v>
      </c>
      <c r="P928" s="9" t="s">
        <v>59</v>
      </c>
      <c r="Q928" s="23" t="s">
        <v>59</v>
      </c>
      <c r="R928" s="22"/>
      <c r="S928" s="8" t="s">
        <v>33</v>
      </c>
      <c r="U928" t="s">
        <v>37</v>
      </c>
      <c r="V928" t="s">
        <v>33</v>
      </c>
      <c r="W928" s="14" t="str">
        <f t="shared" si="104"/>
        <v>Pass</v>
      </c>
      <c r="X928" s="14" t="str">
        <f t="shared" si="105"/>
        <v>Pass</v>
      </c>
      <c r="Y928" s="14" t="str">
        <f t="shared" si="106"/>
        <v>Pass</v>
      </c>
      <c r="Z928" s="14" t="str">
        <f t="shared" si="107"/>
        <v>Pass</v>
      </c>
      <c r="AA928" s="14" t="str">
        <f t="shared" si="108"/>
        <v>Pass</v>
      </c>
      <c r="AB928" s="14" t="str">
        <f t="shared" si="109"/>
        <v>Pass</v>
      </c>
      <c r="AC928" s="14" t="str">
        <f t="shared" si="110"/>
        <v>Pass</v>
      </c>
      <c r="AD928" s="14" t="str">
        <f t="shared" si="111"/>
        <v/>
      </c>
    </row>
    <row r="929" spans="5:30">
      <c r="E929" s="12" t="s">
        <v>33</v>
      </c>
      <c r="F929" s="12" t="s">
        <v>33</v>
      </c>
      <c r="G929" s="13" t="s">
        <v>33</v>
      </c>
      <c r="H929" s="20" t="s">
        <v>33</v>
      </c>
      <c r="I929" s="18"/>
      <c r="J929" s="18"/>
      <c r="K929" s="20" t="s">
        <v>33</v>
      </c>
      <c r="L929" s="18"/>
      <c r="M929" s="13" t="s">
        <v>33</v>
      </c>
      <c r="N929" s="13" t="s">
        <v>33</v>
      </c>
      <c r="O929" s="13" t="s">
        <v>33</v>
      </c>
      <c r="P929" s="13" t="s">
        <v>33</v>
      </c>
      <c r="Q929" s="20" t="s">
        <v>33</v>
      </c>
      <c r="R929" s="18"/>
      <c r="S929" s="13" t="s">
        <v>33</v>
      </c>
      <c r="U929" t="s">
        <v>604</v>
      </c>
      <c r="V929" t="s">
        <v>33</v>
      </c>
      <c r="W929" s="14" t="str">
        <f t="shared" si="104"/>
        <v/>
      </c>
      <c r="X929" s="14" t="str">
        <f t="shared" si="105"/>
        <v/>
      </c>
      <c r="Y929" s="14" t="str">
        <f t="shared" si="106"/>
        <v/>
      </c>
      <c r="Z929" s="14" t="str">
        <f t="shared" si="107"/>
        <v/>
      </c>
      <c r="AA929" s="14" t="str">
        <f t="shared" si="108"/>
        <v/>
      </c>
      <c r="AB929" s="14" t="str">
        <f t="shared" si="109"/>
        <v/>
      </c>
      <c r="AC929" s="14" t="str">
        <f t="shared" si="110"/>
        <v/>
      </c>
      <c r="AD929" s="14">
        <f t="shared" si="111"/>
        <v>0</v>
      </c>
    </row>
    <row r="930" spans="5:30" ht="0" hidden="1" customHeight="1">
      <c r="U930">
        <v>0</v>
      </c>
      <c r="V930">
        <v>0</v>
      </c>
      <c r="W930" s="14">
        <f t="shared" si="104"/>
        <v>0</v>
      </c>
      <c r="X930" s="14">
        <f t="shared" si="105"/>
        <v>0</v>
      </c>
      <c r="Y930" s="14">
        <f t="shared" si="106"/>
        <v>0</v>
      </c>
      <c r="Z930" s="14">
        <f t="shared" si="107"/>
        <v>0</v>
      </c>
      <c r="AA930" s="14">
        <f t="shared" si="108"/>
        <v>0</v>
      </c>
      <c r="AB930" s="14">
        <f t="shared" si="109"/>
        <v>0</v>
      </c>
      <c r="AC930" s="14">
        <f t="shared" si="110"/>
        <v>0</v>
      </c>
      <c r="AD930" s="14">
        <f t="shared" si="111"/>
        <v>0</v>
      </c>
    </row>
    <row r="931" spans="5:30" ht="0.6" customHeight="1">
      <c r="U931">
        <v>0</v>
      </c>
      <c r="V931">
        <v>25</v>
      </c>
      <c r="W931" s="14">
        <f t="shared" si="104"/>
        <v>0</v>
      </c>
      <c r="X931" s="14">
        <f t="shared" si="105"/>
        <v>0</v>
      </c>
      <c r="Y931" s="14">
        <f t="shared" si="106"/>
        <v>0</v>
      </c>
      <c r="Z931" s="14">
        <f t="shared" si="107"/>
        <v>0</v>
      </c>
      <c r="AA931" s="14">
        <f t="shared" si="108"/>
        <v>0</v>
      </c>
      <c r="AB931" s="14">
        <f t="shared" si="109"/>
        <v>0</v>
      </c>
      <c r="AC931" s="14">
        <f t="shared" si="110"/>
        <v>0</v>
      </c>
      <c r="AD931" s="14" t="str">
        <f t="shared" si="111"/>
        <v/>
      </c>
    </row>
    <row r="932" spans="5:30">
      <c r="E932" s="4"/>
      <c r="F932" s="3" t="s">
        <v>32</v>
      </c>
      <c r="G932" s="5" t="s">
        <v>33</v>
      </c>
      <c r="H932" s="32" t="s">
        <v>33</v>
      </c>
      <c r="I932" s="18"/>
      <c r="J932" s="18"/>
      <c r="K932" s="32" t="s">
        <v>33</v>
      </c>
      <c r="L932" s="18"/>
      <c r="M932" s="5" t="s">
        <v>33</v>
      </c>
      <c r="N932" s="5" t="s">
        <v>33</v>
      </c>
      <c r="O932" s="5" t="s">
        <v>33</v>
      </c>
      <c r="P932" s="5" t="s">
        <v>33</v>
      </c>
      <c r="Q932" s="32" t="s">
        <v>33</v>
      </c>
      <c r="R932" s="18"/>
      <c r="S932" s="5" t="s">
        <v>33</v>
      </c>
      <c r="U932" t="s">
        <v>46</v>
      </c>
      <c r="V932" t="s">
        <v>33</v>
      </c>
      <c r="W932" s="14" t="str">
        <f t="shared" si="104"/>
        <v/>
      </c>
      <c r="X932" s="14" t="str">
        <f t="shared" si="105"/>
        <v/>
      </c>
      <c r="Y932" s="14" t="str">
        <f t="shared" si="106"/>
        <v/>
      </c>
      <c r="Z932" s="14" t="str">
        <f t="shared" si="107"/>
        <v/>
      </c>
      <c r="AA932" s="14" t="str">
        <f t="shared" si="108"/>
        <v/>
      </c>
      <c r="AB932" s="14" t="str">
        <f t="shared" si="109"/>
        <v/>
      </c>
      <c r="AC932" s="14" t="str">
        <f t="shared" si="110"/>
        <v/>
      </c>
      <c r="AD932" s="14" t="str">
        <f t="shared" si="111"/>
        <v>COMNCSN302</v>
      </c>
    </row>
    <row r="933" spans="5:30" ht="21">
      <c r="E933" s="4"/>
      <c r="F933" s="7" t="s">
        <v>35</v>
      </c>
      <c r="G933" s="7" t="s">
        <v>5</v>
      </c>
      <c r="H933" s="30" t="s">
        <v>7</v>
      </c>
      <c r="I933" s="24"/>
      <c r="J933" s="22"/>
      <c r="K933" s="30" t="s">
        <v>9</v>
      </c>
      <c r="L933" s="22"/>
      <c r="M933" s="7" t="s">
        <v>11</v>
      </c>
      <c r="N933" s="7" t="s">
        <v>15</v>
      </c>
      <c r="O933" s="7" t="s">
        <v>17</v>
      </c>
      <c r="P933" s="7" t="s">
        <v>21</v>
      </c>
      <c r="Q933" s="30" t="s">
        <v>23</v>
      </c>
      <c r="R933" s="22"/>
      <c r="S933" s="7" t="s">
        <v>36</v>
      </c>
      <c r="U933" t="s">
        <v>48</v>
      </c>
      <c r="V933">
        <v>208.5</v>
      </c>
      <c r="W933" s="14" t="str">
        <f t="shared" si="104"/>
        <v>BBABMCN301</v>
      </c>
      <c r="X933" s="14" t="str">
        <f t="shared" si="105"/>
        <v>BBABMCN302</v>
      </c>
      <c r="Y933" s="14" t="str">
        <f t="shared" si="106"/>
        <v>BBABMCN303</v>
      </c>
      <c r="Z933" s="14" t="str">
        <f t="shared" si="107"/>
        <v>BBAENLN301</v>
      </c>
      <c r="AA933" s="14" t="str">
        <f t="shared" si="108"/>
        <v>BBAKALN302</v>
      </c>
      <c r="AB933" s="14" t="str">
        <f t="shared" si="109"/>
        <v>BCACAEN302</v>
      </c>
      <c r="AC933" s="14" t="str">
        <f t="shared" si="110"/>
        <v>COMFISN301</v>
      </c>
      <c r="AD933" s="14" t="str">
        <f t="shared" si="111"/>
        <v xml:space="preserve"> - - + - - </v>
      </c>
    </row>
    <row r="934" spans="5:30" ht="22.5">
      <c r="E934" s="6" t="s">
        <v>599</v>
      </c>
      <c r="F934" s="8" t="s">
        <v>39</v>
      </c>
      <c r="G934" s="9" t="s">
        <v>600</v>
      </c>
      <c r="H934" s="23" t="s">
        <v>254</v>
      </c>
      <c r="I934" s="24"/>
      <c r="J934" s="22"/>
      <c r="K934" s="23" t="s">
        <v>432</v>
      </c>
      <c r="L934" s="22"/>
      <c r="M934" s="9" t="s">
        <v>601</v>
      </c>
      <c r="N934" s="9" t="s">
        <v>602</v>
      </c>
      <c r="O934" s="9" t="s">
        <v>603</v>
      </c>
      <c r="P934" s="9" t="s">
        <v>483</v>
      </c>
      <c r="Q934" s="23" t="s">
        <v>43</v>
      </c>
      <c r="R934" s="22"/>
      <c r="S934" s="8" t="s">
        <v>33</v>
      </c>
      <c r="U934" t="s">
        <v>50</v>
      </c>
      <c r="V934">
        <v>552</v>
      </c>
      <c r="W934" s="14" t="str">
        <f t="shared" si="104"/>
        <v>45.00 + 30.00</v>
      </c>
      <c r="X934" s="14" t="str">
        <f t="shared" si="105"/>
        <v>42.00 + 33.00</v>
      </c>
      <c r="Y934" s="14" t="str">
        <f t="shared" si="106"/>
        <v>48.00 + 40.00</v>
      </c>
      <c r="Z934" s="14" t="str">
        <f t="shared" si="107"/>
        <v>40.00 + 31.00</v>
      </c>
      <c r="AA934" s="14" t="str">
        <f t="shared" si="108"/>
        <v>57.00 + 35.00</v>
      </c>
      <c r="AB934" s="14" t="str">
        <f t="shared" si="109"/>
        <v>36.00 + 24.00</v>
      </c>
      <c r="AC934" s="14" t="str">
        <f t="shared" si="110"/>
        <v>29.00 + 19.00</v>
      </c>
      <c r="AD934" s="14" t="str">
        <f t="shared" si="111"/>
        <v xml:space="preserve"> - - +43.00</v>
      </c>
    </row>
    <row r="935" spans="5:30">
      <c r="E935" s="25"/>
      <c r="F935" s="8" t="s">
        <v>42</v>
      </c>
      <c r="G935" s="9" t="s">
        <v>43</v>
      </c>
      <c r="H935" s="23" t="s">
        <v>43</v>
      </c>
      <c r="I935" s="24"/>
      <c r="J935" s="22"/>
      <c r="K935" s="23" t="s">
        <v>43</v>
      </c>
      <c r="L935" s="22"/>
      <c r="M935" s="9" t="s">
        <v>43</v>
      </c>
      <c r="N935" s="9" t="s">
        <v>43</v>
      </c>
      <c r="O935" s="9" t="s">
        <v>43</v>
      </c>
      <c r="P935" s="9" t="s">
        <v>43</v>
      </c>
      <c r="Q935" s="23" t="s">
        <v>605</v>
      </c>
      <c r="R935" s="22"/>
      <c r="S935" s="8" t="s">
        <v>33</v>
      </c>
      <c r="U935" t="s">
        <v>51</v>
      </c>
      <c r="V935">
        <v>700</v>
      </c>
      <c r="W935" s="14" t="str">
        <f t="shared" si="104"/>
        <v xml:space="preserve"> - - + - - </v>
      </c>
      <c r="X935" s="14" t="str">
        <f t="shared" si="105"/>
        <v xml:space="preserve"> - - + - - </v>
      </c>
      <c r="Y935" s="14" t="str">
        <f t="shared" si="106"/>
        <v xml:space="preserve"> - - + - - </v>
      </c>
      <c r="Z935" s="14" t="str">
        <f t="shared" si="107"/>
        <v xml:space="preserve"> - - + - - </v>
      </c>
      <c r="AA935" s="14" t="str">
        <f t="shared" si="108"/>
        <v xml:space="preserve"> - - + - - </v>
      </c>
      <c r="AB935" s="14" t="str">
        <f t="shared" si="109"/>
        <v xml:space="preserve"> - - + - - </v>
      </c>
      <c r="AC935" s="14" t="str">
        <f t="shared" si="110"/>
        <v xml:space="preserve"> - - + - - </v>
      </c>
      <c r="AD935" s="14" t="str">
        <f t="shared" si="111"/>
        <v/>
      </c>
    </row>
    <row r="936" spans="5:30">
      <c r="E936" s="27"/>
      <c r="F936" s="8" t="s">
        <v>44</v>
      </c>
      <c r="G936" s="9" t="s">
        <v>33</v>
      </c>
      <c r="H936" s="23" t="s">
        <v>33</v>
      </c>
      <c r="I936" s="24"/>
      <c r="J936" s="22"/>
      <c r="K936" s="23" t="s">
        <v>33</v>
      </c>
      <c r="L936" s="22"/>
      <c r="M936" s="9" t="s">
        <v>33</v>
      </c>
      <c r="N936" s="9" t="s">
        <v>33</v>
      </c>
      <c r="O936" s="9" t="s">
        <v>33</v>
      </c>
      <c r="P936" s="9" t="s">
        <v>33</v>
      </c>
      <c r="Q936" s="23" t="s">
        <v>33</v>
      </c>
      <c r="R936" s="22"/>
      <c r="S936" s="8">
        <v>0</v>
      </c>
      <c r="U936" t="s">
        <v>159</v>
      </c>
      <c r="V936" t="s">
        <v>33</v>
      </c>
      <c r="W936" s="14" t="str">
        <f t="shared" si="104"/>
        <v/>
      </c>
      <c r="X936" s="14" t="str">
        <f t="shared" si="105"/>
        <v/>
      </c>
      <c r="Y936" s="14" t="str">
        <f t="shared" si="106"/>
        <v/>
      </c>
      <c r="Z936" s="14" t="str">
        <f t="shared" si="107"/>
        <v/>
      </c>
      <c r="AA936" s="14" t="str">
        <f t="shared" si="108"/>
        <v/>
      </c>
      <c r="AB936" s="14" t="str">
        <f t="shared" si="109"/>
        <v/>
      </c>
      <c r="AC936" s="14" t="str">
        <f t="shared" si="110"/>
        <v/>
      </c>
      <c r="AD936" s="14">
        <f t="shared" si="111"/>
        <v>2</v>
      </c>
    </row>
    <row r="937" spans="5:30">
      <c r="E937" s="29"/>
      <c r="F937" s="8" t="s">
        <v>45</v>
      </c>
      <c r="G937" s="9">
        <v>4</v>
      </c>
      <c r="H937" s="23">
        <v>4</v>
      </c>
      <c r="I937" s="24"/>
      <c r="J937" s="22"/>
      <c r="K937" s="23">
        <v>4</v>
      </c>
      <c r="L937" s="22"/>
      <c r="M937" s="9">
        <v>3</v>
      </c>
      <c r="N937" s="9">
        <v>3</v>
      </c>
      <c r="O937" s="9">
        <v>3</v>
      </c>
      <c r="P937" s="9">
        <v>2</v>
      </c>
      <c r="Q937" s="23">
        <v>2</v>
      </c>
      <c r="R937" s="22"/>
      <c r="S937" s="8">
        <v>25</v>
      </c>
      <c r="U937" t="s">
        <v>56</v>
      </c>
      <c r="V937" t="s">
        <v>33</v>
      </c>
      <c r="W937" s="14">
        <f t="shared" si="104"/>
        <v>4</v>
      </c>
      <c r="X937" s="14">
        <f t="shared" si="105"/>
        <v>4</v>
      </c>
      <c r="Y937" s="14">
        <f t="shared" si="106"/>
        <v>4</v>
      </c>
      <c r="Z937" s="14">
        <f t="shared" si="107"/>
        <v>3</v>
      </c>
      <c r="AA937" s="14">
        <f t="shared" si="108"/>
        <v>3</v>
      </c>
      <c r="AB937" s="14">
        <f t="shared" si="109"/>
        <v>3</v>
      </c>
      <c r="AC937" s="14">
        <f t="shared" si="110"/>
        <v>2</v>
      </c>
      <c r="AD937" s="14">
        <f t="shared" si="111"/>
        <v>9</v>
      </c>
    </row>
    <row r="938" spans="5:30">
      <c r="E938" s="6">
        <v>8.34</v>
      </c>
      <c r="F938" s="8" t="s">
        <v>47</v>
      </c>
      <c r="G938" s="9">
        <v>8</v>
      </c>
      <c r="H938" s="23">
        <v>8</v>
      </c>
      <c r="I938" s="24"/>
      <c r="J938" s="22"/>
      <c r="K938" s="23">
        <v>9</v>
      </c>
      <c r="L938" s="22"/>
      <c r="M938" s="9">
        <v>7.5</v>
      </c>
      <c r="N938" s="9">
        <v>9.5</v>
      </c>
      <c r="O938" s="9">
        <v>6.5</v>
      </c>
      <c r="P938" s="9">
        <v>10</v>
      </c>
      <c r="Q938" s="23">
        <v>9</v>
      </c>
      <c r="R938" s="22"/>
      <c r="S938" s="8" t="s">
        <v>33</v>
      </c>
      <c r="U938" t="s">
        <v>33</v>
      </c>
      <c r="V938" t="s">
        <v>33</v>
      </c>
      <c r="W938" s="14">
        <f t="shared" si="104"/>
        <v>8</v>
      </c>
      <c r="X938" s="14">
        <f t="shared" si="105"/>
        <v>8</v>
      </c>
      <c r="Y938" s="14">
        <f t="shared" si="106"/>
        <v>9</v>
      </c>
      <c r="Z938" s="14">
        <f t="shared" si="107"/>
        <v>7.5</v>
      </c>
      <c r="AA938" s="14">
        <f t="shared" si="108"/>
        <v>9.5</v>
      </c>
      <c r="AB938" s="14">
        <f t="shared" si="109"/>
        <v>6.5</v>
      </c>
      <c r="AC938" s="14">
        <f t="shared" si="110"/>
        <v>10</v>
      </c>
      <c r="AD938" s="14">
        <f t="shared" si="111"/>
        <v>18</v>
      </c>
    </row>
    <row r="939" spans="5:30">
      <c r="E939" s="10">
        <v>7.96</v>
      </c>
      <c r="F939" s="8" t="s">
        <v>49</v>
      </c>
      <c r="G939" s="9">
        <v>32</v>
      </c>
      <c r="H939" s="23">
        <v>32</v>
      </c>
      <c r="I939" s="24"/>
      <c r="J939" s="22"/>
      <c r="K939" s="23">
        <v>36</v>
      </c>
      <c r="L939" s="22"/>
      <c r="M939" s="9">
        <v>22.5</v>
      </c>
      <c r="N939" s="9">
        <v>28.5</v>
      </c>
      <c r="O939" s="9">
        <v>19.5</v>
      </c>
      <c r="P939" s="9">
        <v>20</v>
      </c>
      <c r="Q939" s="23">
        <v>18</v>
      </c>
      <c r="R939" s="22"/>
      <c r="S939" s="8">
        <v>208.5</v>
      </c>
      <c r="U939">
        <v>0</v>
      </c>
      <c r="V939">
        <v>0</v>
      </c>
      <c r="W939" s="14">
        <f t="shared" si="104"/>
        <v>32</v>
      </c>
      <c r="X939" s="14">
        <f t="shared" si="105"/>
        <v>32</v>
      </c>
      <c r="Y939" s="14">
        <f t="shared" si="106"/>
        <v>36</v>
      </c>
      <c r="Z939" s="14">
        <f t="shared" si="107"/>
        <v>22.5</v>
      </c>
      <c r="AA939" s="14">
        <f t="shared" si="108"/>
        <v>28.5</v>
      </c>
      <c r="AB939" s="14">
        <f t="shared" si="109"/>
        <v>19.5</v>
      </c>
      <c r="AC939" s="14">
        <f t="shared" si="110"/>
        <v>20</v>
      </c>
      <c r="AD939" s="14">
        <f t="shared" si="111"/>
        <v>43</v>
      </c>
    </row>
    <row r="940" spans="5:30">
      <c r="E940" s="4"/>
      <c r="F940" s="8" t="s">
        <v>36</v>
      </c>
      <c r="G940" s="9">
        <v>75</v>
      </c>
      <c r="H940" s="23">
        <v>75</v>
      </c>
      <c r="I940" s="24"/>
      <c r="J940" s="22"/>
      <c r="K940" s="23">
        <v>88</v>
      </c>
      <c r="L940" s="22"/>
      <c r="M940" s="9">
        <v>71</v>
      </c>
      <c r="N940" s="9">
        <v>92</v>
      </c>
      <c r="O940" s="9">
        <v>60</v>
      </c>
      <c r="P940" s="9">
        <v>48</v>
      </c>
      <c r="Q940" s="23">
        <v>43</v>
      </c>
      <c r="R940" s="22"/>
      <c r="S940" s="8">
        <v>552</v>
      </c>
      <c r="U940">
        <v>0</v>
      </c>
      <c r="V940">
        <v>0</v>
      </c>
      <c r="W940" s="14">
        <f t="shared" si="104"/>
        <v>75</v>
      </c>
      <c r="X940" s="14">
        <f t="shared" si="105"/>
        <v>75</v>
      </c>
      <c r="Y940" s="14">
        <f t="shared" si="106"/>
        <v>88</v>
      </c>
      <c r="Z940" s="14">
        <f t="shared" si="107"/>
        <v>71</v>
      </c>
      <c r="AA940" s="14">
        <f t="shared" si="108"/>
        <v>92</v>
      </c>
      <c r="AB940" s="14">
        <f t="shared" si="109"/>
        <v>60</v>
      </c>
      <c r="AC940" s="14">
        <f t="shared" si="110"/>
        <v>48</v>
      </c>
      <c r="AD940" s="14">
        <f t="shared" si="111"/>
        <v>50</v>
      </c>
    </row>
    <row r="941" spans="5:30">
      <c r="E941" s="6"/>
      <c r="F941" s="8" t="s">
        <v>52</v>
      </c>
      <c r="G941" s="9">
        <v>100</v>
      </c>
      <c r="H941" s="23">
        <v>100</v>
      </c>
      <c r="I941" s="24"/>
      <c r="J941" s="22"/>
      <c r="K941" s="23">
        <v>100</v>
      </c>
      <c r="L941" s="22"/>
      <c r="M941" s="9">
        <v>100</v>
      </c>
      <c r="N941" s="9">
        <v>100</v>
      </c>
      <c r="O941" s="9">
        <v>100</v>
      </c>
      <c r="P941" s="9">
        <v>50</v>
      </c>
      <c r="Q941" s="23">
        <v>50</v>
      </c>
      <c r="R941" s="22"/>
      <c r="S941" s="8">
        <v>700</v>
      </c>
      <c r="U941" t="s">
        <v>31</v>
      </c>
      <c r="V941" t="s">
        <v>33</v>
      </c>
      <c r="W941" s="14">
        <f t="shared" si="104"/>
        <v>100</v>
      </c>
      <c r="X941" s="14">
        <f t="shared" si="105"/>
        <v>100</v>
      </c>
      <c r="Y941" s="14">
        <f t="shared" si="106"/>
        <v>100</v>
      </c>
      <c r="Z941" s="14">
        <f t="shared" si="107"/>
        <v>100</v>
      </c>
      <c r="AA941" s="14">
        <f t="shared" si="108"/>
        <v>100</v>
      </c>
      <c r="AB941" s="14">
        <f t="shared" si="109"/>
        <v>100</v>
      </c>
      <c r="AC941" s="14">
        <f t="shared" si="110"/>
        <v>50</v>
      </c>
      <c r="AD941" s="14" t="str">
        <f t="shared" si="111"/>
        <v>OA+</v>
      </c>
    </row>
    <row r="942" spans="5:30">
      <c r="E942" s="4"/>
      <c r="F942" s="8" t="s">
        <v>54</v>
      </c>
      <c r="G942" s="9" t="s">
        <v>135</v>
      </c>
      <c r="H942" s="23" t="s">
        <v>135</v>
      </c>
      <c r="I942" s="24"/>
      <c r="J942" s="22"/>
      <c r="K942" s="23" t="s">
        <v>122</v>
      </c>
      <c r="L942" s="22"/>
      <c r="M942" s="9" t="s">
        <v>108</v>
      </c>
      <c r="N942" s="9" t="s">
        <v>94</v>
      </c>
      <c r="O942" s="9" t="s">
        <v>76</v>
      </c>
      <c r="P942" s="9" t="s">
        <v>93</v>
      </c>
      <c r="Q942" s="23" t="s">
        <v>122</v>
      </c>
      <c r="R942" s="22"/>
      <c r="S942" s="8" t="s">
        <v>33</v>
      </c>
      <c r="U942" t="s">
        <v>607</v>
      </c>
      <c r="V942" t="s">
        <v>36</v>
      </c>
      <c r="W942" s="14" t="str">
        <f t="shared" si="104"/>
        <v>AA+</v>
      </c>
      <c r="X942" s="14" t="str">
        <f t="shared" si="105"/>
        <v>AA+</v>
      </c>
      <c r="Y942" s="14" t="str">
        <f t="shared" si="106"/>
        <v>OA+</v>
      </c>
      <c r="Z942" s="14" t="str">
        <f t="shared" si="107"/>
        <v>AA</v>
      </c>
      <c r="AA942" s="14" t="str">
        <f t="shared" si="108"/>
        <v>OO</v>
      </c>
      <c r="AB942" s="14" t="str">
        <f t="shared" si="109"/>
        <v>AB</v>
      </c>
      <c r="AC942" s="14" t="str">
        <f t="shared" si="110"/>
        <v>OO+</v>
      </c>
      <c r="AD942" s="14" t="str">
        <f t="shared" si="111"/>
        <v>Pass</v>
      </c>
    </row>
    <row r="943" spans="5:30">
      <c r="E943" s="11" t="s">
        <v>606</v>
      </c>
      <c r="F943" s="8" t="s">
        <v>58</v>
      </c>
      <c r="G943" s="9" t="s">
        <v>59</v>
      </c>
      <c r="H943" s="23" t="s">
        <v>59</v>
      </c>
      <c r="I943" s="24"/>
      <c r="J943" s="22"/>
      <c r="K943" s="23" t="s">
        <v>59</v>
      </c>
      <c r="L943" s="22"/>
      <c r="M943" s="9" t="s">
        <v>59</v>
      </c>
      <c r="N943" s="9" t="s">
        <v>59</v>
      </c>
      <c r="O943" s="9" t="s">
        <v>59</v>
      </c>
      <c r="P943" s="9" t="s">
        <v>59</v>
      </c>
      <c r="Q943" s="23" t="s">
        <v>59</v>
      </c>
      <c r="R943" s="22"/>
      <c r="S943" s="8" t="s">
        <v>33</v>
      </c>
      <c r="U943" t="s">
        <v>37</v>
      </c>
      <c r="V943" t="s">
        <v>33</v>
      </c>
      <c r="W943" s="14" t="str">
        <f t="shared" si="104"/>
        <v>Pass</v>
      </c>
      <c r="X943" s="14" t="str">
        <f t="shared" si="105"/>
        <v>Pass</v>
      </c>
      <c r="Y943" s="14" t="str">
        <f t="shared" si="106"/>
        <v>Pass</v>
      </c>
      <c r="Z943" s="14" t="str">
        <f t="shared" si="107"/>
        <v>Pass</v>
      </c>
      <c r="AA943" s="14" t="str">
        <f t="shared" si="108"/>
        <v>Pass</v>
      </c>
      <c r="AB943" s="14" t="str">
        <f t="shared" si="109"/>
        <v>Pass</v>
      </c>
      <c r="AC943" s="14" t="str">
        <f t="shared" si="110"/>
        <v>Pass</v>
      </c>
      <c r="AD943" s="14" t="str">
        <f t="shared" si="111"/>
        <v/>
      </c>
    </row>
    <row r="944" spans="5:30">
      <c r="E944" s="12" t="s">
        <v>33</v>
      </c>
      <c r="F944" s="12" t="s">
        <v>33</v>
      </c>
      <c r="G944" s="13" t="s">
        <v>33</v>
      </c>
      <c r="H944" s="20" t="s">
        <v>33</v>
      </c>
      <c r="I944" s="18"/>
      <c r="J944" s="18"/>
      <c r="K944" s="20" t="s">
        <v>33</v>
      </c>
      <c r="L944" s="18"/>
      <c r="M944" s="13" t="s">
        <v>33</v>
      </c>
      <c r="N944" s="13" t="s">
        <v>33</v>
      </c>
      <c r="O944" s="13" t="s">
        <v>33</v>
      </c>
      <c r="P944" s="13" t="s">
        <v>33</v>
      </c>
      <c r="Q944" s="20" t="s">
        <v>33</v>
      </c>
      <c r="R944" s="18"/>
      <c r="S944" s="13" t="s">
        <v>33</v>
      </c>
      <c r="U944" t="s">
        <v>613</v>
      </c>
      <c r="V944" t="s">
        <v>33</v>
      </c>
      <c r="W944" s="14" t="str">
        <f t="shared" si="104"/>
        <v/>
      </c>
      <c r="X944" s="14" t="str">
        <f t="shared" si="105"/>
        <v/>
      </c>
      <c r="Y944" s="14" t="str">
        <f t="shared" si="106"/>
        <v/>
      </c>
      <c r="Z944" s="14" t="str">
        <f t="shared" si="107"/>
        <v/>
      </c>
      <c r="AA944" s="14" t="str">
        <f t="shared" si="108"/>
        <v/>
      </c>
      <c r="AB944" s="14" t="str">
        <f t="shared" si="109"/>
        <v/>
      </c>
      <c r="AC944" s="14" t="str">
        <f t="shared" si="110"/>
        <v/>
      </c>
      <c r="AD944" s="14">
        <f t="shared" si="111"/>
        <v>0</v>
      </c>
    </row>
    <row r="945" spans="5:30" ht="0" hidden="1" customHeight="1">
      <c r="U945">
        <v>0</v>
      </c>
      <c r="V945">
        <v>0</v>
      </c>
      <c r="W945" s="14">
        <f t="shared" si="104"/>
        <v>0</v>
      </c>
      <c r="X945" s="14">
        <f t="shared" si="105"/>
        <v>0</v>
      </c>
      <c r="Y945" s="14">
        <f t="shared" si="106"/>
        <v>0</v>
      </c>
      <c r="Z945" s="14">
        <f t="shared" si="107"/>
        <v>0</v>
      </c>
      <c r="AA945" s="14">
        <f t="shared" si="108"/>
        <v>0</v>
      </c>
      <c r="AB945" s="14">
        <f t="shared" si="109"/>
        <v>0</v>
      </c>
      <c r="AC945" s="14">
        <f t="shared" si="110"/>
        <v>0</v>
      </c>
      <c r="AD945" s="14">
        <f t="shared" si="111"/>
        <v>0</v>
      </c>
    </row>
    <row r="946" spans="5:30" ht="0.6" customHeight="1">
      <c r="U946">
        <v>0</v>
      </c>
      <c r="V946">
        <v>22</v>
      </c>
      <c r="W946" s="14">
        <f t="shared" si="104"/>
        <v>0</v>
      </c>
      <c r="X946" s="14">
        <f t="shared" si="105"/>
        <v>0</v>
      </c>
      <c r="Y946" s="14">
        <f t="shared" si="106"/>
        <v>0</v>
      </c>
      <c r="Z946" s="14">
        <f t="shared" si="107"/>
        <v>0</v>
      </c>
      <c r="AA946" s="14">
        <f t="shared" si="108"/>
        <v>0</v>
      </c>
      <c r="AB946" s="14">
        <f t="shared" si="109"/>
        <v>0</v>
      </c>
      <c r="AC946" s="14">
        <f t="shared" si="110"/>
        <v>0</v>
      </c>
      <c r="AD946" s="14" t="str">
        <f t="shared" si="111"/>
        <v/>
      </c>
    </row>
    <row r="947" spans="5:30">
      <c r="E947" s="4"/>
      <c r="F947" s="3" t="s">
        <v>32</v>
      </c>
      <c r="G947" s="5" t="s">
        <v>33</v>
      </c>
      <c r="H947" s="32" t="s">
        <v>33</v>
      </c>
      <c r="I947" s="18"/>
      <c r="J947" s="18"/>
      <c r="K947" s="32" t="s">
        <v>33</v>
      </c>
      <c r="L947" s="18"/>
      <c r="M947" s="5" t="s">
        <v>33</v>
      </c>
      <c r="N947" s="5" t="s">
        <v>33</v>
      </c>
      <c r="O947" s="5" t="s">
        <v>33</v>
      </c>
      <c r="P947" s="5" t="s">
        <v>33</v>
      </c>
      <c r="Q947" s="32" t="s">
        <v>33</v>
      </c>
      <c r="R947" s="18"/>
      <c r="S947" s="5" t="s">
        <v>33</v>
      </c>
      <c r="U947" t="s">
        <v>46</v>
      </c>
      <c r="V947" t="s">
        <v>33</v>
      </c>
      <c r="W947" s="14" t="str">
        <f t="shared" si="104"/>
        <v/>
      </c>
      <c r="X947" s="14" t="str">
        <f t="shared" si="105"/>
        <v/>
      </c>
      <c r="Y947" s="14" t="str">
        <f t="shared" si="106"/>
        <v/>
      </c>
      <c r="Z947" s="14" t="str">
        <f t="shared" si="107"/>
        <v/>
      </c>
      <c r="AA947" s="14" t="str">
        <f t="shared" si="108"/>
        <v/>
      </c>
      <c r="AB947" s="14" t="str">
        <f t="shared" si="109"/>
        <v/>
      </c>
      <c r="AC947" s="14" t="str">
        <f t="shared" si="110"/>
        <v/>
      </c>
      <c r="AD947" s="14" t="str">
        <f t="shared" si="111"/>
        <v>COMNCSN302</v>
      </c>
    </row>
    <row r="948" spans="5:30" ht="21">
      <c r="E948" s="4"/>
      <c r="F948" s="7" t="s">
        <v>35</v>
      </c>
      <c r="G948" s="7" t="s">
        <v>5</v>
      </c>
      <c r="H948" s="30" t="s">
        <v>7</v>
      </c>
      <c r="I948" s="24"/>
      <c r="J948" s="22"/>
      <c r="K948" s="30" t="s">
        <v>9</v>
      </c>
      <c r="L948" s="22"/>
      <c r="M948" s="7" t="s">
        <v>11</v>
      </c>
      <c r="N948" s="7" t="s">
        <v>15</v>
      </c>
      <c r="O948" s="7" t="s">
        <v>17</v>
      </c>
      <c r="P948" s="7" t="s">
        <v>21</v>
      </c>
      <c r="Q948" s="30" t="s">
        <v>23</v>
      </c>
      <c r="R948" s="22"/>
      <c r="S948" s="7" t="s">
        <v>36</v>
      </c>
      <c r="U948" t="s">
        <v>48</v>
      </c>
      <c r="V948">
        <v>139.5</v>
      </c>
      <c r="W948" s="14" t="str">
        <f t="shared" si="104"/>
        <v>BBABMCN301</v>
      </c>
      <c r="X948" s="14" t="str">
        <f t="shared" si="105"/>
        <v>BBABMCN302</v>
      </c>
      <c r="Y948" s="14" t="str">
        <f t="shared" si="106"/>
        <v>BBABMCN303</v>
      </c>
      <c r="Z948" s="14" t="str">
        <f t="shared" si="107"/>
        <v>BBAENLN301</v>
      </c>
      <c r="AA948" s="14" t="str">
        <f t="shared" si="108"/>
        <v>BBAKALN302</v>
      </c>
      <c r="AB948" s="14" t="str">
        <f t="shared" si="109"/>
        <v>BCACAEN302</v>
      </c>
      <c r="AC948" s="14" t="str">
        <f t="shared" si="110"/>
        <v>COMFISN301</v>
      </c>
      <c r="AD948" s="14" t="str">
        <f t="shared" si="111"/>
        <v xml:space="preserve"> - - + - - </v>
      </c>
    </row>
    <row r="949" spans="5:30" ht="22.5">
      <c r="E949" s="6" t="s">
        <v>608</v>
      </c>
      <c r="F949" s="8" t="s">
        <v>39</v>
      </c>
      <c r="G949" s="9" t="s">
        <v>391</v>
      </c>
      <c r="H949" s="23" t="s">
        <v>265</v>
      </c>
      <c r="I949" s="24"/>
      <c r="J949" s="22"/>
      <c r="K949" s="23" t="s">
        <v>609</v>
      </c>
      <c r="L949" s="22"/>
      <c r="M949" s="9" t="s">
        <v>610</v>
      </c>
      <c r="N949" s="9" t="s">
        <v>139</v>
      </c>
      <c r="O949" s="9" t="s">
        <v>611</v>
      </c>
      <c r="P949" s="9" t="s">
        <v>612</v>
      </c>
      <c r="Q949" s="23" t="s">
        <v>43</v>
      </c>
      <c r="R949" s="22"/>
      <c r="S949" s="8" t="s">
        <v>33</v>
      </c>
      <c r="U949" t="s">
        <v>65</v>
      </c>
      <c r="V949">
        <v>379</v>
      </c>
      <c r="W949" s="14" t="str">
        <f t="shared" si="104"/>
        <v>27.00 + 23.00</v>
      </c>
      <c r="X949" s="14" t="str">
        <f t="shared" si="105"/>
        <v>24.00 + 21.00</v>
      </c>
      <c r="Y949" s="14" t="str">
        <f t="shared" si="106"/>
        <v>46.00 + 27.00</v>
      </c>
      <c r="Z949" s="14" t="str">
        <f t="shared" si="107"/>
        <v>37.00 + 20.00</v>
      </c>
      <c r="AA949" s="14" t="str">
        <f t="shared" si="108"/>
        <v>24.00 + 28.00</v>
      </c>
      <c r="AB949" s="14" t="str">
        <f t="shared" si="109"/>
        <v>0.00 + 22.00</v>
      </c>
      <c r="AC949" s="14" t="str">
        <f t="shared" si="110"/>
        <v>28.00 + 11.00</v>
      </c>
      <c r="AD949" s="14" t="str">
        <f t="shared" si="111"/>
        <v xml:space="preserve"> - - +41.00</v>
      </c>
    </row>
    <row r="950" spans="5:30">
      <c r="E950" s="25"/>
      <c r="F950" s="8" t="s">
        <v>42</v>
      </c>
      <c r="G950" s="9" t="s">
        <v>43</v>
      </c>
      <c r="H950" s="23" t="s">
        <v>43</v>
      </c>
      <c r="I950" s="24"/>
      <c r="J950" s="22"/>
      <c r="K950" s="23" t="s">
        <v>43</v>
      </c>
      <c r="L950" s="22"/>
      <c r="M950" s="9" t="s">
        <v>43</v>
      </c>
      <c r="N950" s="9" t="s">
        <v>43</v>
      </c>
      <c r="O950" s="9" t="s">
        <v>43</v>
      </c>
      <c r="P950" s="9" t="s">
        <v>43</v>
      </c>
      <c r="Q950" s="23" t="s">
        <v>614</v>
      </c>
      <c r="R950" s="22"/>
      <c r="S950" s="8" t="s">
        <v>33</v>
      </c>
      <c r="U950" t="s">
        <v>51</v>
      </c>
      <c r="V950">
        <v>700</v>
      </c>
      <c r="W950" s="14" t="str">
        <f t="shared" si="104"/>
        <v xml:space="preserve"> - - + - - </v>
      </c>
      <c r="X950" s="14" t="str">
        <f t="shared" si="105"/>
        <v xml:space="preserve"> - - + - - </v>
      </c>
      <c r="Y950" s="14" t="str">
        <f t="shared" si="106"/>
        <v xml:space="preserve"> - - + - - </v>
      </c>
      <c r="Z950" s="14" t="str">
        <f t="shared" si="107"/>
        <v xml:space="preserve"> - - + - - </v>
      </c>
      <c r="AA950" s="14" t="str">
        <f t="shared" si="108"/>
        <v xml:space="preserve"> - - + - - </v>
      </c>
      <c r="AB950" s="14" t="str">
        <f t="shared" si="109"/>
        <v xml:space="preserve"> - - + - - </v>
      </c>
      <c r="AC950" s="14" t="str">
        <f t="shared" si="110"/>
        <v xml:space="preserve"> - - + - - </v>
      </c>
      <c r="AD950" s="14" t="str">
        <f t="shared" si="111"/>
        <v/>
      </c>
    </row>
    <row r="951" spans="5:30">
      <c r="E951" s="27"/>
      <c r="F951" s="8" t="s">
        <v>44</v>
      </c>
      <c r="G951" s="9" t="s">
        <v>33</v>
      </c>
      <c r="H951" s="23" t="s">
        <v>33</v>
      </c>
      <c r="I951" s="24"/>
      <c r="J951" s="22"/>
      <c r="K951" s="23" t="s">
        <v>33</v>
      </c>
      <c r="L951" s="22"/>
      <c r="M951" s="9" t="s">
        <v>33</v>
      </c>
      <c r="N951" s="9" t="s">
        <v>33</v>
      </c>
      <c r="O951" s="9" t="s">
        <v>33</v>
      </c>
      <c r="P951" s="9" t="s">
        <v>33</v>
      </c>
      <c r="Q951" s="23" t="s">
        <v>33</v>
      </c>
      <c r="R951" s="22"/>
      <c r="S951" s="8">
        <v>0</v>
      </c>
      <c r="U951" t="s">
        <v>66</v>
      </c>
      <c r="V951" t="s">
        <v>33</v>
      </c>
      <c r="W951" s="14" t="str">
        <f t="shared" si="104"/>
        <v/>
      </c>
      <c r="X951" s="14" t="str">
        <f t="shared" si="105"/>
        <v/>
      </c>
      <c r="Y951" s="14" t="str">
        <f t="shared" si="106"/>
        <v/>
      </c>
      <c r="Z951" s="14" t="str">
        <f t="shared" si="107"/>
        <v/>
      </c>
      <c r="AA951" s="14" t="str">
        <f t="shared" si="108"/>
        <v/>
      </c>
      <c r="AB951" s="14" t="str">
        <f t="shared" si="109"/>
        <v/>
      </c>
      <c r="AC951" s="14" t="str">
        <f t="shared" si="110"/>
        <v/>
      </c>
      <c r="AD951" s="14">
        <f t="shared" si="111"/>
        <v>2</v>
      </c>
    </row>
    <row r="952" spans="5:30">
      <c r="E952" s="29"/>
      <c r="F952" s="8" t="s">
        <v>45</v>
      </c>
      <c r="G952" s="9">
        <v>4</v>
      </c>
      <c r="H952" s="23">
        <v>4</v>
      </c>
      <c r="I952" s="24"/>
      <c r="J952" s="22"/>
      <c r="K952" s="23">
        <v>4</v>
      </c>
      <c r="L952" s="22"/>
      <c r="M952" s="9">
        <v>3</v>
      </c>
      <c r="N952" s="9">
        <v>3</v>
      </c>
      <c r="O952" s="9">
        <v>3</v>
      </c>
      <c r="P952" s="9">
        <v>2</v>
      </c>
      <c r="Q952" s="23">
        <v>2</v>
      </c>
      <c r="R952" s="22"/>
      <c r="S952" s="8">
        <v>22</v>
      </c>
      <c r="U952" t="s">
        <v>56</v>
      </c>
      <c r="V952" t="s">
        <v>33</v>
      </c>
      <c r="W952" s="14">
        <f t="shared" si="104"/>
        <v>4</v>
      </c>
      <c r="X952" s="14">
        <f t="shared" si="105"/>
        <v>4</v>
      </c>
      <c r="Y952" s="14">
        <f t="shared" si="106"/>
        <v>4</v>
      </c>
      <c r="Z952" s="14">
        <f t="shared" si="107"/>
        <v>3</v>
      </c>
      <c r="AA952" s="14">
        <f t="shared" si="108"/>
        <v>3</v>
      </c>
      <c r="AB952" s="14">
        <f t="shared" si="109"/>
        <v>3</v>
      </c>
      <c r="AC952" s="14">
        <f t="shared" si="110"/>
        <v>2</v>
      </c>
      <c r="AD952" s="14">
        <f t="shared" si="111"/>
        <v>8.5</v>
      </c>
    </row>
    <row r="953" spans="5:30">
      <c r="E953" s="6"/>
      <c r="F953" s="8" t="s">
        <v>47</v>
      </c>
      <c r="G953" s="9">
        <v>5.5</v>
      </c>
      <c r="H953" s="23">
        <v>5</v>
      </c>
      <c r="I953" s="24"/>
      <c r="J953" s="22"/>
      <c r="K953" s="23">
        <v>7.5</v>
      </c>
      <c r="L953" s="22"/>
      <c r="M953" s="9">
        <v>6</v>
      </c>
      <c r="N953" s="9">
        <v>5.5</v>
      </c>
      <c r="O953" s="9"/>
      <c r="P953" s="9">
        <v>8</v>
      </c>
      <c r="Q953" s="23">
        <v>8.5</v>
      </c>
      <c r="R953" s="22"/>
      <c r="S953" s="8" t="s">
        <v>33</v>
      </c>
      <c r="U953" t="s">
        <v>33</v>
      </c>
      <c r="V953" t="s">
        <v>33</v>
      </c>
      <c r="W953" s="14">
        <f t="shared" si="104"/>
        <v>5.5</v>
      </c>
      <c r="X953" s="14">
        <f t="shared" si="105"/>
        <v>5</v>
      </c>
      <c r="Y953" s="14">
        <f t="shared" si="106"/>
        <v>7.5</v>
      </c>
      <c r="Z953" s="14">
        <f t="shared" si="107"/>
        <v>6</v>
      </c>
      <c r="AA953" s="14">
        <f t="shared" si="108"/>
        <v>5.5</v>
      </c>
      <c r="AB953" s="14">
        <f t="shared" si="109"/>
        <v>0</v>
      </c>
      <c r="AC953" s="14">
        <f t="shared" si="110"/>
        <v>8</v>
      </c>
      <c r="AD953" s="14">
        <f t="shared" si="111"/>
        <v>17</v>
      </c>
    </row>
    <row r="954" spans="5:30">
      <c r="E954" s="6"/>
      <c r="F954" s="8" t="s">
        <v>49</v>
      </c>
      <c r="G954" s="9">
        <v>22</v>
      </c>
      <c r="H954" s="23">
        <v>20</v>
      </c>
      <c r="I954" s="24"/>
      <c r="J954" s="22"/>
      <c r="K954" s="23">
        <v>30</v>
      </c>
      <c r="L954" s="22"/>
      <c r="M954" s="9">
        <v>18</v>
      </c>
      <c r="N954" s="9">
        <v>16.5</v>
      </c>
      <c r="O954" s="9"/>
      <c r="P954" s="9">
        <v>16</v>
      </c>
      <c r="Q954" s="23">
        <v>17</v>
      </c>
      <c r="R954" s="22"/>
      <c r="S954" s="8">
        <v>139.5</v>
      </c>
      <c r="U954">
        <v>0</v>
      </c>
      <c r="V954">
        <v>0</v>
      </c>
      <c r="W954" s="14">
        <f t="shared" si="104"/>
        <v>22</v>
      </c>
      <c r="X954" s="14">
        <f t="shared" si="105"/>
        <v>20</v>
      </c>
      <c r="Y954" s="14">
        <f t="shared" si="106"/>
        <v>30</v>
      </c>
      <c r="Z954" s="14">
        <f t="shared" si="107"/>
        <v>18</v>
      </c>
      <c r="AA954" s="14">
        <f t="shared" si="108"/>
        <v>16.5</v>
      </c>
      <c r="AB954" s="14">
        <f t="shared" si="109"/>
        <v>0</v>
      </c>
      <c r="AC954" s="14">
        <f t="shared" si="110"/>
        <v>16</v>
      </c>
      <c r="AD954" s="14">
        <f t="shared" si="111"/>
        <v>41</v>
      </c>
    </row>
    <row r="955" spans="5:30">
      <c r="E955" s="4"/>
      <c r="F955" s="8" t="s">
        <v>36</v>
      </c>
      <c r="G955" s="9">
        <v>50</v>
      </c>
      <c r="H955" s="23">
        <v>45</v>
      </c>
      <c r="I955" s="24"/>
      <c r="J955" s="22"/>
      <c r="K955" s="23">
        <v>73</v>
      </c>
      <c r="L955" s="22"/>
      <c r="M955" s="9">
        <v>57</v>
      </c>
      <c r="N955" s="9">
        <v>52</v>
      </c>
      <c r="O955" s="9">
        <v>22</v>
      </c>
      <c r="P955" s="9">
        <v>39</v>
      </c>
      <c r="Q955" s="23">
        <v>41</v>
      </c>
      <c r="R955" s="22"/>
      <c r="S955" s="8">
        <v>379</v>
      </c>
      <c r="U955">
        <v>0</v>
      </c>
      <c r="V955">
        <v>0</v>
      </c>
      <c r="W955" s="14">
        <f t="shared" si="104"/>
        <v>50</v>
      </c>
      <c r="X955" s="14">
        <f t="shared" si="105"/>
        <v>45</v>
      </c>
      <c r="Y955" s="14">
        <f t="shared" si="106"/>
        <v>73</v>
      </c>
      <c r="Z955" s="14">
        <f t="shared" si="107"/>
        <v>57</v>
      </c>
      <c r="AA955" s="14">
        <f t="shared" si="108"/>
        <v>52</v>
      </c>
      <c r="AB955" s="14">
        <f t="shared" si="109"/>
        <v>22</v>
      </c>
      <c r="AC955" s="14">
        <f t="shared" si="110"/>
        <v>39</v>
      </c>
      <c r="AD955" s="14">
        <f t="shared" si="111"/>
        <v>50</v>
      </c>
    </row>
    <row r="956" spans="5:30">
      <c r="E956" s="6"/>
      <c r="F956" s="8" t="s">
        <v>52</v>
      </c>
      <c r="G956" s="9">
        <v>100</v>
      </c>
      <c r="H956" s="23">
        <v>100</v>
      </c>
      <c r="I956" s="24"/>
      <c r="J956" s="22"/>
      <c r="K956" s="23">
        <v>100</v>
      </c>
      <c r="L956" s="22"/>
      <c r="M956" s="9">
        <v>100</v>
      </c>
      <c r="N956" s="9">
        <v>100</v>
      </c>
      <c r="O956" s="9">
        <v>100</v>
      </c>
      <c r="P956" s="9">
        <v>50</v>
      </c>
      <c r="Q956" s="23">
        <v>50</v>
      </c>
      <c r="R956" s="22"/>
      <c r="S956" s="8">
        <v>700</v>
      </c>
      <c r="U956" t="s">
        <v>31</v>
      </c>
      <c r="V956" t="s">
        <v>33</v>
      </c>
      <c r="W956" s="14">
        <f t="shared" si="104"/>
        <v>100</v>
      </c>
      <c r="X956" s="14">
        <f t="shared" si="105"/>
        <v>100</v>
      </c>
      <c r="Y956" s="14">
        <f t="shared" si="106"/>
        <v>100</v>
      </c>
      <c r="Z956" s="14">
        <f t="shared" si="107"/>
        <v>100</v>
      </c>
      <c r="AA956" s="14">
        <f t="shared" si="108"/>
        <v>100</v>
      </c>
      <c r="AB956" s="14">
        <f t="shared" si="109"/>
        <v>100</v>
      </c>
      <c r="AC956" s="14">
        <f t="shared" si="110"/>
        <v>50</v>
      </c>
      <c r="AD956" s="14" t="str">
        <f t="shared" si="111"/>
        <v>OA</v>
      </c>
    </row>
    <row r="957" spans="5:30">
      <c r="E957" s="4"/>
      <c r="F957" s="8" t="s">
        <v>54</v>
      </c>
      <c r="G957" s="9" t="s">
        <v>123</v>
      </c>
      <c r="H957" s="23" t="s">
        <v>55</v>
      </c>
      <c r="I957" s="24"/>
      <c r="J957" s="22"/>
      <c r="K957" s="23" t="s">
        <v>108</v>
      </c>
      <c r="L957" s="22"/>
      <c r="M957" s="9" t="s">
        <v>147</v>
      </c>
      <c r="N957" s="9" t="s">
        <v>123</v>
      </c>
      <c r="O957" s="9"/>
      <c r="P957" s="9" t="s">
        <v>135</v>
      </c>
      <c r="Q957" s="23" t="s">
        <v>95</v>
      </c>
      <c r="R957" s="22"/>
      <c r="S957" s="8" t="s">
        <v>33</v>
      </c>
      <c r="U957" t="s">
        <v>616</v>
      </c>
      <c r="V957" t="s">
        <v>36</v>
      </c>
      <c r="W957" s="14" t="str">
        <f t="shared" si="104"/>
        <v>BB</v>
      </c>
      <c r="X957" s="14" t="str">
        <f t="shared" si="105"/>
        <v>BC</v>
      </c>
      <c r="Y957" s="14" t="str">
        <f t="shared" si="106"/>
        <v>AA</v>
      </c>
      <c r="Z957" s="14" t="str">
        <f t="shared" si="107"/>
        <v>BB+</v>
      </c>
      <c r="AA957" s="14" t="str">
        <f t="shared" si="108"/>
        <v>BB</v>
      </c>
      <c r="AB957" s="14">
        <f t="shared" si="109"/>
        <v>0</v>
      </c>
      <c r="AC957" s="14" t="str">
        <f t="shared" si="110"/>
        <v>AA+</v>
      </c>
      <c r="AD957" s="14" t="str">
        <f t="shared" si="111"/>
        <v>Pass</v>
      </c>
    </row>
    <row r="958" spans="5:30">
      <c r="E958" s="11" t="s">
        <v>615</v>
      </c>
      <c r="F958" s="8" t="s">
        <v>58</v>
      </c>
      <c r="G958" s="9" t="s">
        <v>59</v>
      </c>
      <c r="H958" s="23" t="s">
        <v>59</v>
      </c>
      <c r="I958" s="24"/>
      <c r="J958" s="22"/>
      <c r="K958" s="23" t="s">
        <v>59</v>
      </c>
      <c r="L958" s="22"/>
      <c r="M958" s="9" t="s">
        <v>59</v>
      </c>
      <c r="N958" s="9" t="s">
        <v>59</v>
      </c>
      <c r="O958" s="9" t="s">
        <v>68</v>
      </c>
      <c r="P958" s="9" t="s">
        <v>59</v>
      </c>
      <c r="Q958" s="23" t="s">
        <v>59</v>
      </c>
      <c r="R958" s="22"/>
      <c r="S958" s="8" t="s">
        <v>33</v>
      </c>
      <c r="U958" t="s">
        <v>37</v>
      </c>
      <c r="V958" t="s">
        <v>33</v>
      </c>
      <c r="W958" s="14" t="str">
        <f t="shared" si="104"/>
        <v>Pass</v>
      </c>
      <c r="X958" s="14" t="str">
        <f t="shared" si="105"/>
        <v>Pass</v>
      </c>
      <c r="Y958" s="14" t="str">
        <f t="shared" si="106"/>
        <v>Pass</v>
      </c>
      <c r="Z958" s="14" t="str">
        <f t="shared" si="107"/>
        <v>Pass</v>
      </c>
      <c r="AA958" s="14" t="str">
        <f t="shared" si="108"/>
        <v>Pass</v>
      </c>
      <c r="AB958" s="14" t="str">
        <f t="shared" si="109"/>
        <v>Fail</v>
      </c>
      <c r="AC958" s="14" t="str">
        <f t="shared" si="110"/>
        <v>Pass</v>
      </c>
      <c r="AD958" s="14" t="str">
        <f t="shared" si="111"/>
        <v/>
      </c>
    </row>
    <row r="959" spans="5:30">
      <c r="E959" s="12" t="s">
        <v>33</v>
      </c>
      <c r="F959" s="12" t="s">
        <v>33</v>
      </c>
      <c r="G959" s="13" t="s">
        <v>33</v>
      </c>
      <c r="H959" s="20" t="s">
        <v>33</v>
      </c>
      <c r="I959" s="18"/>
      <c r="J959" s="18"/>
      <c r="K959" s="20" t="s">
        <v>33</v>
      </c>
      <c r="L959" s="18"/>
      <c r="M959" s="13" t="s">
        <v>33</v>
      </c>
      <c r="N959" s="13" t="s">
        <v>33</v>
      </c>
      <c r="O959" s="13" t="s">
        <v>33</v>
      </c>
      <c r="P959" s="13" t="s">
        <v>33</v>
      </c>
      <c r="Q959" s="20" t="s">
        <v>33</v>
      </c>
      <c r="R959" s="18"/>
      <c r="S959" s="13" t="s">
        <v>33</v>
      </c>
      <c r="U959" t="s">
        <v>618</v>
      </c>
      <c r="V959" t="s">
        <v>33</v>
      </c>
      <c r="W959" s="14" t="str">
        <f t="shared" si="104"/>
        <v/>
      </c>
      <c r="X959" s="14" t="str">
        <f t="shared" si="105"/>
        <v/>
      </c>
      <c r="Y959" s="14" t="str">
        <f t="shared" si="106"/>
        <v/>
      </c>
      <c r="Z959" s="14" t="str">
        <f t="shared" si="107"/>
        <v/>
      </c>
      <c r="AA959" s="14" t="str">
        <f t="shared" si="108"/>
        <v/>
      </c>
      <c r="AB959" s="14" t="str">
        <f t="shared" si="109"/>
        <v/>
      </c>
      <c r="AC959" s="14" t="str">
        <f t="shared" si="110"/>
        <v/>
      </c>
      <c r="AD959" s="14">
        <f t="shared" si="111"/>
        <v>0</v>
      </c>
    </row>
    <row r="960" spans="5:30" ht="0" hidden="1" customHeight="1">
      <c r="U960">
        <v>0</v>
      </c>
      <c r="V960">
        <v>0</v>
      </c>
      <c r="W960" s="14">
        <f t="shared" si="104"/>
        <v>0</v>
      </c>
      <c r="X960" s="14">
        <f t="shared" si="105"/>
        <v>0</v>
      </c>
      <c r="Y960" s="14">
        <f t="shared" si="106"/>
        <v>0</v>
      </c>
      <c r="Z960" s="14">
        <f t="shared" si="107"/>
        <v>0</v>
      </c>
      <c r="AA960" s="14">
        <f t="shared" si="108"/>
        <v>0</v>
      </c>
      <c r="AB960" s="14">
        <f t="shared" si="109"/>
        <v>0</v>
      </c>
      <c r="AC960" s="14">
        <f t="shared" si="110"/>
        <v>0</v>
      </c>
      <c r="AD960" s="14">
        <f t="shared" si="111"/>
        <v>0</v>
      </c>
    </row>
    <row r="961" spans="5:30" ht="0.6" customHeight="1">
      <c r="U961">
        <v>0</v>
      </c>
      <c r="V961">
        <v>25</v>
      </c>
      <c r="W961" s="14">
        <f t="shared" si="104"/>
        <v>0</v>
      </c>
      <c r="X961" s="14">
        <f t="shared" si="105"/>
        <v>0</v>
      </c>
      <c r="Y961" s="14">
        <f t="shared" si="106"/>
        <v>0</v>
      </c>
      <c r="Z961" s="14">
        <f t="shared" si="107"/>
        <v>0</v>
      </c>
      <c r="AA961" s="14">
        <f t="shared" si="108"/>
        <v>0</v>
      </c>
      <c r="AB961" s="14">
        <f t="shared" si="109"/>
        <v>0</v>
      </c>
      <c r="AC961" s="14">
        <f t="shared" si="110"/>
        <v>0</v>
      </c>
      <c r="AD961" s="14" t="str">
        <f t="shared" si="111"/>
        <v/>
      </c>
    </row>
    <row r="962" spans="5:30">
      <c r="E962" s="4"/>
      <c r="F962" s="3" t="s">
        <v>32</v>
      </c>
      <c r="G962" s="5" t="s">
        <v>33</v>
      </c>
      <c r="H962" s="32" t="s">
        <v>33</v>
      </c>
      <c r="I962" s="18"/>
      <c r="J962" s="18"/>
      <c r="K962" s="32" t="s">
        <v>33</v>
      </c>
      <c r="L962" s="18"/>
      <c r="M962" s="5" t="s">
        <v>33</v>
      </c>
      <c r="N962" s="5" t="s">
        <v>33</v>
      </c>
      <c r="O962" s="5" t="s">
        <v>33</v>
      </c>
      <c r="P962" s="5" t="s">
        <v>33</v>
      </c>
      <c r="Q962" s="32" t="s">
        <v>33</v>
      </c>
      <c r="R962" s="18"/>
      <c r="S962" s="5" t="s">
        <v>33</v>
      </c>
      <c r="U962" t="s">
        <v>46</v>
      </c>
      <c r="V962" t="s">
        <v>33</v>
      </c>
      <c r="W962" s="14" t="str">
        <f t="shared" si="104"/>
        <v/>
      </c>
      <c r="X962" s="14" t="str">
        <f t="shared" si="105"/>
        <v/>
      </c>
      <c r="Y962" s="14" t="str">
        <f t="shared" si="106"/>
        <v/>
      </c>
      <c r="Z962" s="14" t="str">
        <f t="shared" si="107"/>
        <v/>
      </c>
      <c r="AA962" s="14" t="str">
        <f t="shared" si="108"/>
        <v/>
      </c>
      <c r="AB962" s="14" t="str">
        <f t="shared" si="109"/>
        <v/>
      </c>
      <c r="AC962" s="14" t="str">
        <f t="shared" si="110"/>
        <v/>
      </c>
      <c r="AD962" s="14" t="str">
        <f t="shared" si="111"/>
        <v>COMFISN301</v>
      </c>
    </row>
    <row r="963" spans="5:30" ht="21">
      <c r="E963" s="4"/>
      <c r="F963" s="7" t="s">
        <v>35</v>
      </c>
      <c r="G963" s="7" t="s">
        <v>5</v>
      </c>
      <c r="H963" s="30" t="s">
        <v>7</v>
      </c>
      <c r="I963" s="24"/>
      <c r="J963" s="22"/>
      <c r="K963" s="30" t="s">
        <v>9</v>
      </c>
      <c r="L963" s="22"/>
      <c r="M963" s="7" t="s">
        <v>11</v>
      </c>
      <c r="N963" s="7" t="s">
        <v>15</v>
      </c>
      <c r="O963" s="7" t="s">
        <v>17</v>
      </c>
      <c r="P963" s="7" t="s">
        <v>19</v>
      </c>
      <c r="Q963" s="30" t="s">
        <v>21</v>
      </c>
      <c r="R963" s="22"/>
      <c r="S963" s="7" t="s">
        <v>36</v>
      </c>
      <c r="U963" t="s">
        <v>48</v>
      </c>
      <c r="V963">
        <v>241.5</v>
      </c>
      <c r="W963" s="14" t="str">
        <f t="shared" si="104"/>
        <v>BBABMCN301</v>
      </c>
      <c r="X963" s="14" t="str">
        <f t="shared" si="105"/>
        <v>BBABMCN302</v>
      </c>
      <c r="Y963" s="14" t="str">
        <f t="shared" si="106"/>
        <v>BBABMCN303</v>
      </c>
      <c r="Z963" s="14" t="str">
        <f t="shared" si="107"/>
        <v>BBAENLN301</v>
      </c>
      <c r="AA963" s="14" t="str">
        <f t="shared" si="108"/>
        <v>BBAKALN302</v>
      </c>
      <c r="AB963" s="14" t="str">
        <f t="shared" si="109"/>
        <v>BCACAEN302</v>
      </c>
      <c r="AC963" s="14" t="str">
        <f t="shared" si="110"/>
        <v>COMCUSN302</v>
      </c>
      <c r="AD963" s="14" t="str">
        <f t="shared" si="111"/>
        <v>30.00 + 20.00</v>
      </c>
    </row>
    <row r="964" spans="5:30" ht="22.5">
      <c r="E964" s="6" t="s">
        <v>617</v>
      </c>
      <c r="F964" s="8" t="s">
        <v>39</v>
      </c>
      <c r="G964" s="9" t="s">
        <v>284</v>
      </c>
      <c r="H964" s="23" t="s">
        <v>474</v>
      </c>
      <c r="I964" s="24"/>
      <c r="J964" s="22"/>
      <c r="K964" s="23" t="s">
        <v>187</v>
      </c>
      <c r="L964" s="22"/>
      <c r="M964" s="9" t="s">
        <v>562</v>
      </c>
      <c r="N964" s="9" t="s">
        <v>481</v>
      </c>
      <c r="O964" s="9" t="s">
        <v>85</v>
      </c>
      <c r="P964" s="9" t="s">
        <v>43</v>
      </c>
      <c r="Q964" s="23" t="s">
        <v>89</v>
      </c>
      <c r="R964" s="22"/>
      <c r="S964" s="8" t="s">
        <v>33</v>
      </c>
      <c r="U964" t="s">
        <v>50</v>
      </c>
      <c r="V964">
        <v>654</v>
      </c>
      <c r="W964" s="14" t="str">
        <f t="shared" si="104"/>
        <v>56.00 + 40.00</v>
      </c>
      <c r="X964" s="14" t="str">
        <f t="shared" si="105"/>
        <v>46.00 + 40.00</v>
      </c>
      <c r="Y964" s="14" t="str">
        <f t="shared" si="106"/>
        <v>58.00 + 40.00</v>
      </c>
      <c r="Z964" s="14" t="str">
        <f t="shared" si="107"/>
        <v>47.00 + 33.00</v>
      </c>
      <c r="AA964" s="14" t="str">
        <f t="shared" si="108"/>
        <v>56.00 + 39.00</v>
      </c>
      <c r="AB964" s="14" t="str">
        <f t="shared" si="109"/>
        <v>59.00 + 40.00</v>
      </c>
      <c r="AC964" s="14" t="str">
        <f t="shared" si="110"/>
        <v xml:space="preserve"> - - + - - </v>
      </c>
      <c r="AD964" s="14" t="str">
        <f t="shared" si="111"/>
        <v xml:space="preserve"> - - + - - </v>
      </c>
    </row>
    <row r="965" spans="5:30">
      <c r="E965" s="25"/>
      <c r="F965" s="8" t="s">
        <v>42</v>
      </c>
      <c r="G965" s="9" t="s">
        <v>43</v>
      </c>
      <c r="H965" s="23" t="s">
        <v>43</v>
      </c>
      <c r="I965" s="24"/>
      <c r="J965" s="22"/>
      <c r="K965" s="23" t="s">
        <v>43</v>
      </c>
      <c r="L965" s="22"/>
      <c r="M965" s="9" t="s">
        <v>43</v>
      </c>
      <c r="N965" s="9" t="s">
        <v>43</v>
      </c>
      <c r="O965" s="9" t="s">
        <v>43</v>
      </c>
      <c r="P965" s="9" t="s">
        <v>91</v>
      </c>
      <c r="Q965" s="23" t="s">
        <v>43</v>
      </c>
      <c r="R965" s="22"/>
      <c r="S965" s="8" t="s">
        <v>33</v>
      </c>
      <c r="U965" t="s">
        <v>51</v>
      </c>
      <c r="V965">
        <v>700</v>
      </c>
      <c r="W965" s="14" t="str">
        <f t="shared" si="104"/>
        <v xml:space="preserve"> - - + - - </v>
      </c>
      <c r="X965" s="14" t="str">
        <f t="shared" si="105"/>
        <v xml:space="preserve"> - - + - - </v>
      </c>
      <c r="Y965" s="14" t="str">
        <f t="shared" si="106"/>
        <v xml:space="preserve"> - - + - - </v>
      </c>
      <c r="Z965" s="14" t="str">
        <f t="shared" si="107"/>
        <v xml:space="preserve"> - - + - - </v>
      </c>
      <c r="AA965" s="14" t="str">
        <f t="shared" si="108"/>
        <v xml:space="preserve"> - - + - - </v>
      </c>
      <c r="AB965" s="14" t="str">
        <f t="shared" si="109"/>
        <v xml:space="preserve"> - - + - - </v>
      </c>
      <c r="AC965" s="14" t="str">
        <f t="shared" si="110"/>
        <v xml:space="preserve"> - - +50.00</v>
      </c>
      <c r="AD965" s="14" t="str">
        <f t="shared" si="111"/>
        <v/>
      </c>
    </row>
    <row r="966" spans="5:30">
      <c r="E966" s="27"/>
      <c r="F966" s="8" t="s">
        <v>44</v>
      </c>
      <c r="G966" s="9" t="s">
        <v>33</v>
      </c>
      <c r="H966" s="23" t="s">
        <v>33</v>
      </c>
      <c r="I966" s="24"/>
      <c r="J966" s="22"/>
      <c r="K966" s="23" t="s">
        <v>33</v>
      </c>
      <c r="L966" s="22"/>
      <c r="M966" s="9" t="s">
        <v>33</v>
      </c>
      <c r="N966" s="9" t="s">
        <v>33</v>
      </c>
      <c r="O966" s="9" t="s">
        <v>33</v>
      </c>
      <c r="P966" s="9" t="s">
        <v>33</v>
      </c>
      <c r="Q966" s="23" t="s">
        <v>33</v>
      </c>
      <c r="R966" s="22"/>
      <c r="S966" s="8">
        <v>0</v>
      </c>
      <c r="U966" t="s">
        <v>92</v>
      </c>
      <c r="V966" t="s">
        <v>33</v>
      </c>
      <c r="W966" s="14" t="str">
        <f t="shared" si="104"/>
        <v/>
      </c>
      <c r="X966" s="14" t="str">
        <f t="shared" si="105"/>
        <v/>
      </c>
      <c r="Y966" s="14" t="str">
        <f t="shared" si="106"/>
        <v/>
      </c>
      <c r="Z966" s="14" t="str">
        <f t="shared" si="107"/>
        <v/>
      </c>
      <c r="AA966" s="14" t="str">
        <f t="shared" si="108"/>
        <v/>
      </c>
      <c r="AB966" s="14" t="str">
        <f t="shared" si="109"/>
        <v/>
      </c>
      <c r="AC966" s="14" t="str">
        <f t="shared" si="110"/>
        <v/>
      </c>
      <c r="AD966" s="14">
        <f t="shared" si="111"/>
        <v>2</v>
      </c>
    </row>
    <row r="967" spans="5:30">
      <c r="E967" s="29"/>
      <c r="F967" s="8" t="s">
        <v>45</v>
      </c>
      <c r="G967" s="9">
        <v>4</v>
      </c>
      <c r="H967" s="23">
        <v>4</v>
      </c>
      <c r="I967" s="24"/>
      <c r="J967" s="22"/>
      <c r="K967" s="23">
        <v>4</v>
      </c>
      <c r="L967" s="22"/>
      <c r="M967" s="9">
        <v>3</v>
      </c>
      <c r="N967" s="9">
        <v>3</v>
      </c>
      <c r="O967" s="9">
        <v>3</v>
      </c>
      <c r="P967" s="9">
        <v>2</v>
      </c>
      <c r="Q967" s="23">
        <v>2</v>
      </c>
      <c r="R967" s="22"/>
      <c r="S967" s="8">
        <v>25</v>
      </c>
      <c r="U967" t="s">
        <v>56</v>
      </c>
      <c r="V967" t="s">
        <v>33</v>
      </c>
      <c r="W967" s="14">
        <f t="shared" ref="W967:W1002" si="112">$G967</f>
        <v>4</v>
      </c>
      <c r="X967" s="14">
        <f t="shared" ref="X967:X1002" si="113">$H967</f>
        <v>4</v>
      </c>
      <c r="Y967" s="14">
        <f t="shared" ref="Y967:Y1002" si="114">$K967</f>
        <v>4</v>
      </c>
      <c r="Z967" s="14">
        <f t="shared" ref="Z967:Z1002" si="115">$M967</f>
        <v>3</v>
      </c>
      <c r="AA967" s="14">
        <f t="shared" ref="AA967:AA1002" si="116">$N967</f>
        <v>3</v>
      </c>
      <c r="AB967" s="14">
        <f t="shared" ref="AB967:AB1002" si="117">$O967</f>
        <v>3</v>
      </c>
      <c r="AC967" s="14">
        <f t="shared" ref="AC967:AC1002" si="118">$P967</f>
        <v>2</v>
      </c>
      <c r="AD967" s="14">
        <f t="shared" ref="AD967:AD1002" si="119">$Q968</f>
        <v>10</v>
      </c>
    </row>
    <row r="968" spans="5:30">
      <c r="E968" s="6">
        <v>9.66</v>
      </c>
      <c r="F968" s="8" t="s">
        <v>47</v>
      </c>
      <c r="G968" s="9">
        <v>10</v>
      </c>
      <c r="H968" s="23">
        <v>9</v>
      </c>
      <c r="I968" s="24"/>
      <c r="J968" s="22"/>
      <c r="K968" s="23">
        <v>10</v>
      </c>
      <c r="L968" s="22"/>
      <c r="M968" s="9">
        <v>8.5</v>
      </c>
      <c r="N968" s="9">
        <v>10</v>
      </c>
      <c r="O968" s="9">
        <v>10</v>
      </c>
      <c r="P968" s="9">
        <v>10</v>
      </c>
      <c r="Q968" s="23">
        <v>10</v>
      </c>
      <c r="R968" s="22"/>
      <c r="S968" s="8" t="s">
        <v>33</v>
      </c>
      <c r="U968" t="s">
        <v>33</v>
      </c>
      <c r="V968" t="s">
        <v>33</v>
      </c>
      <c r="W968" s="14">
        <f t="shared" si="112"/>
        <v>10</v>
      </c>
      <c r="X968" s="14">
        <f t="shared" si="113"/>
        <v>9</v>
      </c>
      <c r="Y968" s="14">
        <f t="shared" si="114"/>
        <v>10</v>
      </c>
      <c r="Z968" s="14">
        <f t="shared" si="115"/>
        <v>8.5</v>
      </c>
      <c r="AA968" s="14">
        <f t="shared" si="116"/>
        <v>10</v>
      </c>
      <c r="AB968" s="14">
        <f t="shared" si="117"/>
        <v>10</v>
      </c>
      <c r="AC968" s="14">
        <f t="shared" si="118"/>
        <v>10</v>
      </c>
      <c r="AD968" s="14">
        <f t="shared" si="119"/>
        <v>20</v>
      </c>
    </row>
    <row r="969" spans="5:30">
      <c r="E969" s="10">
        <v>9.2799999999999994</v>
      </c>
      <c r="F969" s="8" t="s">
        <v>49</v>
      </c>
      <c r="G969" s="9">
        <v>40</v>
      </c>
      <c r="H969" s="23">
        <v>36</v>
      </c>
      <c r="I969" s="24"/>
      <c r="J969" s="22"/>
      <c r="K969" s="23">
        <v>40</v>
      </c>
      <c r="L969" s="22"/>
      <c r="M969" s="9">
        <v>25.5</v>
      </c>
      <c r="N969" s="9">
        <v>30</v>
      </c>
      <c r="O969" s="9">
        <v>30</v>
      </c>
      <c r="P969" s="9">
        <v>20</v>
      </c>
      <c r="Q969" s="23">
        <v>20</v>
      </c>
      <c r="R969" s="22"/>
      <c r="S969" s="8">
        <v>241.5</v>
      </c>
      <c r="U969">
        <v>0</v>
      </c>
      <c r="V969">
        <v>0</v>
      </c>
      <c r="W969" s="14">
        <f t="shared" si="112"/>
        <v>40</v>
      </c>
      <c r="X969" s="14">
        <f t="shared" si="113"/>
        <v>36</v>
      </c>
      <c r="Y969" s="14">
        <f t="shared" si="114"/>
        <v>40</v>
      </c>
      <c r="Z969" s="14">
        <f t="shared" si="115"/>
        <v>25.5</v>
      </c>
      <c r="AA969" s="14">
        <f t="shared" si="116"/>
        <v>30</v>
      </c>
      <c r="AB969" s="14">
        <f t="shared" si="117"/>
        <v>30</v>
      </c>
      <c r="AC969" s="14">
        <f t="shared" si="118"/>
        <v>20</v>
      </c>
      <c r="AD969" s="14">
        <f t="shared" si="119"/>
        <v>50</v>
      </c>
    </row>
    <row r="970" spans="5:30">
      <c r="E970" s="4"/>
      <c r="F970" s="8" t="s">
        <v>36</v>
      </c>
      <c r="G970" s="9">
        <v>96</v>
      </c>
      <c r="H970" s="23">
        <v>86</v>
      </c>
      <c r="I970" s="24"/>
      <c r="J970" s="22"/>
      <c r="K970" s="23">
        <v>98</v>
      </c>
      <c r="L970" s="22"/>
      <c r="M970" s="9">
        <v>80</v>
      </c>
      <c r="N970" s="9">
        <v>95</v>
      </c>
      <c r="O970" s="9">
        <v>99</v>
      </c>
      <c r="P970" s="9">
        <v>50</v>
      </c>
      <c r="Q970" s="23">
        <v>50</v>
      </c>
      <c r="R970" s="22"/>
      <c r="S970" s="8">
        <v>654</v>
      </c>
      <c r="U970">
        <v>0</v>
      </c>
      <c r="V970">
        <v>0</v>
      </c>
      <c r="W970" s="14">
        <f t="shared" si="112"/>
        <v>96</v>
      </c>
      <c r="X970" s="14">
        <f t="shared" si="113"/>
        <v>86</v>
      </c>
      <c r="Y970" s="14">
        <f t="shared" si="114"/>
        <v>98</v>
      </c>
      <c r="Z970" s="14">
        <f t="shared" si="115"/>
        <v>80</v>
      </c>
      <c r="AA970" s="14">
        <f t="shared" si="116"/>
        <v>95</v>
      </c>
      <c r="AB970" s="14">
        <f t="shared" si="117"/>
        <v>99</v>
      </c>
      <c r="AC970" s="14">
        <f t="shared" si="118"/>
        <v>50</v>
      </c>
      <c r="AD970" s="14">
        <f t="shared" si="119"/>
        <v>50</v>
      </c>
    </row>
    <row r="971" spans="5:30">
      <c r="E971" s="6"/>
      <c r="F971" s="8" t="s">
        <v>52</v>
      </c>
      <c r="G971" s="9">
        <v>100</v>
      </c>
      <c r="H971" s="23">
        <v>100</v>
      </c>
      <c r="I971" s="24"/>
      <c r="J971" s="22"/>
      <c r="K971" s="23">
        <v>100</v>
      </c>
      <c r="L971" s="22"/>
      <c r="M971" s="9">
        <v>100</v>
      </c>
      <c r="N971" s="9">
        <v>100</v>
      </c>
      <c r="O971" s="9">
        <v>100</v>
      </c>
      <c r="P971" s="9">
        <v>50</v>
      </c>
      <c r="Q971" s="23">
        <v>50</v>
      </c>
      <c r="R971" s="22"/>
      <c r="S971" s="8">
        <v>700</v>
      </c>
      <c r="U971" t="s">
        <v>31</v>
      </c>
      <c r="V971" t="s">
        <v>33</v>
      </c>
      <c r="W971" s="14">
        <f t="shared" si="112"/>
        <v>100</v>
      </c>
      <c r="X971" s="14">
        <f t="shared" si="113"/>
        <v>100</v>
      </c>
      <c r="Y971" s="14">
        <f t="shared" si="114"/>
        <v>100</v>
      </c>
      <c r="Z971" s="14">
        <f t="shared" si="115"/>
        <v>100</v>
      </c>
      <c r="AA971" s="14">
        <f t="shared" si="116"/>
        <v>100</v>
      </c>
      <c r="AB971" s="14">
        <f t="shared" si="117"/>
        <v>100</v>
      </c>
      <c r="AC971" s="14">
        <f t="shared" si="118"/>
        <v>50</v>
      </c>
      <c r="AD971" s="14" t="str">
        <f t="shared" si="119"/>
        <v>OO+</v>
      </c>
    </row>
    <row r="972" spans="5:30">
      <c r="E972" s="4"/>
      <c r="F972" s="8" t="s">
        <v>54</v>
      </c>
      <c r="G972" s="9" t="s">
        <v>93</v>
      </c>
      <c r="H972" s="23" t="s">
        <v>122</v>
      </c>
      <c r="I972" s="24"/>
      <c r="J972" s="22"/>
      <c r="K972" s="23" t="s">
        <v>93</v>
      </c>
      <c r="L972" s="22"/>
      <c r="M972" s="9" t="s">
        <v>95</v>
      </c>
      <c r="N972" s="9" t="s">
        <v>93</v>
      </c>
      <c r="O972" s="9" t="s">
        <v>93</v>
      </c>
      <c r="P972" s="9" t="s">
        <v>93</v>
      </c>
      <c r="Q972" s="23" t="s">
        <v>93</v>
      </c>
      <c r="R972" s="22"/>
      <c r="S972" s="8" t="s">
        <v>33</v>
      </c>
      <c r="U972" t="s">
        <v>620</v>
      </c>
      <c r="V972" t="s">
        <v>36</v>
      </c>
      <c r="W972" s="14" t="str">
        <f t="shared" si="112"/>
        <v>OO+</v>
      </c>
      <c r="X972" s="14" t="str">
        <f t="shared" si="113"/>
        <v>OA+</v>
      </c>
      <c r="Y972" s="14" t="str">
        <f t="shared" si="114"/>
        <v>OO+</v>
      </c>
      <c r="Z972" s="14" t="str">
        <f t="shared" si="115"/>
        <v>OA</v>
      </c>
      <c r="AA972" s="14" t="str">
        <f t="shared" si="116"/>
        <v>OO+</v>
      </c>
      <c r="AB972" s="14" t="str">
        <f t="shared" si="117"/>
        <v>OO+</v>
      </c>
      <c r="AC972" s="14" t="str">
        <f t="shared" si="118"/>
        <v>OO+</v>
      </c>
      <c r="AD972" s="14" t="str">
        <f t="shared" si="119"/>
        <v>Pass</v>
      </c>
    </row>
    <row r="973" spans="5:30">
      <c r="E973" s="11" t="s">
        <v>619</v>
      </c>
      <c r="F973" s="8" t="s">
        <v>58</v>
      </c>
      <c r="G973" s="9" t="s">
        <v>59</v>
      </c>
      <c r="H973" s="23" t="s">
        <v>59</v>
      </c>
      <c r="I973" s="24"/>
      <c r="J973" s="22"/>
      <c r="K973" s="23" t="s">
        <v>59</v>
      </c>
      <c r="L973" s="22"/>
      <c r="M973" s="9" t="s">
        <v>59</v>
      </c>
      <c r="N973" s="9" t="s">
        <v>59</v>
      </c>
      <c r="O973" s="9" t="s">
        <v>59</v>
      </c>
      <c r="P973" s="9" t="s">
        <v>59</v>
      </c>
      <c r="Q973" s="23" t="s">
        <v>59</v>
      </c>
      <c r="R973" s="22"/>
      <c r="S973" s="8" t="s">
        <v>33</v>
      </c>
      <c r="U973" t="s">
        <v>37</v>
      </c>
      <c r="V973" t="s">
        <v>33</v>
      </c>
      <c r="W973" s="14" t="str">
        <f t="shared" si="112"/>
        <v>Pass</v>
      </c>
      <c r="X973" s="14" t="str">
        <f t="shared" si="113"/>
        <v>Pass</v>
      </c>
      <c r="Y973" s="14" t="str">
        <f t="shared" si="114"/>
        <v>Pass</v>
      </c>
      <c r="Z973" s="14" t="str">
        <f t="shared" si="115"/>
        <v>Pass</v>
      </c>
      <c r="AA973" s="14" t="str">
        <f t="shared" si="116"/>
        <v>Pass</v>
      </c>
      <c r="AB973" s="14" t="str">
        <f t="shared" si="117"/>
        <v>Pass</v>
      </c>
      <c r="AC973" s="14" t="str">
        <f t="shared" si="118"/>
        <v>Pass</v>
      </c>
      <c r="AD973" s="14" t="str">
        <f t="shared" si="119"/>
        <v/>
      </c>
    </row>
    <row r="974" spans="5:30">
      <c r="E974" s="12" t="s">
        <v>33</v>
      </c>
      <c r="F974" s="12" t="s">
        <v>33</v>
      </c>
      <c r="G974" s="13" t="s">
        <v>33</v>
      </c>
      <c r="H974" s="20" t="s">
        <v>33</v>
      </c>
      <c r="I974" s="18"/>
      <c r="J974" s="18"/>
      <c r="K974" s="20" t="s">
        <v>33</v>
      </c>
      <c r="L974" s="18"/>
      <c r="M974" s="13" t="s">
        <v>33</v>
      </c>
      <c r="N974" s="13" t="s">
        <v>33</v>
      </c>
      <c r="O974" s="13" t="s">
        <v>33</v>
      </c>
      <c r="P974" s="13" t="s">
        <v>33</v>
      </c>
      <c r="Q974" s="20" t="s">
        <v>33</v>
      </c>
      <c r="R974" s="18"/>
      <c r="S974" s="13" t="s">
        <v>33</v>
      </c>
      <c r="U974" t="s">
        <v>624</v>
      </c>
      <c r="V974" t="s">
        <v>33</v>
      </c>
      <c r="W974" s="14" t="str">
        <f t="shared" si="112"/>
        <v/>
      </c>
      <c r="X974" s="14" t="str">
        <f t="shared" si="113"/>
        <v/>
      </c>
      <c r="Y974" s="14" t="str">
        <f t="shared" si="114"/>
        <v/>
      </c>
      <c r="Z974" s="14" t="str">
        <f t="shared" si="115"/>
        <v/>
      </c>
      <c r="AA974" s="14" t="str">
        <f t="shared" si="116"/>
        <v/>
      </c>
      <c r="AB974" s="14" t="str">
        <f t="shared" si="117"/>
        <v/>
      </c>
      <c r="AC974" s="14" t="str">
        <f t="shared" si="118"/>
        <v/>
      </c>
      <c r="AD974" s="14">
        <f t="shared" si="119"/>
        <v>0</v>
      </c>
    </row>
    <row r="975" spans="5:30" ht="0" hidden="1" customHeight="1">
      <c r="U975">
        <v>0</v>
      </c>
      <c r="V975">
        <v>0</v>
      </c>
      <c r="W975" s="14">
        <f t="shared" si="112"/>
        <v>0</v>
      </c>
      <c r="X975" s="14">
        <f t="shared" si="113"/>
        <v>0</v>
      </c>
      <c r="Y975" s="14">
        <f t="shared" si="114"/>
        <v>0</v>
      </c>
      <c r="Z975" s="14">
        <f t="shared" si="115"/>
        <v>0</v>
      </c>
      <c r="AA975" s="14">
        <f t="shared" si="116"/>
        <v>0</v>
      </c>
      <c r="AB975" s="14">
        <f t="shared" si="117"/>
        <v>0</v>
      </c>
      <c r="AC975" s="14">
        <f t="shared" si="118"/>
        <v>0</v>
      </c>
      <c r="AD975" s="14">
        <f t="shared" si="119"/>
        <v>0</v>
      </c>
    </row>
    <row r="976" spans="5:30" ht="0.6" customHeight="1">
      <c r="U976">
        <v>0</v>
      </c>
      <c r="V976">
        <v>25</v>
      </c>
      <c r="W976" s="14">
        <f t="shared" si="112"/>
        <v>0</v>
      </c>
      <c r="X976" s="14">
        <f t="shared" si="113"/>
        <v>0</v>
      </c>
      <c r="Y976" s="14">
        <f t="shared" si="114"/>
        <v>0</v>
      </c>
      <c r="Z976" s="14">
        <f t="shared" si="115"/>
        <v>0</v>
      </c>
      <c r="AA976" s="14">
        <f t="shared" si="116"/>
        <v>0</v>
      </c>
      <c r="AB976" s="14">
        <f t="shared" si="117"/>
        <v>0</v>
      </c>
      <c r="AC976" s="14">
        <f t="shared" si="118"/>
        <v>0</v>
      </c>
      <c r="AD976" s="14" t="str">
        <f t="shared" si="119"/>
        <v/>
      </c>
    </row>
    <row r="977" spans="5:30">
      <c r="E977" s="4"/>
      <c r="F977" s="3" t="s">
        <v>32</v>
      </c>
      <c r="G977" s="5" t="s">
        <v>33</v>
      </c>
      <c r="H977" s="32" t="s">
        <v>33</v>
      </c>
      <c r="I977" s="18"/>
      <c r="J977" s="18"/>
      <c r="K977" s="32" t="s">
        <v>33</v>
      </c>
      <c r="L977" s="18"/>
      <c r="M977" s="5" t="s">
        <v>33</v>
      </c>
      <c r="N977" s="5" t="s">
        <v>33</v>
      </c>
      <c r="O977" s="5" t="s">
        <v>33</v>
      </c>
      <c r="P977" s="5" t="s">
        <v>33</v>
      </c>
      <c r="Q977" s="32" t="s">
        <v>33</v>
      </c>
      <c r="R977" s="18"/>
      <c r="S977" s="5" t="s">
        <v>33</v>
      </c>
      <c r="U977" t="s">
        <v>46</v>
      </c>
      <c r="V977" t="s">
        <v>33</v>
      </c>
      <c r="W977" s="14" t="str">
        <f t="shared" si="112"/>
        <v/>
      </c>
      <c r="X977" s="14" t="str">
        <f t="shared" si="113"/>
        <v/>
      </c>
      <c r="Y977" s="14" t="str">
        <f t="shared" si="114"/>
        <v/>
      </c>
      <c r="Z977" s="14" t="str">
        <f t="shared" si="115"/>
        <v/>
      </c>
      <c r="AA977" s="14" t="str">
        <f t="shared" si="116"/>
        <v/>
      </c>
      <c r="AB977" s="14" t="str">
        <f t="shared" si="117"/>
        <v/>
      </c>
      <c r="AC977" s="14" t="str">
        <f t="shared" si="118"/>
        <v/>
      </c>
      <c r="AD977" s="14" t="str">
        <f t="shared" si="119"/>
        <v>COMFISN301</v>
      </c>
    </row>
    <row r="978" spans="5:30" ht="21">
      <c r="E978" s="4"/>
      <c r="F978" s="7" t="s">
        <v>35</v>
      </c>
      <c r="G978" s="7" t="s">
        <v>5</v>
      </c>
      <c r="H978" s="30" t="s">
        <v>7</v>
      </c>
      <c r="I978" s="24"/>
      <c r="J978" s="22"/>
      <c r="K978" s="30" t="s">
        <v>9</v>
      </c>
      <c r="L978" s="22"/>
      <c r="M978" s="7" t="s">
        <v>11</v>
      </c>
      <c r="N978" s="7" t="s">
        <v>15</v>
      </c>
      <c r="O978" s="7" t="s">
        <v>17</v>
      </c>
      <c r="P978" s="7" t="s">
        <v>19</v>
      </c>
      <c r="Q978" s="30" t="s">
        <v>21</v>
      </c>
      <c r="R978" s="22"/>
      <c r="S978" s="7" t="s">
        <v>36</v>
      </c>
      <c r="U978" t="s">
        <v>48</v>
      </c>
      <c r="V978">
        <v>224.5</v>
      </c>
      <c r="W978" s="14" t="str">
        <f t="shared" si="112"/>
        <v>BBABMCN301</v>
      </c>
      <c r="X978" s="14" t="str">
        <f t="shared" si="113"/>
        <v>BBABMCN302</v>
      </c>
      <c r="Y978" s="14" t="str">
        <f t="shared" si="114"/>
        <v>BBABMCN303</v>
      </c>
      <c r="Z978" s="14" t="str">
        <f t="shared" si="115"/>
        <v>BBAENLN301</v>
      </c>
      <c r="AA978" s="14" t="str">
        <f t="shared" si="116"/>
        <v>BBAKALN302</v>
      </c>
      <c r="AB978" s="14" t="str">
        <f t="shared" si="117"/>
        <v>BCACAEN302</v>
      </c>
      <c r="AC978" s="14" t="str">
        <f t="shared" si="118"/>
        <v>COMCUSN302</v>
      </c>
      <c r="AD978" s="14" t="str">
        <f t="shared" si="119"/>
        <v>30.00 + 20.00</v>
      </c>
    </row>
    <row r="979" spans="5:30" ht="22.5">
      <c r="E979" s="6" t="s">
        <v>621</v>
      </c>
      <c r="F979" s="8" t="s">
        <v>39</v>
      </c>
      <c r="G979" s="9" t="s">
        <v>440</v>
      </c>
      <c r="H979" s="23" t="s">
        <v>578</v>
      </c>
      <c r="I979" s="24"/>
      <c r="J979" s="22"/>
      <c r="K979" s="23" t="s">
        <v>273</v>
      </c>
      <c r="L979" s="22"/>
      <c r="M979" s="9" t="s">
        <v>152</v>
      </c>
      <c r="N979" s="9" t="s">
        <v>622</v>
      </c>
      <c r="O979" s="9" t="s">
        <v>623</v>
      </c>
      <c r="P979" s="9" t="s">
        <v>43</v>
      </c>
      <c r="Q979" s="23" t="s">
        <v>89</v>
      </c>
      <c r="R979" s="22"/>
      <c r="S979" s="8" t="s">
        <v>33</v>
      </c>
      <c r="U979" t="s">
        <v>50</v>
      </c>
      <c r="V979">
        <v>606</v>
      </c>
      <c r="W979" s="14" t="str">
        <f t="shared" si="112"/>
        <v>40.00 + 38.00</v>
      </c>
      <c r="X979" s="14" t="str">
        <f t="shared" si="113"/>
        <v>50.00 + 40.00</v>
      </c>
      <c r="Y979" s="14" t="str">
        <f t="shared" si="114"/>
        <v>53.00 + 40.00</v>
      </c>
      <c r="Z979" s="14" t="str">
        <f t="shared" si="115"/>
        <v>41.00 + 34.00</v>
      </c>
      <c r="AA979" s="14" t="str">
        <f t="shared" si="116"/>
        <v>57.00 + 36.00</v>
      </c>
      <c r="AB979" s="14" t="str">
        <f t="shared" si="117"/>
        <v>46.00 + 31.00</v>
      </c>
      <c r="AC979" s="14" t="str">
        <f t="shared" si="118"/>
        <v xml:space="preserve"> - - + - - </v>
      </c>
      <c r="AD979" s="14" t="str">
        <f t="shared" si="119"/>
        <v xml:space="preserve"> - - + - - </v>
      </c>
    </row>
    <row r="980" spans="5:30">
      <c r="E980" s="25"/>
      <c r="F980" s="8" t="s">
        <v>42</v>
      </c>
      <c r="G980" s="9" t="s">
        <v>43</v>
      </c>
      <c r="H980" s="23" t="s">
        <v>43</v>
      </c>
      <c r="I980" s="24"/>
      <c r="J980" s="22"/>
      <c r="K980" s="23" t="s">
        <v>43</v>
      </c>
      <c r="L980" s="22"/>
      <c r="M980" s="9" t="s">
        <v>43</v>
      </c>
      <c r="N980" s="9" t="s">
        <v>43</v>
      </c>
      <c r="O980" s="9" t="s">
        <v>43</v>
      </c>
      <c r="P980" s="9" t="s">
        <v>91</v>
      </c>
      <c r="Q980" s="23" t="s">
        <v>43</v>
      </c>
      <c r="R980" s="22"/>
      <c r="S980" s="8" t="s">
        <v>33</v>
      </c>
      <c r="U980" t="s">
        <v>51</v>
      </c>
      <c r="V980">
        <v>700</v>
      </c>
      <c r="W980" s="14" t="str">
        <f t="shared" si="112"/>
        <v xml:space="preserve"> - - + - - </v>
      </c>
      <c r="X980" s="14" t="str">
        <f t="shared" si="113"/>
        <v xml:space="preserve"> - - + - - </v>
      </c>
      <c r="Y980" s="14" t="str">
        <f t="shared" si="114"/>
        <v xml:space="preserve"> - - + - - </v>
      </c>
      <c r="Z980" s="14" t="str">
        <f t="shared" si="115"/>
        <v xml:space="preserve"> - - + - - </v>
      </c>
      <c r="AA980" s="14" t="str">
        <f t="shared" si="116"/>
        <v xml:space="preserve"> - - + - - </v>
      </c>
      <c r="AB980" s="14" t="str">
        <f t="shared" si="117"/>
        <v xml:space="preserve"> - - + - - </v>
      </c>
      <c r="AC980" s="14" t="str">
        <f t="shared" si="118"/>
        <v xml:space="preserve"> - - +50.00</v>
      </c>
      <c r="AD980" s="14" t="str">
        <f t="shared" si="119"/>
        <v/>
      </c>
    </row>
    <row r="981" spans="5:30">
      <c r="E981" s="27"/>
      <c r="F981" s="8" t="s">
        <v>44</v>
      </c>
      <c r="G981" s="9" t="s">
        <v>33</v>
      </c>
      <c r="H981" s="23" t="s">
        <v>33</v>
      </c>
      <c r="I981" s="24"/>
      <c r="J981" s="22"/>
      <c r="K981" s="23" t="s">
        <v>33</v>
      </c>
      <c r="L981" s="22"/>
      <c r="M981" s="9" t="s">
        <v>33</v>
      </c>
      <c r="N981" s="9" t="s">
        <v>33</v>
      </c>
      <c r="O981" s="9" t="s">
        <v>33</v>
      </c>
      <c r="P981" s="9" t="s">
        <v>33</v>
      </c>
      <c r="Q981" s="23" t="s">
        <v>33</v>
      </c>
      <c r="R981" s="22"/>
      <c r="S981" s="8">
        <v>0</v>
      </c>
      <c r="U981" t="s">
        <v>170</v>
      </c>
      <c r="V981" t="s">
        <v>33</v>
      </c>
      <c r="W981" s="14" t="str">
        <f t="shared" si="112"/>
        <v/>
      </c>
      <c r="X981" s="14" t="str">
        <f t="shared" si="113"/>
        <v/>
      </c>
      <c r="Y981" s="14" t="str">
        <f t="shared" si="114"/>
        <v/>
      </c>
      <c r="Z981" s="14" t="str">
        <f t="shared" si="115"/>
        <v/>
      </c>
      <c r="AA981" s="14" t="str">
        <f t="shared" si="116"/>
        <v/>
      </c>
      <c r="AB981" s="14" t="str">
        <f t="shared" si="117"/>
        <v/>
      </c>
      <c r="AC981" s="14" t="str">
        <f t="shared" si="118"/>
        <v/>
      </c>
      <c r="AD981" s="14">
        <f t="shared" si="119"/>
        <v>2</v>
      </c>
    </row>
    <row r="982" spans="5:30">
      <c r="E982" s="29"/>
      <c r="F982" s="8" t="s">
        <v>45</v>
      </c>
      <c r="G982" s="9">
        <v>4</v>
      </c>
      <c r="H982" s="23">
        <v>4</v>
      </c>
      <c r="I982" s="24"/>
      <c r="J982" s="22"/>
      <c r="K982" s="23">
        <v>4</v>
      </c>
      <c r="L982" s="22"/>
      <c r="M982" s="9">
        <v>3</v>
      </c>
      <c r="N982" s="9">
        <v>3</v>
      </c>
      <c r="O982" s="9">
        <v>3</v>
      </c>
      <c r="P982" s="9">
        <v>2</v>
      </c>
      <c r="Q982" s="23">
        <v>2</v>
      </c>
      <c r="R982" s="22"/>
      <c r="S982" s="8">
        <v>25</v>
      </c>
      <c r="U982" t="s">
        <v>56</v>
      </c>
      <c r="V982" t="s">
        <v>33</v>
      </c>
      <c r="W982" s="14">
        <f t="shared" si="112"/>
        <v>4</v>
      </c>
      <c r="X982" s="14">
        <f t="shared" si="113"/>
        <v>4</v>
      </c>
      <c r="Y982" s="14">
        <f t="shared" si="114"/>
        <v>4</v>
      </c>
      <c r="Z982" s="14">
        <f t="shared" si="115"/>
        <v>3</v>
      </c>
      <c r="AA982" s="14">
        <f t="shared" si="116"/>
        <v>3</v>
      </c>
      <c r="AB982" s="14">
        <f t="shared" si="117"/>
        <v>3</v>
      </c>
      <c r="AC982" s="14">
        <f t="shared" si="118"/>
        <v>2</v>
      </c>
      <c r="AD982" s="14">
        <f t="shared" si="119"/>
        <v>10</v>
      </c>
    </row>
    <row r="983" spans="5:30">
      <c r="E983" s="6">
        <v>8.98</v>
      </c>
      <c r="F983" s="8" t="s">
        <v>47</v>
      </c>
      <c r="G983" s="9">
        <v>8</v>
      </c>
      <c r="H983" s="23">
        <v>9.5</v>
      </c>
      <c r="I983" s="24"/>
      <c r="J983" s="22"/>
      <c r="K983" s="23">
        <v>9.5</v>
      </c>
      <c r="L983" s="22"/>
      <c r="M983" s="9">
        <v>8</v>
      </c>
      <c r="N983" s="9">
        <v>9.5</v>
      </c>
      <c r="O983" s="9">
        <v>8</v>
      </c>
      <c r="P983" s="9">
        <v>10</v>
      </c>
      <c r="Q983" s="23">
        <v>10</v>
      </c>
      <c r="R983" s="22"/>
      <c r="S983" s="8" t="s">
        <v>33</v>
      </c>
      <c r="U983" t="s">
        <v>33</v>
      </c>
      <c r="V983" t="s">
        <v>33</v>
      </c>
      <c r="W983" s="14">
        <f t="shared" si="112"/>
        <v>8</v>
      </c>
      <c r="X983" s="14">
        <f t="shared" si="113"/>
        <v>9.5</v>
      </c>
      <c r="Y983" s="14">
        <f t="shared" si="114"/>
        <v>9.5</v>
      </c>
      <c r="Z983" s="14">
        <f t="shared" si="115"/>
        <v>8</v>
      </c>
      <c r="AA983" s="14">
        <f t="shared" si="116"/>
        <v>9.5</v>
      </c>
      <c r="AB983" s="14">
        <f t="shared" si="117"/>
        <v>8</v>
      </c>
      <c r="AC983" s="14">
        <f t="shared" si="118"/>
        <v>10</v>
      </c>
      <c r="AD983" s="14">
        <f t="shared" si="119"/>
        <v>20</v>
      </c>
    </row>
    <row r="984" spans="5:30">
      <c r="E984" s="10">
        <v>9.0299999999999994</v>
      </c>
      <c r="F984" s="8" t="s">
        <v>49</v>
      </c>
      <c r="G984" s="9">
        <v>32</v>
      </c>
      <c r="H984" s="23">
        <v>38</v>
      </c>
      <c r="I984" s="24"/>
      <c r="J984" s="22"/>
      <c r="K984" s="23">
        <v>38</v>
      </c>
      <c r="L984" s="22"/>
      <c r="M984" s="9">
        <v>24</v>
      </c>
      <c r="N984" s="9">
        <v>28.5</v>
      </c>
      <c r="O984" s="9">
        <v>24</v>
      </c>
      <c r="P984" s="9">
        <v>20</v>
      </c>
      <c r="Q984" s="23">
        <v>20</v>
      </c>
      <c r="R984" s="22"/>
      <c r="S984" s="8">
        <v>224.5</v>
      </c>
      <c r="U984">
        <v>0</v>
      </c>
      <c r="V984">
        <v>0</v>
      </c>
      <c r="W984" s="14">
        <f t="shared" si="112"/>
        <v>32</v>
      </c>
      <c r="X984" s="14">
        <f t="shared" si="113"/>
        <v>38</v>
      </c>
      <c r="Y984" s="14">
        <f t="shared" si="114"/>
        <v>38</v>
      </c>
      <c r="Z984" s="14">
        <f t="shared" si="115"/>
        <v>24</v>
      </c>
      <c r="AA984" s="14">
        <f t="shared" si="116"/>
        <v>28.5</v>
      </c>
      <c r="AB984" s="14">
        <f t="shared" si="117"/>
        <v>24</v>
      </c>
      <c r="AC984" s="14">
        <f t="shared" si="118"/>
        <v>20</v>
      </c>
      <c r="AD984" s="14">
        <f t="shared" si="119"/>
        <v>50</v>
      </c>
    </row>
    <row r="985" spans="5:30">
      <c r="E985" s="4"/>
      <c r="F985" s="8" t="s">
        <v>36</v>
      </c>
      <c r="G985" s="9">
        <v>78</v>
      </c>
      <c r="H985" s="23">
        <v>90</v>
      </c>
      <c r="I985" s="24"/>
      <c r="J985" s="22"/>
      <c r="K985" s="23">
        <v>93</v>
      </c>
      <c r="L985" s="22"/>
      <c r="M985" s="9">
        <v>75</v>
      </c>
      <c r="N985" s="9">
        <v>93</v>
      </c>
      <c r="O985" s="9">
        <v>77</v>
      </c>
      <c r="P985" s="9">
        <v>50</v>
      </c>
      <c r="Q985" s="23">
        <v>50</v>
      </c>
      <c r="R985" s="22"/>
      <c r="S985" s="8">
        <v>606</v>
      </c>
      <c r="U985" t="s">
        <v>31</v>
      </c>
      <c r="V985" t="s">
        <v>33</v>
      </c>
      <c r="W985" s="14">
        <f t="shared" si="112"/>
        <v>78</v>
      </c>
      <c r="X985" s="14">
        <f t="shared" si="113"/>
        <v>90</v>
      </c>
      <c r="Y985" s="14">
        <f t="shared" si="114"/>
        <v>93</v>
      </c>
      <c r="Z985" s="14">
        <f t="shared" si="115"/>
        <v>75</v>
      </c>
      <c r="AA985" s="14">
        <f t="shared" si="116"/>
        <v>93</v>
      </c>
      <c r="AB985" s="14">
        <f t="shared" si="117"/>
        <v>77</v>
      </c>
      <c r="AC985" s="14">
        <f t="shared" si="118"/>
        <v>50</v>
      </c>
      <c r="AD985" s="14">
        <f t="shared" si="119"/>
        <v>50</v>
      </c>
    </row>
    <row r="986" spans="5:30">
      <c r="E986" s="6"/>
      <c r="F986" s="8" t="s">
        <v>52</v>
      </c>
      <c r="G986" s="9">
        <v>100</v>
      </c>
      <c r="H986" s="23">
        <v>100</v>
      </c>
      <c r="I986" s="24"/>
      <c r="J986" s="22"/>
      <c r="K986" s="23">
        <v>100</v>
      </c>
      <c r="L986" s="22"/>
      <c r="M986" s="9">
        <v>100</v>
      </c>
      <c r="N986" s="9">
        <v>100</v>
      </c>
      <c r="O986" s="9">
        <v>100</v>
      </c>
      <c r="P986" s="9">
        <v>50</v>
      </c>
      <c r="Q986" s="23">
        <v>50</v>
      </c>
      <c r="R986" s="22"/>
      <c r="S986" s="8">
        <v>700</v>
      </c>
      <c r="U986" t="s">
        <v>626</v>
      </c>
      <c r="V986" t="s">
        <v>36</v>
      </c>
      <c r="W986" s="14">
        <f t="shared" si="112"/>
        <v>100</v>
      </c>
      <c r="X986" s="14">
        <f t="shared" si="113"/>
        <v>100</v>
      </c>
      <c r="Y986" s="14">
        <f t="shared" si="114"/>
        <v>100</v>
      </c>
      <c r="Z986" s="14">
        <f t="shared" si="115"/>
        <v>100</v>
      </c>
      <c r="AA986" s="14">
        <f t="shared" si="116"/>
        <v>100</v>
      </c>
      <c r="AB986" s="14">
        <f t="shared" si="117"/>
        <v>100</v>
      </c>
      <c r="AC986" s="14">
        <f t="shared" si="118"/>
        <v>50</v>
      </c>
      <c r="AD986" s="14" t="str">
        <f t="shared" si="119"/>
        <v>OO+</v>
      </c>
    </row>
    <row r="987" spans="5:30">
      <c r="E987" s="4"/>
      <c r="F987" s="8" t="s">
        <v>54</v>
      </c>
      <c r="G987" s="9" t="s">
        <v>135</v>
      </c>
      <c r="H987" s="23" t="s">
        <v>94</v>
      </c>
      <c r="I987" s="24"/>
      <c r="J987" s="22"/>
      <c r="K987" s="23" t="s">
        <v>94</v>
      </c>
      <c r="L987" s="22"/>
      <c r="M987" s="9" t="s">
        <v>135</v>
      </c>
      <c r="N987" s="9" t="s">
        <v>94</v>
      </c>
      <c r="O987" s="9" t="s">
        <v>135</v>
      </c>
      <c r="P987" s="9" t="s">
        <v>93</v>
      </c>
      <c r="Q987" s="23" t="s">
        <v>93</v>
      </c>
      <c r="R987" s="22"/>
      <c r="S987" s="8" t="s">
        <v>33</v>
      </c>
      <c r="U987" t="s">
        <v>37</v>
      </c>
      <c r="V987" t="s">
        <v>33</v>
      </c>
      <c r="W987" s="14" t="str">
        <f t="shared" si="112"/>
        <v>AA+</v>
      </c>
      <c r="X987" s="14" t="str">
        <f t="shared" si="113"/>
        <v>OO</v>
      </c>
      <c r="Y987" s="14" t="str">
        <f t="shared" si="114"/>
        <v>OO</v>
      </c>
      <c r="Z987" s="14" t="str">
        <f t="shared" si="115"/>
        <v>AA+</v>
      </c>
      <c r="AA987" s="14" t="str">
        <f t="shared" si="116"/>
        <v>OO</v>
      </c>
      <c r="AB987" s="14" t="str">
        <f t="shared" si="117"/>
        <v>AA+</v>
      </c>
      <c r="AC987" s="14" t="str">
        <f t="shared" si="118"/>
        <v>OO+</v>
      </c>
      <c r="AD987" s="14" t="str">
        <f t="shared" si="119"/>
        <v>Pass</v>
      </c>
    </row>
    <row r="988" spans="5:30">
      <c r="E988" s="11" t="s">
        <v>625</v>
      </c>
      <c r="F988" s="8" t="s">
        <v>58</v>
      </c>
      <c r="G988" s="9" t="s">
        <v>59</v>
      </c>
      <c r="H988" s="23" t="s">
        <v>59</v>
      </c>
      <c r="I988" s="24"/>
      <c r="J988" s="22"/>
      <c r="K988" s="23" t="s">
        <v>59</v>
      </c>
      <c r="L988" s="22"/>
      <c r="M988" s="9" t="s">
        <v>59</v>
      </c>
      <c r="N988" s="9" t="s">
        <v>59</v>
      </c>
      <c r="O988" s="9" t="s">
        <v>59</v>
      </c>
      <c r="P988" s="9" t="s">
        <v>59</v>
      </c>
      <c r="Q988" s="23" t="s">
        <v>59</v>
      </c>
      <c r="R988" s="22"/>
      <c r="S988" s="8" t="s">
        <v>33</v>
      </c>
      <c r="U988" t="s">
        <v>631</v>
      </c>
      <c r="V988" t="s">
        <v>33</v>
      </c>
      <c r="W988" s="14" t="str">
        <f t="shared" si="112"/>
        <v>Pass</v>
      </c>
      <c r="X988" s="14" t="str">
        <f t="shared" si="113"/>
        <v>Pass</v>
      </c>
      <c r="Y988" s="14" t="str">
        <f t="shared" si="114"/>
        <v>Pass</v>
      </c>
      <c r="Z988" s="14" t="str">
        <f t="shared" si="115"/>
        <v>Pass</v>
      </c>
      <c r="AA988" s="14" t="str">
        <f t="shared" si="116"/>
        <v>Pass</v>
      </c>
      <c r="AB988" s="14" t="str">
        <f t="shared" si="117"/>
        <v>Pass</v>
      </c>
      <c r="AC988" s="14" t="str">
        <f t="shared" si="118"/>
        <v>Pass</v>
      </c>
      <c r="AD988" s="14" t="str">
        <f t="shared" si="119"/>
        <v/>
      </c>
    </row>
    <row r="989" spans="5:30">
      <c r="E989" s="12" t="s">
        <v>33</v>
      </c>
      <c r="F989" s="12" t="s">
        <v>33</v>
      </c>
      <c r="G989" s="13" t="s">
        <v>33</v>
      </c>
      <c r="H989" s="20" t="s">
        <v>33</v>
      </c>
      <c r="I989" s="18"/>
      <c r="J989" s="18"/>
      <c r="K989" s="20" t="s">
        <v>33</v>
      </c>
      <c r="L989" s="18"/>
      <c r="M989" s="13" t="s">
        <v>33</v>
      </c>
      <c r="N989" s="13" t="s">
        <v>33</v>
      </c>
      <c r="O989" s="13" t="s">
        <v>33</v>
      </c>
      <c r="P989" s="13" t="s">
        <v>33</v>
      </c>
      <c r="Q989" s="20" t="s">
        <v>33</v>
      </c>
      <c r="R989" s="18"/>
      <c r="S989" s="13" t="s">
        <v>33</v>
      </c>
      <c r="U989">
        <v>0</v>
      </c>
      <c r="V989">
        <v>0</v>
      </c>
      <c r="W989" s="14" t="str">
        <f t="shared" si="112"/>
        <v/>
      </c>
      <c r="X989" s="14" t="str">
        <f t="shared" si="113"/>
        <v/>
      </c>
      <c r="Y989" s="14" t="str">
        <f t="shared" si="114"/>
        <v/>
      </c>
      <c r="Z989" s="14" t="str">
        <f t="shared" si="115"/>
        <v/>
      </c>
      <c r="AA989" s="14" t="str">
        <f t="shared" si="116"/>
        <v/>
      </c>
      <c r="AB989" s="14" t="str">
        <f t="shared" si="117"/>
        <v/>
      </c>
      <c r="AC989" s="14" t="str">
        <f t="shared" si="118"/>
        <v/>
      </c>
      <c r="AD989" s="14">
        <f t="shared" si="119"/>
        <v>0</v>
      </c>
    </row>
    <row r="990" spans="5:30" ht="0.6" customHeight="1">
      <c r="U990">
        <v>0</v>
      </c>
      <c r="V990">
        <v>25</v>
      </c>
      <c r="W990" s="14">
        <f t="shared" si="112"/>
        <v>0</v>
      </c>
      <c r="X990" s="14">
        <f t="shared" si="113"/>
        <v>0</v>
      </c>
      <c r="Y990" s="14">
        <f t="shared" si="114"/>
        <v>0</v>
      </c>
      <c r="Z990" s="14">
        <f t="shared" si="115"/>
        <v>0</v>
      </c>
      <c r="AA990" s="14">
        <f t="shared" si="116"/>
        <v>0</v>
      </c>
      <c r="AB990" s="14">
        <f t="shared" si="117"/>
        <v>0</v>
      </c>
      <c r="AC990" s="14">
        <f t="shared" si="118"/>
        <v>0</v>
      </c>
      <c r="AD990" s="14" t="str">
        <f t="shared" si="119"/>
        <v/>
      </c>
    </row>
    <row r="991" spans="5:30">
      <c r="E991" s="4"/>
      <c r="F991" s="3" t="s">
        <v>32</v>
      </c>
      <c r="G991" s="5" t="s">
        <v>33</v>
      </c>
      <c r="H991" s="32" t="s">
        <v>33</v>
      </c>
      <c r="I991" s="18"/>
      <c r="J991" s="18"/>
      <c r="K991" s="32" t="s">
        <v>33</v>
      </c>
      <c r="L991" s="18"/>
      <c r="M991" s="5" t="s">
        <v>33</v>
      </c>
      <c r="N991" s="5" t="s">
        <v>33</v>
      </c>
      <c r="O991" s="5" t="s">
        <v>33</v>
      </c>
      <c r="P991" s="5" t="s">
        <v>33</v>
      </c>
      <c r="Q991" s="32" t="s">
        <v>33</v>
      </c>
      <c r="R991" s="18"/>
      <c r="S991" s="5" t="s">
        <v>33</v>
      </c>
      <c r="U991" t="s">
        <v>46</v>
      </c>
      <c r="V991" t="s">
        <v>33</v>
      </c>
      <c r="W991" s="14" t="str">
        <f t="shared" si="112"/>
        <v/>
      </c>
      <c r="X991" s="14" t="str">
        <f t="shared" si="113"/>
        <v/>
      </c>
      <c r="Y991" s="14" t="str">
        <f t="shared" si="114"/>
        <v/>
      </c>
      <c r="Z991" s="14" t="str">
        <f t="shared" si="115"/>
        <v/>
      </c>
      <c r="AA991" s="14" t="str">
        <f t="shared" si="116"/>
        <v/>
      </c>
      <c r="AB991" s="14" t="str">
        <f t="shared" si="117"/>
        <v/>
      </c>
      <c r="AC991" s="14" t="str">
        <f t="shared" si="118"/>
        <v/>
      </c>
      <c r="AD991" s="14" t="str">
        <f t="shared" si="119"/>
        <v>COMFISN301</v>
      </c>
    </row>
    <row r="992" spans="5:30" ht="21">
      <c r="E992" s="4"/>
      <c r="F992" s="7" t="s">
        <v>35</v>
      </c>
      <c r="G992" s="7" t="s">
        <v>5</v>
      </c>
      <c r="H992" s="30" t="s">
        <v>7</v>
      </c>
      <c r="I992" s="24"/>
      <c r="J992" s="22"/>
      <c r="K992" s="30" t="s">
        <v>9</v>
      </c>
      <c r="L992" s="22"/>
      <c r="M992" s="7" t="s">
        <v>11</v>
      </c>
      <c r="N992" s="7" t="s">
        <v>13</v>
      </c>
      <c r="O992" s="7" t="s">
        <v>17</v>
      </c>
      <c r="P992" s="7" t="s">
        <v>19</v>
      </c>
      <c r="Q992" s="30" t="s">
        <v>21</v>
      </c>
      <c r="R992" s="22"/>
      <c r="S992" s="7" t="s">
        <v>36</v>
      </c>
      <c r="U992" t="s">
        <v>48</v>
      </c>
      <c r="V992">
        <v>217</v>
      </c>
      <c r="W992" s="14" t="str">
        <f t="shared" si="112"/>
        <v>BBABMCN301</v>
      </c>
      <c r="X992" s="14" t="str">
        <f t="shared" si="113"/>
        <v>BBABMCN302</v>
      </c>
      <c r="Y992" s="14" t="str">
        <f t="shared" si="114"/>
        <v>BBABMCN303</v>
      </c>
      <c r="Z992" s="14" t="str">
        <f t="shared" si="115"/>
        <v>BBAENLN301</v>
      </c>
      <c r="AA992" s="14" t="str">
        <f t="shared" si="116"/>
        <v>BBAHDLN301</v>
      </c>
      <c r="AB992" s="14" t="str">
        <f t="shared" si="117"/>
        <v>BCACAEN302</v>
      </c>
      <c r="AC992" s="14" t="str">
        <f t="shared" si="118"/>
        <v>COMCUSN302</v>
      </c>
      <c r="AD992" s="14" t="str">
        <f t="shared" si="119"/>
        <v>28.00 + 20.00</v>
      </c>
    </row>
    <row r="993" spans="5:30" ht="22.5">
      <c r="E993" s="6" t="s">
        <v>627</v>
      </c>
      <c r="F993" s="8" t="s">
        <v>39</v>
      </c>
      <c r="G993" s="9" t="s">
        <v>510</v>
      </c>
      <c r="H993" s="23" t="s">
        <v>628</v>
      </c>
      <c r="I993" s="24"/>
      <c r="J993" s="22"/>
      <c r="K993" s="23" t="s">
        <v>629</v>
      </c>
      <c r="L993" s="22"/>
      <c r="M993" s="9" t="s">
        <v>630</v>
      </c>
      <c r="N993" s="9" t="s">
        <v>474</v>
      </c>
      <c r="O993" s="9" t="s">
        <v>465</v>
      </c>
      <c r="P993" s="9" t="s">
        <v>43</v>
      </c>
      <c r="Q993" s="23" t="s">
        <v>276</v>
      </c>
      <c r="R993" s="22"/>
      <c r="S993" s="8" t="s">
        <v>33</v>
      </c>
      <c r="U993" t="s">
        <v>50</v>
      </c>
      <c r="V993">
        <v>582</v>
      </c>
      <c r="W993" s="14" t="str">
        <f t="shared" si="112"/>
        <v>47.00 + 31.00</v>
      </c>
      <c r="X993" s="14" t="str">
        <f t="shared" si="113"/>
        <v>37.00 + 38.00</v>
      </c>
      <c r="Y993" s="14" t="str">
        <f t="shared" si="114"/>
        <v>53.00 + 39.00</v>
      </c>
      <c r="Z993" s="14" t="str">
        <f t="shared" si="115"/>
        <v>46.00 + 39.00</v>
      </c>
      <c r="AA993" s="14" t="str">
        <f t="shared" si="116"/>
        <v>46.00 + 40.00</v>
      </c>
      <c r="AB993" s="14" t="str">
        <f t="shared" si="117"/>
        <v>41.00 + 27.00</v>
      </c>
      <c r="AC993" s="14" t="str">
        <f t="shared" si="118"/>
        <v xml:space="preserve"> - - + - - </v>
      </c>
      <c r="AD993" s="14" t="str">
        <f t="shared" si="119"/>
        <v xml:space="preserve"> - - + - - </v>
      </c>
    </row>
    <row r="994" spans="5:30">
      <c r="E994" s="25"/>
      <c r="F994" s="8" t="s">
        <v>42</v>
      </c>
      <c r="G994" s="9" t="s">
        <v>43</v>
      </c>
      <c r="H994" s="23" t="s">
        <v>43</v>
      </c>
      <c r="I994" s="24"/>
      <c r="J994" s="22"/>
      <c r="K994" s="23" t="s">
        <v>43</v>
      </c>
      <c r="L994" s="22"/>
      <c r="M994" s="9" t="s">
        <v>43</v>
      </c>
      <c r="N994" s="9" t="s">
        <v>43</v>
      </c>
      <c r="O994" s="9" t="s">
        <v>43</v>
      </c>
      <c r="P994" s="9" t="s">
        <v>91</v>
      </c>
      <c r="Q994" s="23" t="s">
        <v>43</v>
      </c>
      <c r="R994" s="22"/>
      <c r="S994" s="8" t="s">
        <v>33</v>
      </c>
      <c r="U994" t="s">
        <v>51</v>
      </c>
      <c r="V994">
        <v>700</v>
      </c>
      <c r="W994" s="14" t="str">
        <f t="shared" si="112"/>
        <v xml:space="preserve"> - - + - - </v>
      </c>
      <c r="X994" s="14" t="str">
        <f t="shared" si="113"/>
        <v xml:space="preserve"> - - + - - </v>
      </c>
      <c r="Y994" s="14" t="str">
        <f t="shared" si="114"/>
        <v xml:space="preserve"> - - + - - </v>
      </c>
      <c r="Z994" s="14" t="str">
        <f t="shared" si="115"/>
        <v xml:space="preserve"> - - + - - </v>
      </c>
      <c r="AA994" s="14" t="str">
        <f t="shared" si="116"/>
        <v xml:space="preserve"> - - + - - </v>
      </c>
      <c r="AB994" s="14" t="str">
        <f t="shared" si="117"/>
        <v xml:space="preserve"> - - + - - </v>
      </c>
      <c r="AC994" s="14" t="str">
        <f t="shared" si="118"/>
        <v xml:space="preserve"> - - +50.00</v>
      </c>
      <c r="AD994" s="14" t="str">
        <f t="shared" si="119"/>
        <v/>
      </c>
    </row>
    <row r="995" spans="5:30">
      <c r="E995" s="27"/>
      <c r="F995" s="8" t="s">
        <v>44</v>
      </c>
      <c r="G995" s="9" t="s">
        <v>33</v>
      </c>
      <c r="H995" s="23" t="s">
        <v>33</v>
      </c>
      <c r="I995" s="24"/>
      <c r="J995" s="22"/>
      <c r="K995" s="23" t="s">
        <v>33</v>
      </c>
      <c r="L995" s="22"/>
      <c r="M995" s="9" t="s">
        <v>33</v>
      </c>
      <c r="N995" s="9" t="s">
        <v>33</v>
      </c>
      <c r="O995" s="9" t="s">
        <v>33</v>
      </c>
      <c r="P995" s="9" t="s">
        <v>33</v>
      </c>
      <c r="Q995" s="23" t="s">
        <v>33</v>
      </c>
      <c r="R995" s="22"/>
      <c r="S995" s="8">
        <v>0</v>
      </c>
      <c r="U995" t="s">
        <v>170</v>
      </c>
      <c r="V995" t="s">
        <v>33</v>
      </c>
      <c r="W995" s="14" t="str">
        <f t="shared" si="112"/>
        <v/>
      </c>
      <c r="X995" s="14" t="str">
        <f t="shared" si="113"/>
        <v/>
      </c>
      <c r="Y995" s="14" t="str">
        <f t="shared" si="114"/>
        <v/>
      </c>
      <c r="Z995" s="14" t="str">
        <f t="shared" si="115"/>
        <v/>
      </c>
      <c r="AA995" s="14" t="str">
        <f t="shared" si="116"/>
        <v/>
      </c>
      <c r="AB995" s="14" t="str">
        <f t="shared" si="117"/>
        <v/>
      </c>
      <c r="AC995" s="14" t="str">
        <f t="shared" si="118"/>
        <v/>
      </c>
      <c r="AD995" s="14">
        <f t="shared" si="119"/>
        <v>2</v>
      </c>
    </row>
    <row r="996" spans="5:30">
      <c r="E996" s="29"/>
      <c r="F996" s="8" t="s">
        <v>45</v>
      </c>
      <c r="G996" s="9">
        <v>4</v>
      </c>
      <c r="H996" s="23">
        <v>4</v>
      </c>
      <c r="I996" s="24"/>
      <c r="J996" s="22"/>
      <c r="K996" s="23">
        <v>4</v>
      </c>
      <c r="L996" s="22"/>
      <c r="M996" s="9">
        <v>3</v>
      </c>
      <c r="N996" s="9">
        <v>3</v>
      </c>
      <c r="O996" s="9">
        <v>3</v>
      </c>
      <c r="P996" s="9">
        <v>2</v>
      </c>
      <c r="Q996" s="23">
        <v>2</v>
      </c>
      <c r="R996" s="22"/>
      <c r="S996" s="8">
        <v>25</v>
      </c>
      <c r="U996" t="s">
        <v>56</v>
      </c>
      <c r="V996" t="s">
        <v>33</v>
      </c>
      <c r="W996" s="14">
        <f t="shared" si="112"/>
        <v>4</v>
      </c>
      <c r="X996" s="14">
        <f t="shared" si="113"/>
        <v>4</v>
      </c>
      <c r="Y996" s="14">
        <f t="shared" si="114"/>
        <v>4</v>
      </c>
      <c r="Z996" s="14">
        <f t="shared" si="115"/>
        <v>3</v>
      </c>
      <c r="AA996" s="14">
        <f t="shared" si="116"/>
        <v>3</v>
      </c>
      <c r="AB996" s="14">
        <f t="shared" si="117"/>
        <v>3</v>
      </c>
      <c r="AC996" s="14">
        <f t="shared" si="118"/>
        <v>2</v>
      </c>
      <c r="AD996" s="14">
        <f t="shared" si="119"/>
        <v>10</v>
      </c>
    </row>
    <row r="997" spans="5:30">
      <c r="E997" s="6">
        <v>8.68</v>
      </c>
      <c r="F997" s="8" t="s">
        <v>47</v>
      </c>
      <c r="G997" s="9">
        <v>8</v>
      </c>
      <c r="H997" s="23">
        <v>8</v>
      </c>
      <c r="I997" s="24"/>
      <c r="J997" s="22"/>
      <c r="K997" s="23">
        <v>9.5</v>
      </c>
      <c r="L997" s="22"/>
      <c r="M997" s="9">
        <v>9</v>
      </c>
      <c r="N997" s="9">
        <v>9</v>
      </c>
      <c r="O997" s="9">
        <v>7</v>
      </c>
      <c r="P997" s="9">
        <v>10</v>
      </c>
      <c r="Q997" s="23">
        <v>10</v>
      </c>
      <c r="R997" s="22"/>
      <c r="S997" s="8" t="s">
        <v>33</v>
      </c>
      <c r="U997" t="s">
        <v>33</v>
      </c>
      <c r="V997" t="s">
        <v>33</v>
      </c>
      <c r="W997" s="14">
        <f t="shared" si="112"/>
        <v>8</v>
      </c>
      <c r="X997" s="14">
        <f t="shared" si="113"/>
        <v>8</v>
      </c>
      <c r="Y997" s="14">
        <f t="shared" si="114"/>
        <v>9.5</v>
      </c>
      <c r="Z997" s="14">
        <f t="shared" si="115"/>
        <v>9</v>
      </c>
      <c r="AA997" s="14">
        <f t="shared" si="116"/>
        <v>9</v>
      </c>
      <c r="AB997" s="14">
        <f t="shared" si="117"/>
        <v>7</v>
      </c>
      <c r="AC997" s="14">
        <f t="shared" si="118"/>
        <v>10</v>
      </c>
      <c r="AD997" s="14">
        <f t="shared" si="119"/>
        <v>20</v>
      </c>
    </row>
    <row r="998" spans="5:30">
      <c r="E998" s="10">
        <v>7.55</v>
      </c>
      <c r="F998" s="8" t="s">
        <v>49</v>
      </c>
      <c r="G998" s="9">
        <v>32</v>
      </c>
      <c r="H998" s="23">
        <v>32</v>
      </c>
      <c r="I998" s="24"/>
      <c r="J998" s="22"/>
      <c r="K998" s="23">
        <v>38</v>
      </c>
      <c r="L998" s="22"/>
      <c r="M998" s="9">
        <v>27</v>
      </c>
      <c r="N998" s="9">
        <v>27</v>
      </c>
      <c r="O998" s="9">
        <v>21</v>
      </c>
      <c r="P998" s="9">
        <v>20</v>
      </c>
      <c r="Q998" s="23">
        <v>20</v>
      </c>
      <c r="R998" s="22"/>
      <c r="S998" s="8">
        <v>217</v>
      </c>
      <c r="U998">
        <v>0</v>
      </c>
      <c r="V998">
        <v>0</v>
      </c>
      <c r="W998" s="14">
        <f t="shared" si="112"/>
        <v>32</v>
      </c>
      <c r="X998" s="14">
        <f t="shared" si="113"/>
        <v>32</v>
      </c>
      <c r="Y998" s="14">
        <f t="shared" si="114"/>
        <v>38</v>
      </c>
      <c r="Z998" s="14">
        <f t="shared" si="115"/>
        <v>27</v>
      </c>
      <c r="AA998" s="14">
        <f t="shared" si="116"/>
        <v>27</v>
      </c>
      <c r="AB998" s="14">
        <f t="shared" si="117"/>
        <v>21</v>
      </c>
      <c r="AC998" s="14">
        <f t="shared" si="118"/>
        <v>20</v>
      </c>
      <c r="AD998" s="14">
        <f t="shared" si="119"/>
        <v>48</v>
      </c>
    </row>
    <row r="999" spans="5:30">
      <c r="E999" s="4"/>
      <c r="F999" s="8" t="s">
        <v>36</v>
      </c>
      <c r="G999" s="9">
        <v>78</v>
      </c>
      <c r="H999" s="23">
        <v>75</v>
      </c>
      <c r="I999" s="24"/>
      <c r="J999" s="22"/>
      <c r="K999" s="23">
        <v>92</v>
      </c>
      <c r="L999" s="22"/>
      <c r="M999" s="9">
        <v>85</v>
      </c>
      <c r="N999" s="9">
        <v>86</v>
      </c>
      <c r="O999" s="9">
        <v>68</v>
      </c>
      <c r="P999" s="9">
        <v>50</v>
      </c>
      <c r="Q999" s="23">
        <v>48</v>
      </c>
      <c r="R999" s="22"/>
      <c r="S999" s="8">
        <v>582</v>
      </c>
      <c r="U999">
        <v>0</v>
      </c>
      <c r="V999">
        <v>0</v>
      </c>
      <c r="W999" s="14">
        <f t="shared" si="112"/>
        <v>78</v>
      </c>
      <c r="X999" s="14">
        <f t="shared" si="113"/>
        <v>75</v>
      </c>
      <c r="Y999" s="14">
        <f t="shared" si="114"/>
        <v>92</v>
      </c>
      <c r="Z999" s="14">
        <f t="shared" si="115"/>
        <v>85</v>
      </c>
      <c r="AA999" s="14">
        <f t="shared" si="116"/>
        <v>86</v>
      </c>
      <c r="AB999" s="14">
        <f t="shared" si="117"/>
        <v>68</v>
      </c>
      <c r="AC999" s="14">
        <f t="shared" si="118"/>
        <v>50</v>
      </c>
      <c r="AD999" s="14">
        <f t="shared" si="119"/>
        <v>50</v>
      </c>
    </row>
    <row r="1000" spans="5:30">
      <c r="E1000" s="6"/>
      <c r="F1000" s="8" t="s">
        <v>52</v>
      </c>
      <c r="G1000" s="9">
        <v>100</v>
      </c>
      <c r="H1000" s="23">
        <v>100</v>
      </c>
      <c r="I1000" s="24"/>
      <c r="J1000" s="22"/>
      <c r="K1000" s="23">
        <v>100</v>
      </c>
      <c r="L1000" s="22"/>
      <c r="M1000" s="9">
        <v>100</v>
      </c>
      <c r="N1000" s="9">
        <v>100</v>
      </c>
      <c r="O1000" s="9">
        <v>100</v>
      </c>
      <c r="P1000" s="9">
        <v>50</v>
      </c>
      <c r="Q1000" s="23">
        <v>50</v>
      </c>
      <c r="R1000" s="22"/>
      <c r="S1000" s="8">
        <v>700</v>
      </c>
      <c r="U1000">
        <v>0</v>
      </c>
      <c r="V1000">
        <v>0</v>
      </c>
      <c r="W1000" s="14">
        <f t="shared" si="112"/>
        <v>100</v>
      </c>
      <c r="X1000" s="14">
        <f t="shared" si="113"/>
        <v>100</v>
      </c>
      <c r="Y1000" s="14">
        <f t="shared" si="114"/>
        <v>100</v>
      </c>
      <c r="Z1000" s="14">
        <f t="shared" si="115"/>
        <v>100</v>
      </c>
      <c r="AA1000" s="14">
        <f t="shared" si="116"/>
        <v>100</v>
      </c>
      <c r="AB1000" s="14">
        <f t="shared" si="117"/>
        <v>100</v>
      </c>
      <c r="AC1000" s="14">
        <f t="shared" si="118"/>
        <v>50</v>
      </c>
      <c r="AD1000" s="14" t="str">
        <f t="shared" si="119"/>
        <v>OO+</v>
      </c>
    </row>
    <row r="1001" spans="5:30">
      <c r="E1001" s="4"/>
      <c r="F1001" s="8" t="s">
        <v>54</v>
      </c>
      <c r="G1001" s="9" t="s">
        <v>135</v>
      </c>
      <c r="H1001" s="23" t="s">
        <v>135</v>
      </c>
      <c r="I1001" s="24"/>
      <c r="J1001" s="22"/>
      <c r="K1001" s="23" t="s">
        <v>94</v>
      </c>
      <c r="L1001" s="22"/>
      <c r="M1001" s="9" t="s">
        <v>122</v>
      </c>
      <c r="N1001" s="9" t="s">
        <v>122</v>
      </c>
      <c r="O1001" s="9" t="s">
        <v>109</v>
      </c>
      <c r="P1001" s="9" t="s">
        <v>93</v>
      </c>
      <c r="Q1001" s="23" t="s">
        <v>93</v>
      </c>
      <c r="R1001" s="22"/>
      <c r="S1001" s="8" t="s">
        <v>33</v>
      </c>
      <c r="U1001">
        <v>0</v>
      </c>
      <c r="V1001">
        <v>0</v>
      </c>
      <c r="W1001" s="14" t="str">
        <f t="shared" si="112"/>
        <v>AA+</v>
      </c>
      <c r="X1001" s="14" t="str">
        <f t="shared" si="113"/>
        <v>AA+</v>
      </c>
      <c r="Y1001" s="14" t="str">
        <f t="shared" si="114"/>
        <v>OO</v>
      </c>
      <c r="Z1001" s="14" t="str">
        <f t="shared" si="115"/>
        <v>OA+</v>
      </c>
      <c r="AA1001" s="14" t="str">
        <f t="shared" si="116"/>
        <v>OA+</v>
      </c>
      <c r="AB1001" s="14" t="str">
        <f t="shared" si="117"/>
        <v>AB+</v>
      </c>
      <c r="AC1001" s="14" t="str">
        <f t="shared" si="118"/>
        <v>OO+</v>
      </c>
      <c r="AD1001" s="14" t="str">
        <f t="shared" si="119"/>
        <v>Pass</v>
      </c>
    </row>
    <row r="1002" spans="5:30">
      <c r="E1002" s="11" t="s">
        <v>632</v>
      </c>
      <c r="F1002" s="8" t="s">
        <v>58</v>
      </c>
      <c r="G1002" s="9" t="s">
        <v>59</v>
      </c>
      <c r="H1002" s="23" t="s">
        <v>59</v>
      </c>
      <c r="I1002" s="24"/>
      <c r="J1002" s="22"/>
      <c r="K1002" s="23" t="s">
        <v>59</v>
      </c>
      <c r="L1002" s="22"/>
      <c r="M1002" s="9" t="s">
        <v>59</v>
      </c>
      <c r="N1002" s="9" t="s">
        <v>59</v>
      </c>
      <c r="O1002" s="9" t="s">
        <v>59</v>
      </c>
      <c r="P1002" s="9" t="s">
        <v>59</v>
      </c>
      <c r="Q1002" s="23" t="s">
        <v>59</v>
      </c>
      <c r="R1002" s="22"/>
      <c r="S1002" s="8" t="s">
        <v>33</v>
      </c>
      <c r="U1002">
        <v>0</v>
      </c>
      <c r="V1002">
        <v>0</v>
      </c>
      <c r="W1002" s="14" t="str">
        <f t="shared" si="112"/>
        <v>Pass</v>
      </c>
      <c r="X1002" s="14" t="str">
        <f t="shared" si="113"/>
        <v>Pass</v>
      </c>
      <c r="Y1002" s="14" t="str">
        <f t="shared" si="114"/>
        <v>Pass</v>
      </c>
      <c r="Z1002" s="14" t="str">
        <f t="shared" si="115"/>
        <v>Pass</v>
      </c>
      <c r="AA1002" s="14" t="str">
        <f t="shared" si="116"/>
        <v>Pass</v>
      </c>
      <c r="AB1002" s="14" t="str">
        <f t="shared" si="117"/>
        <v>Pass</v>
      </c>
      <c r="AC1002" s="14" t="str">
        <f t="shared" si="118"/>
        <v>Pass</v>
      </c>
      <c r="AD1002" s="14" t="str">
        <f t="shared" si="119"/>
        <v/>
      </c>
    </row>
    <row r="1003" spans="5:30">
      <c r="E1003" s="12" t="s">
        <v>33</v>
      </c>
      <c r="F1003" s="12" t="s">
        <v>33</v>
      </c>
      <c r="G1003" s="13" t="s">
        <v>33</v>
      </c>
      <c r="H1003" s="20" t="s">
        <v>33</v>
      </c>
      <c r="I1003" s="18"/>
      <c r="J1003" s="18"/>
      <c r="K1003" s="20" t="s">
        <v>33</v>
      </c>
      <c r="L1003" s="18"/>
      <c r="M1003" s="13" t="s">
        <v>33</v>
      </c>
      <c r="N1003" s="13" t="s">
        <v>33</v>
      </c>
      <c r="O1003" s="13" t="s">
        <v>33</v>
      </c>
      <c r="P1003" s="13" t="s">
        <v>33</v>
      </c>
      <c r="Q1003" s="20" t="s">
        <v>33</v>
      </c>
      <c r="R1003" s="18"/>
      <c r="S1003" s="13" t="s">
        <v>33</v>
      </c>
    </row>
    <row r="1004" spans="5:30" ht="0" hidden="1" customHeight="1"/>
    <row r="1005" spans="5:30" ht="0" hidden="1" customHeight="1"/>
  </sheetData>
  <mergeCells count="2552">
    <mergeCell ref="E27:E29"/>
    <mergeCell ref="H27:J27"/>
    <mergeCell ref="H28:J28"/>
    <mergeCell ref="H29:J29"/>
    <mergeCell ref="H30:J30"/>
    <mergeCell ref="H31:J31"/>
    <mergeCell ref="H24:J24"/>
    <mergeCell ref="H25:J25"/>
    <mergeCell ref="H26:J26"/>
    <mergeCell ref="D2:Q2"/>
    <mergeCell ref="D4:U4"/>
    <mergeCell ref="E12:E14"/>
    <mergeCell ref="H51:J51"/>
    <mergeCell ref="E57:E59"/>
    <mergeCell ref="H47:J47"/>
    <mergeCell ref="H48:J48"/>
    <mergeCell ref="H49:J49"/>
    <mergeCell ref="H50:J50"/>
    <mergeCell ref="E42:E44"/>
    <mergeCell ref="H42:J42"/>
    <mergeCell ref="H43:J43"/>
    <mergeCell ref="H44:J44"/>
    <mergeCell ref="H45:J45"/>
    <mergeCell ref="H46:J46"/>
    <mergeCell ref="H36:J36"/>
    <mergeCell ref="H39:J39"/>
    <mergeCell ref="H40:J40"/>
    <mergeCell ref="H41:J41"/>
    <mergeCell ref="H32:J32"/>
    <mergeCell ref="H33:J33"/>
    <mergeCell ref="H34:J34"/>
    <mergeCell ref="H35:J35"/>
    <mergeCell ref="H73:J73"/>
    <mergeCell ref="K73:L73"/>
    <mergeCell ref="Q73:R73"/>
    <mergeCell ref="H74:J74"/>
    <mergeCell ref="K74:L74"/>
    <mergeCell ref="Q74:R74"/>
    <mergeCell ref="H70:J70"/>
    <mergeCell ref="K70:L70"/>
    <mergeCell ref="Q70:R70"/>
    <mergeCell ref="E71:E73"/>
    <mergeCell ref="H71:J71"/>
    <mergeCell ref="K71:L71"/>
    <mergeCell ref="Q71:R71"/>
    <mergeCell ref="H72:J72"/>
    <mergeCell ref="K72:L72"/>
    <mergeCell ref="Q72:R72"/>
    <mergeCell ref="H68:J68"/>
    <mergeCell ref="K68:L68"/>
    <mergeCell ref="Q68:R68"/>
    <mergeCell ref="H69:J69"/>
    <mergeCell ref="K69:L69"/>
    <mergeCell ref="Q69:R69"/>
    <mergeCell ref="H79:J79"/>
    <mergeCell ref="K79:L79"/>
    <mergeCell ref="Q79:R79"/>
    <mergeCell ref="H80:J80"/>
    <mergeCell ref="K80:L80"/>
    <mergeCell ref="Q80:R80"/>
    <mergeCell ref="H77:J77"/>
    <mergeCell ref="K77:L77"/>
    <mergeCell ref="Q77:R77"/>
    <mergeCell ref="H78:J78"/>
    <mergeCell ref="K78:L78"/>
    <mergeCell ref="Q78:R78"/>
    <mergeCell ref="H75:J75"/>
    <mergeCell ref="K75:L75"/>
    <mergeCell ref="Q75:R75"/>
    <mergeCell ref="H76:J76"/>
    <mergeCell ref="K76:L76"/>
    <mergeCell ref="Q76:R76"/>
    <mergeCell ref="H88:J88"/>
    <mergeCell ref="K88:L88"/>
    <mergeCell ref="Q88:R88"/>
    <mergeCell ref="H89:J89"/>
    <mergeCell ref="K89:L89"/>
    <mergeCell ref="Q89:R89"/>
    <mergeCell ref="H85:J85"/>
    <mergeCell ref="K85:L85"/>
    <mergeCell ref="Q85:R85"/>
    <mergeCell ref="E86:E88"/>
    <mergeCell ref="H86:J86"/>
    <mergeCell ref="K86:L86"/>
    <mergeCell ref="Q86:R86"/>
    <mergeCell ref="H87:J87"/>
    <mergeCell ref="K87:L87"/>
    <mergeCell ref="Q87:R87"/>
    <mergeCell ref="H83:J83"/>
    <mergeCell ref="K83:L83"/>
    <mergeCell ref="Q83:R83"/>
    <mergeCell ref="H84:J84"/>
    <mergeCell ref="K84:L84"/>
    <mergeCell ref="Q84:R84"/>
    <mergeCell ref="H94:J94"/>
    <mergeCell ref="K94:L94"/>
    <mergeCell ref="Q94:R94"/>
    <mergeCell ref="H95:J95"/>
    <mergeCell ref="K95:L95"/>
    <mergeCell ref="Q95:R95"/>
    <mergeCell ref="H92:J92"/>
    <mergeCell ref="K92:L92"/>
    <mergeCell ref="Q92:R92"/>
    <mergeCell ref="H93:J93"/>
    <mergeCell ref="K93:L93"/>
    <mergeCell ref="Q93:R93"/>
    <mergeCell ref="H90:J90"/>
    <mergeCell ref="K90:L90"/>
    <mergeCell ref="Q90:R90"/>
    <mergeCell ref="H91:J91"/>
    <mergeCell ref="K91:L91"/>
    <mergeCell ref="Q91:R91"/>
    <mergeCell ref="H103:J103"/>
    <mergeCell ref="K103:L103"/>
    <mergeCell ref="Q103:R103"/>
    <mergeCell ref="H104:J104"/>
    <mergeCell ref="K104:L104"/>
    <mergeCell ref="Q104:R104"/>
    <mergeCell ref="H100:J100"/>
    <mergeCell ref="K100:L100"/>
    <mergeCell ref="Q100:R100"/>
    <mergeCell ref="E101:E103"/>
    <mergeCell ref="H101:J101"/>
    <mergeCell ref="K101:L101"/>
    <mergeCell ref="Q101:R101"/>
    <mergeCell ref="H102:J102"/>
    <mergeCell ref="K102:L102"/>
    <mergeCell ref="Q102:R102"/>
    <mergeCell ref="H98:J98"/>
    <mergeCell ref="K98:L98"/>
    <mergeCell ref="Q98:R98"/>
    <mergeCell ref="H99:J99"/>
    <mergeCell ref="K99:L99"/>
    <mergeCell ref="Q99:R99"/>
    <mergeCell ref="H109:J109"/>
    <mergeCell ref="K109:L109"/>
    <mergeCell ref="Q109:R109"/>
    <mergeCell ref="H110:J110"/>
    <mergeCell ref="K110:L110"/>
    <mergeCell ref="Q110:R110"/>
    <mergeCell ref="H107:J107"/>
    <mergeCell ref="K107:L107"/>
    <mergeCell ref="Q107:R107"/>
    <mergeCell ref="H108:J108"/>
    <mergeCell ref="K108:L108"/>
    <mergeCell ref="Q108:R108"/>
    <mergeCell ref="H105:J105"/>
    <mergeCell ref="K105:L105"/>
    <mergeCell ref="Q105:R105"/>
    <mergeCell ref="H106:J106"/>
    <mergeCell ref="K106:L106"/>
    <mergeCell ref="Q106:R106"/>
    <mergeCell ref="H118:J118"/>
    <mergeCell ref="K118:L118"/>
    <mergeCell ref="Q118:R118"/>
    <mergeCell ref="H119:J119"/>
    <mergeCell ref="K119:L119"/>
    <mergeCell ref="Q119:R119"/>
    <mergeCell ref="H115:J115"/>
    <mergeCell ref="K115:L115"/>
    <mergeCell ref="Q115:R115"/>
    <mergeCell ref="E116:E118"/>
    <mergeCell ref="H116:J116"/>
    <mergeCell ref="K116:L116"/>
    <mergeCell ref="Q116:R116"/>
    <mergeCell ref="H117:J117"/>
    <mergeCell ref="K117:L117"/>
    <mergeCell ref="Q117:R117"/>
    <mergeCell ref="H113:J113"/>
    <mergeCell ref="K113:L113"/>
    <mergeCell ref="Q113:R113"/>
    <mergeCell ref="H114:J114"/>
    <mergeCell ref="K114:L114"/>
    <mergeCell ref="Q114:R114"/>
    <mergeCell ref="H124:J124"/>
    <mergeCell ref="K124:L124"/>
    <mergeCell ref="Q124:R124"/>
    <mergeCell ref="H125:J125"/>
    <mergeCell ref="K125:L125"/>
    <mergeCell ref="Q125:R125"/>
    <mergeCell ref="H122:J122"/>
    <mergeCell ref="K122:L122"/>
    <mergeCell ref="Q122:R122"/>
    <mergeCell ref="H123:J123"/>
    <mergeCell ref="K123:L123"/>
    <mergeCell ref="Q123:R123"/>
    <mergeCell ref="H120:J120"/>
    <mergeCell ref="K120:L120"/>
    <mergeCell ref="Q120:R120"/>
    <mergeCell ref="H121:J121"/>
    <mergeCell ref="K121:L121"/>
    <mergeCell ref="Q121:R121"/>
    <mergeCell ref="H133:J133"/>
    <mergeCell ref="K133:L133"/>
    <mergeCell ref="Q133:R133"/>
    <mergeCell ref="H134:J134"/>
    <mergeCell ref="K134:L134"/>
    <mergeCell ref="Q134:R134"/>
    <mergeCell ref="H130:J130"/>
    <mergeCell ref="K130:L130"/>
    <mergeCell ref="Q130:R130"/>
    <mergeCell ref="E131:E133"/>
    <mergeCell ref="H131:J131"/>
    <mergeCell ref="K131:L131"/>
    <mergeCell ref="Q131:R131"/>
    <mergeCell ref="H132:J132"/>
    <mergeCell ref="K132:L132"/>
    <mergeCell ref="Q132:R132"/>
    <mergeCell ref="H128:J128"/>
    <mergeCell ref="K128:L128"/>
    <mergeCell ref="Q128:R128"/>
    <mergeCell ref="H129:J129"/>
    <mergeCell ref="K129:L129"/>
    <mergeCell ref="Q129:R129"/>
    <mergeCell ref="H139:J139"/>
    <mergeCell ref="K139:L139"/>
    <mergeCell ref="Q139:R139"/>
    <mergeCell ref="H140:J140"/>
    <mergeCell ref="K140:L140"/>
    <mergeCell ref="Q140:R140"/>
    <mergeCell ref="H137:J137"/>
    <mergeCell ref="K137:L137"/>
    <mergeCell ref="Q137:R137"/>
    <mergeCell ref="H138:J138"/>
    <mergeCell ref="K138:L138"/>
    <mergeCell ref="Q138:R138"/>
    <mergeCell ref="H135:J135"/>
    <mergeCell ref="K135:L135"/>
    <mergeCell ref="Q135:R135"/>
    <mergeCell ref="H136:J136"/>
    <mergeCell ref="K136:L136"/>
    <mergeCell ref="Q136:R136"/>
    <mergeCell ref="H148:J148"/>
    <mergeCell ref="K148:L148"/>
    <mergeCell ref="Q148:R148"/>
    <mergeCell ref="H149:J149"/>
    <mergeCell ref="K149:L149"/>
    <mergeCell ref="Q149:R149"/>
    <mergeCell ref="H145:J145"/>
    <mergeCell ref="K145:L145"/>
    <mergeCell ref="Q145:R145"/>
    <mergeCell ref="E146:E148"/>
    <mergeCell ref="H146:J146"/>
    <mergeCell ref="K146:L146"/>
    <mergeCell ref="Q146:R146"/>
    <mergeCell ref="H147:J147"/>
    <mergeCell ref="K147:L147"/>
    <mergeCell ref="Q147:R147"/>
    <mergeCell ref="H143:J143"/>
    <mergeCell ref="K143:L143"/>
    <mergeCell ref="Q143:R143"/>
    <mergeCell ref="H144:J144"/>
    <mergeCell ref="K144:L144"/>
    <mergeCell ref="Q144:R144"/>
    <mergeCell ref="H154:J154"/>
    <mergeCell ref="K154:L154"/>
    <mergeCell ref="Q154:R154"/>
    <mergeCell ref="H155:J155"/>
    <mergeCell ref="K155:L155"/>
    <mergeCell ref="Q155:R155"/>
    <mergeCell ref="H152:J152"/>
    <mergeCell ref="K152:L152"/>
    <mergeCell ref="Q152:R152"/>
    <mergeCell ref="H153:J153"/>
    <mergeCell ref="K153:L153"/>
    <mergeCell ref="Q153:R153"/>
    <mergeCell ref="H150:J150"/>
    <mergeCell ref="K150:L150"/>
    <mergeCell ref="Q150:R150"/>
    <mergeCell ref="H151:J151"/>
    <mergeCell ref="K151:L151"/>
    <mergeCell ref="Q151:R151"/>
    <mergeCell ref="H163:J163"/>
    <mergeCell ref="K163:L163"/>
    <mergeCell ref="Q163:R163"/>
    <mergeCell ref="H164:J164"/>
    <mergeCell ref="K164:L164"/>
    <mergeCell ref="Q164:R164"/>
    <mergeCell ref="H160:J160"/>
    <mergeCell ref="K160:L160"/>
    <mergeCell ref="Q160:R160"/>
    <mergeCell ref="E161:E163"/>
    <mergeCell ref="H161:J161"/>
    <mergeCell ref="K161:L161"/>
    <mergeCell ref="Q161:R161"/>
    <mergeCell ref="H162:J162"/>
    <mergeCell ref="K162:L162"/>
    <mergeCell ref="Q162:R162"/>
    <mergeCell ref="H158:J158"/>
    <mergeCell ref="K158:L158"/>
    <mergeCell ref="Q158:R158"/>
    <mergeCell ref="H159:J159"/>
    <mergeCell ref="K159:L159"/>
    <mergeCell ref="Q159:R159"/>
    <mergeCell ref="H169:J169"/>
    <mergeCell ref="K169:L169"/>
    <mergeCell ref="Q169:R169"/>
    <mergeCell ref="H170:J170"/>
    <mergeCell ref="K170:L170"/>
    <mergeCell ref="Q170:R170"/>
    <mergeCell ref="H167:J167"/>
    <mergeCell ref="K167:L167"/>
    <mergeCell ref="Q167:R167"/>
    <mergeCell ref="H168:J168"/>
    <mergeCell ref="K168:L168"/>
    <mergeCell ref="Q168:R168"/>
    <mergeCell ref="H165:J165"/>
    <mergeCell ref="K165:L165"/>
    <mergeCell ref="Q165:R165"/>
    <mergeCell ref="H166:J166"/>
    <mergeCell ref="K166:L166"/>
    <mergeCell ref="Q166:R166"/>
    <mergeCell ref="H178:J178"/>
    <mergeCell ref="K178:L178"/>
    <mergeCell ref="Q178:R178"/>
    <mergeCell ref="H179:J179"/>
    <mergeCell ref="K179:L179"/>
    <mergeCell ref="Q179:R179"/>
    <mergeCell ref="H175:J175"/>
    <mergeCell ref="K175:L175"/>
    <mergeCell ref="Q175:R175"/>
    <mergeCell ref="E176:E178"/>
    <mergeCell ref="H176:J176"/>
    <mergeCell ref="K176:L176"/>
    <mergeCell ref="Q176:R176"/>
    <mergeCell ref="H177:J177"/>
    <mergeCell ref="K177:L177"/>
    <mergeCell ref="Q177:R177"/>
    <mergeCell ref="H173:J173"/>
    <mergeCell ref="K173:L173"/>
    <mergeCell ref="Q173:R173"/>
    <mergeCell ref="H174:J174"/>
    <mergeCell ref="K174:L174"/>
    <mergeCell ref="Q174:R174"/>
    <mergeCell ref="H184:J184"/>
    <mergeCell ref="K184:L184"/>
    <mergeCell ref="Q184:R184"/>
    <mergeCell ref="H185:J185"/>
    <mergeCell ref="K185:L185"/>
    <mergeCell ref="Q185:R185"/>
    <mergeCell ref="H182:J182"/>
    <mergeCell ref="K182:L182"/>
    <mergeCell ref="Q182:R182"/>
    <mergeCell ref="H183:J183"/>
    <mergeCell ref="K183:L183"/>
    <mergeCell ref="Q183:R183"/>
    <mergeCell ref="H180:J180"/>
    <mergeCell ref="K180:L180"/>
    <mergeCell ref="Q180:R180"/>
    <mergeCell ref="H181:J181"/>
    <mergeCell ref="K181:L181"/>
    <mergeCell ref="Q181:R181"/>
    <mergeCell ref="H193:J193"/>
    <mergeCell ref="K193:L193"/>
    <mergeCell ref="Q193:R193"/>
    <mergeCell ref="H194:J194"/>
    <mergeCell ref="K194:L194"/>
    <mergeCell ref="Q194:R194"/>
    <mergeCell ref="H190:J190"/>
    <mergeCell ref="K190:L190"/>
    <mergeCell ref="Q190:R190"/>
    <mergeCell ref="E191:E193"/>
    <mergeCell ref="H191:J191"/>
    <mergeCell ref="K191:L191"/>
    <mergeCell ref="Q191:R191"/>
    <mergeCell ref="H192:J192"/>
    <mergeCell ref="K192:L192"/>
    <mergeCell ref="Q192:R192"/>
    <mergeCell ref="H188:J188"/>
    <mergeCell ref="K188:L188"/>
    <mergeCell ref="Q188:R188"/>
    <mergeCell ref="H189:J189"/>
    <mergeCell ref="K189:L189"/>
    <mergeCell ref="Q189:R189"/>
    <mergeCell ref="H199:J199"/>
    <mergeCell ref="K199:L199"/>
    <mergeCell ref="Q199:R199"/>
    <mergeCell ref="H200:J200"/>
    <mergeCell ref="K200:L200"/>
    <mergeCell ref="Q200:R200"/>
    <mergeCell ref="H197:J197"/>
    <mergeCell ref="K197:L197"/>
    <mergeCell ref="Q197:R197"/>
    <mergeCell ref="H198:J198"/>
    <mergeCell ref="K198:L198"/>
    <mergeCell ref="Q198:R198"/>
    <mergeCell ref="H195:J195"/>
    <mergeCell ref="K195:L195"/>
    <mergeCell ref="Q195:R195"/>
    <mergeCell ref="H196:J196"/>
    <mergeCell ref="K196:L196"/>
    <mergeCell ref="Q196:R196"/>
    <mergeCell ref="H207:J207"/>
    <mergeCell ref="K207:L207"/>
    <mergeCell ref="Q207:R207"/>
    <mergeCell ref="H208:J208"/>
    <mergeCell ref="K208:L208"/>
    <mergeCell ref="Q208:R208"/>
    <mergeCell ref="H204:J204"/>
    <mergeCell ref="K204:L204"/>
    <mergeCell ref="Q204:R204"/>
    <mergeCell ref="E205:E207"/>
    <mergeCell ref="H205:J205"/>
    <mergeCell ref="K205:L205"/>
    <mergeCell ref="Q205:R205"/>
    <mergeCell ref="H206:J206"/>
    <mergeCell ref="K206:L206"/>
    <mergeCell ref="Q206:R206"/>
    <mergeCell ref="H202:J202"/>
    <mergeCell ref="K202:L202"/>
    <mergeCell ref="Q202:R202"/>
    <mergeCell ref="H203:J203"/>
    <mergeCell ref="K203:L203"/>
    <mergeCell ref="Q203:R203"/>
    <mergeCell ref="H213:J213"/>
    <mergeCell ref="K213:L213"/>
    <mergeCell ref="Q213:R213"/>
    <mergeCell ref="H214:J214"/>
    <mergeCell ref="K214:L214"/>
    <mergeCell ref="Q214:R214"/>
    <mergeCell ref="H211:J211"/>
    <mergeCell ref="K211:L211"/>
    <mergeCell ref="Q211:R211"/>
    <mergeCell ref="H212:J212"/>
    <mergeCell ref="K212:L212"/>
    <mergeCell ref="Q212:R212"/>
    <mergeCell ref="H209:J209"/>
    <mergeCell ref="K209:L209"/>
    <mergeCell ref="Q209:R209"/>
    <mergeCell ref="H210:J210"/>
    <mergeCell ref="K210:L210"/>
    <mergeCell ref="Q210:R210"/>
    <mergeCell ref="H222:J222"/>
    <mergeCell ref="K222:L222"/>
    <mergeCell ref="Q222:R222"/>
    <mergeCell ref="H223:J223"/>
    <mergeCell ref="K223:L223"/>
    <mergeCell ref="Q223:R223"/>
    <mergeCell ref="H219:J219"/>
    <mergeCell ref="K219:L219"/>
    <mergeCell ref="Q219:R219"/>
    <mergeCell ref="E220:E222"/>
    <mergeCell ref="H220:J220"/>
    <mergeCell ref="K220:L220"/>
    <mergeCell ref="Q220:R220"/>
    <mergeCell ref="H221:J221"/>
    <mergeCell ref="K221:L221"/>
    <mergeCell ref="Q221:R221"/>
    <mergeCell ref="H217:J217"/>
    <mergeCell ref="K217:L217"/>
    <mergeCell ref="Q217:R217"/>
    <mergeCell ref="H218:J218"/>
    <mergeCell ref="K218:L218"/>
    <mergeCell ref="Q218:R218"/>
    <mergeCell ref="H228:J228"/>
    <mergeCell ref="K228:L228"/>
    <mergeCell ref="Q228:R228"/>
    <mergeCell ref="H229:J229"/>
    <mergeCell ref="K229:L229"/>
    <mergeCell ref="Q229:R229"/>
    <mergeCell ref="H226:J226"/>
    <mergeCell ref="K226:L226"/>
    <mergeCell ref="Q226:R226"/>
    <mergeCell ref="H227:J227"/>
    <mergeCell ref="K227:L227"/>
    <mergeCell ref="Q227:R227"/>
    <mergeCell ref="H224:J224"/>
    <mergeCell ref="K224:L224"/>
    <mergeCell ref="Q224:R224"/>
    <mergeCell ref="H225:J225"/>
    <mergeCell ref="K225:L225"/>
    <mergeCell ref="Q225:R225"/>
    <mergeCell ref="H237:J237"/>
    <mergeCell ref="K237:L237"/>
    <mergeCell ref="Q237:R237"/>
    <mergeCell ref="H238:J238"/>
    <mergeCell ref="K238:L238"/>
    <mergeCell ref="Q238:R238"/>
    <mergeCell ref="H234:J234"/>
    <mergeCell ref="K234:L234"/>
    <mergeCell ref="Q234:R234"/>
    <mergeCell ref="E235:E237"/>
    <mergeCell ref="H235:J235"/>
    <mergeCell ref="K235:L235"/>
    <mergeCell ref="Q235:R235"/>
    <mergeCell ref="H236:J236"/>
    <mergeCell ref="K236:L236"/>
    <mergeCell ref="Q236:R236"/>
    <mergeCell ref="H232:J232"/>
    <mergeCell ref="K232:L232"/>
    <mergeCell ref="Q232:R232"/>
    <mergeCell ref="H233:J233"/>
    <mergeCell ref="K233:L233"/>
    <mergeCell ref="Q233:R233"/>
    <mergeCell ref="H243:J243"/>
    <mergeCell ref="K243:L243"/>
    <mergeCell ref="Q243:R243"/>
    <mergeCell ref="H244:J244"/>
    <mergeCell ref="K244:L244"/>
    <mergeCell ref="Q244:R244"/>
    <mergeCell ref="H241:J241"/>
    <mergeCell ref="K241:L241"/>
    <mergeCell ref="Q241:R241"/>
    <mergeCell ref="H242:J242"/>
    <mergeCell ref="K242:L242"/>
    <mergeCell ref="Q242:R242"/>
    <mergeCell ref="H239:J239"/>
    <mergeCell ref="K239:L239"/>
    <mergeCell ref="Q239:R239"/>
    <mergeCell ref="H240:J240"/>
    <mergeCell ref="K240:L240"/>
    <mergeCell ref="Q240:R240"/>
    <mergeCell ref="H252:J252"/>
    <mergeCell ref="K252:L252"/>
    <mergeCell ref="Q252:R252"/>
    <mergeCell ref="H253:J253"/>
    <mergeCell ref="K253:L253"/>
    <mergeCell ref="Q253:R253"/>
    <mergeCell ref="H249:J249"/>
    <mergeCell ref="K249:L249"/>
    <mergeCell ref="Q249:R249"/>
    <mergeCell ref="E250:E252"/>
    <mergeCell ref="H250:J250"/>
    <mergeCell ref="K250:L250"/>
    <mergeCell ref="Q250:R250"/>
    <mergeCell ref="H251:J251"/>
    <mergeCell ref="K251:L251"/>
    <mergeCell ref="Q251:R251"/>
    <mergeCell ref="H247:J247"/>
    <mergeCell ref="K247:L247"/>
    <mergeCell ref="Q247:R247"/>
    <mergeCell ref="H248:J248"/>
    <mergeCell ref="K248:L248"/>
    <mergeCell ref="Q248:R248"/>
    <mergeCell ref="H258:J258"/>
    <mergeCell ref="K258:L258"/>
    <mergeCell ref="Q258:R258"/>
    <mergeCell ref="H259:J259"/>
    <mergeCell ref="K259:L259"/>
    <mergeCell ref="Q259:R259"/>
    <mergeCell ref="H256:J256"/>
    <mergeCell ref="K256:L256"/>
    <mergeCell ref="Q256:R256"/>
    <mergeCell ref="H257:J257"/>
    <mergeCell ref="K257:L257"/>
    <mergeCell ref="Q257:R257"/>
    <mergeCell ref="H254:J254"/>
    <mergeCell ref="K254:L254"/>
    <mergeCell ref="Q254:R254"/>
    <mergeCell ref="H255:J255"/>
    <mergeCell ref="K255:L255"/>
    <mergeCell ref="Q255:R255"/>
    <mergeCell ref="H267:J267"/>
    <mergeCell ref="K267:L267"/>
    <mergeCell ref="Q267:R267"/>
    <mergeCell ref="H268:J268"/>
    <mergeCell ref="K268:L268"/>
    <mergeCell ref="Q268:R268"/>
    <mergeCell ref="H264:J264"/>
    <mergeCell ref="K264:L264"/>
    <mergeCell ref="Q264:R264"/>
    <mergeCell ref="E265:E267"/>
    <mergeCell ref="H265:J265"/>
    <mergeCell ref="K265:L265"/>
    <mergeCell ref="Q265:R265"/>
    <mergeCell ref="H266:J266"/>
    <mergeCell ref="K266:L266"/>
    <mergeCell ref="Q266:R266"/>
    <mergeCell ref="H262:J262"/>
    <mergeCell ref="K262:L262"/>
    <mergeCell ref="Q262:R262"/>
    <mergeCell ref="H263:J263"/>
    <mergeCell ref="K263:L263"/>
    <mergeCell ref="Q263:R263"/>
    <mergeCell ref="H273:J273"/>
    <mergeCell ref="K273:L273"/>
    <mergeCell ref="Q273:R273"/>
    <mergeCell ref="H274:J274"/>
    <mergeCell ref="K274:L274"/>
    <mergeCell ref="Q274:R274"/>
    <mergeCell ref="H271:J271"/>
    <mergeCell ref="K271:L271"/>
    <mergeCell ref="Q271:R271"/>
    <mergeCell ref="H272:J272"/>
    <mergeCell ref="K272:L272"/>
    <mergeCell ref="Q272:R272"/>
    <mergeCell ref="H269:J269"/>
    <mergeCell ref="K269:L269"/>
    <mergeCell ref="Q269:R269"/>
    <mergeCell ref="H270:J270"/>
    <mergeCell ref="K270:L270"/>
    <mergeCell ref="Q270:R270"/>
    <mergeCell ref="H282:J282"/>
    <mergeCell ref="K282:L282"/>
    <mergeCell ref="Q282:R282"/>
    <mergeCell ref="H283:J283"/>
    <mergeCell ref="K283:L283"/>
    <mergeCell ref="Q283:R283"/>
    <mergeCell ref="H279:J279"/>
    <mergeCell ref="K279:L279"/>
    <mergeCell ref="Q279:R279"/>
    <mergeCell ref="E280:E282"/>
    <mergeCell ref="H280:J280"/>
    <mergeCell ref="K280:L280"/>
    <mergeCell ref="Q280:R280"/>
    <mergeCell ref="H281:J281"/>
    <mergeCell ref="K281:L281"/>
    <mergeCell ref="Q281:R281"/>
    <mergeCell ref="H277:J277"/>
    <mergeCell ref="K277:L277"/>
    <mergeCell ref="Q277:R277"/>
    <mergeCell ref="H278:J278"/>
    <mergeCell ref="K278:L278"/>
    <mergeCell ref="Q278:R278"/>
    <mergeCell ref="H288:J288"/>
    <mergeCell ref="K288:L288"/>
    <mergeCell ref="Q288:R288"/>
    <mergeCell ref="H289:J289"/>
    <mergeCell ref="K289:L289"/>
    <mergeCell ref="Q289:R289"/>
    <mergeCell ref="H286:J286"/>
    <mergeCell ref="K286:L286"/>
    <mergeCell ref="Q286:R286"/>
    <mergeCell ref="H287:J287"/>
    <mergeCell ref="K287:L287"/>
    <mergeCell ref="Q287:R287"/>
    <mergeCell ref="H284:J284"/>
    <mergeCell ref="K284:L284"/>
    <mergeCell ref="Q284:R284"/>
    <mergeCell ref="H285:J285"/>
    <mergeCell ref="K285:L285"/>
    <mergeCell ref="Q285:R285"/>
    <mergeCell ref="H297:J297"/>
    <mergeCell ref="K297:L297"/>
    <mergeCell ref="Q297:R297"/>
    <mergeCell ref="H298:J298"/>
    <mergeCell ref="K298:L298"/>
    <mergeCell ref="Q298:R298"/>
    <mergeCell ref="H294:J294"/>
    <mergeCell ref="K294:L294"/>
    <mergeCell ref="Q294:R294"/>
    <mergeCell ref="E295:E297"/>
    <mergeCell ref="H295:J295"/>
    <mergeCell ref="K295:L295"/>
    <mergeCell ref="Q295:R295"/>
    <mergeCell ref="H296:J296"/>
    <mergeCell ref="K296:L296"/>
    <mergeCell ref="Q296:R296"/>
    <mergeCell ref="H292:J292"/>
    <mergeCell ref="K292:L292"/>
    <mergeCell ref="Q292:R292"/>
    <mergeCell ref="H293:J293"/>
    <mergeCell ref="K293:L293"/>
    <mergeCell ref="Q293:R293"/>
    <mergeCell ref="H303:J303"/>
    <mergeCell ref="K303:L303"/>
    <mergeCell ref="Q303:R303"/>
    <mergeCell ref="H304:J304"/>
    <mergeCell ref="K304:L304"/>
    <mergeCell ref="Q304:R304"/>
    <mergeCell ref="H301:J301"/>
    <mergeCell ref="K301:L301"/>
    <mergeCell ref="Q301:R301"/>
    <mergeCell ref="H302:J302"/>
    <mergeCell ref="K302:L302"/>
    <mergeCell ref="Q302:R302"/>
    <mergeCell ref="H299:J299"/>
    <mergeCell ref="K299:L299"/>
    <mergeCell ref="Q299:R299"/>
    <mergeCell ref="H300:J300"/>
    <mergeCell ref="K300:L300"/>
    <mergeCell ref="Q300:R300"/>
    <mergeCell ref="H312:J312"/>
    <mergeCell ref="K312:L312"/>
    <mergeCell ref="Q312:R312"/>
    <mergeCell ref="H313:J313"/>
    <mergeCell ref="K313:L313"/>
    <mergeCell ref="Q313:R313"/>
    <mergeCell ref="H309:J309"/>
    <mergeCell ref="K309:L309"/>
    <mergeCell ref="Q309:R309"/>
    <mergeCell ref="E310:E312"/>
    <mergeCell ref="H310:J310"/>
    <mergeCell ref="K310:L310"/>
    <mergeCell ref="Q310:R310"/>
    <mergeCell ref="H311:J311"/>
    <mergeCell ref="K311:L311"/>
    <mergeCell ref="Q311:R311"/>
    <mergeCell ref="H307:J307"/>
    <mergeCell ref="K307:L307"/>
    <mergeCell ref="Q307:R307"/>
    <mergeCell ref="H308:J308"/>
    <mergeCell ref="K308:L308"/>
    <mergeCell ref="Q308:R308"/>
    <mergeCell ref="H318:J318"/>
    <mergeCell ref="K318:L318"/>
    <mergeCell ref="Q318:R318"/>
    <mergeCell ref="H319:J319"/>
    <mergeCell ref="K319:L319"/>
    <mergeCell ref="Q319:R319"/>
    <mergeCell ref="H316:J316"/>
    <mergeCell ref="K316:L316"/>
    <mergeCell ref="Q316:R316"/>
    <mergeCell ref="H317:J317"/>
    <mergeCell ref="K317:L317"/>
    <mergeCell ref="Q317:R317"/>
    <mergeCell ref="H314:J314"/>
    <mergeCell ref="K314:L314"/>
    <mergeCell ref="Q314:R314"/>
    <mergeCell ref="H315:J315"/>
    <mergeCell ref="K315:L315"/>
    <mergeCell ref="Q315:R315"/>
    <mergeCell ref="H327:J327"/>
    <mergeCell ref="K327:L327"/>
    <mergeCell ref="Q327:R327"/>
    <mergeCell ref="H328:J328"/>
    <mergeCell ref="K328:L328"/>
    <mergeCell ref="Q328:R328"/>
    <mergeCell ref="H324:J324"/>
    <mergeCell ref="K324:L324"/>
    <mergeCell ref="Q324:R324"/>
    <mergeCell ref="E325:E327"/>
    <mergeCell ref="H325:J325"/>
    <mergeCell ref="K325:L325"/>
    <mergeCell ref="Q325:R325"/>
    <mergeCell ref="H326:J326"/>
    <mergeCell ref="K326:L326"/>
    <mergeCell ref="Q326:R326"/>
    <mergeCell ref="H322:J322"/>
    <mergeCell ref="K322:L322"/>
    <mergeCell ref="Q322:R322"/>
    <mergeCell ref="H323:J323"/>
    <mergeCell ref="K323:L323"/>
    <mergeCell ref="Q323:R323"/>
    <mergeCell ref="H333:J333"/>
    <mergeCell ref="K333:L333"/>
    <mergeCell ref="Q333:R333"/>
    <mergeCell ref="H334:J334"/>
    <mergeCell ref="K334:L334"/>
    <mergeCell ref="Q334:R334"/>
    <mergeCell ref="H331:J331"/>
    <mergeCell ref="K331:L331"/>
    <mergeCell ref="Q331:R331"/>
    <mergeCell ref="H332:J332"/>
    <mergeCell ref="K332:L332"/>
    <mergeCell ref="Q332:R332"/>
    <mergeCell ref="H329:J329"/>
    <mergeCell ref="K329:L329"/>
    <mergeCell ref="Q329:R329"/>
    <mergeCell ref="H330:J330"/>
    <mergeCell ref="K330:L330"/>
    <mergeCell ref="Q330:R330"/>
    <mergeCell ref="H341:J341"/>
    <mergeCell ref="K341:L341"/>
    <mergeCell ref="Q341:R341"/>
    <mergeCell ref="H342:J342"/>
    <mergeCell ref="K342:L342"/>
    <mergeCell ref="Q342:R342"/>
    <mergeCell ref="H338:J338"/>
    <mergeCell ref="K338:L338"/>
    <mergeCell ref="Q338:R338"/>
    <mergeCell ref="E339:E341"/>
    <mergeCell ref="H339:J339"/>
    <mergeCell ref="K339:L339"/>
    <mergeCell ref="Q339:R339"/>
    <mergeCell ref="H340:J340"/>
    <mergeCell ref="K340:L340"/>
    <mergeCell ref="Q340:R340"/>
    <mergeCell ref="H336:J336"/>
    <mergeCell ref="K336:L336"/>
    <mergeCell ref="Q336:R336"/>
    <mergeCell ref="H337:J337"/>
    <mergeCell ref="K337:L337"/>
    <mergeCell ref="Q337:R337"/>
    <mergeCell ref="H347:J347"/>
    <mergeCell ref="K347:L347"/>
    <mergeCell ref="Q347:R347"/>
    <mergeCell ref="H348:J348"/>
    <mergeCell ref="K348:L348"/>
    <mergeCell ref="Q348:R348"/>
    <mergeCell ref="H345:J345"/>
    <mergeCell ref="K345:L345"/>
    <mergeCell ref="Q345:R345"/>
    <mergeCell ref="H346:J346"/>
    <mergeCell ref="K346:L346"/>
    <mergeCell ref="Q346:R346"/>
    <mergeCell ref="H343:J343"/>
    <mergeCell ref="K343:L343"/>
    <mergeCell ref="Q343:R343"/>
    <mergeCell ref="H344:J344"/>
    <mergeCell ref="K344:L344"/>
    <mergeCell ref="Q344:R344"/>
    <mergeCell ref="H356:J356"/>
    <mergeCell ref="K356:L356"/>
    <mergeCell ref="Q356:R356"/>
    <mergeCell ref="H357:J357"/>
    <mergeCell ref="K357:L357"/>
    <mergeCell ref="Q357:R357"/>
    <mergeCell ref="H353:J353"/>
    <mergeCell ref="K353:L353"/>
    <mergeCell ref="Q353:R353"/>
    <mergeCell ref="E354:E356"/>
    <mergeCell ref="H354:J354"/>
    <mergeCell ref="K354:L354"/>
    <mergeCell ref="Q354:R354"/>
    <mergeCell ref="H355:J355"/>
    <mergeCell ref="K355:L355"/>
    <mergeCell ref="Q355:R355"/>
    <mergeCell ref="H351:J351"/>
    <mergeCell ref="K351:L351"/>
    <mergeCell ref="Q351:R351"/>
    <mergeCell ref="H352:J352"/>
    <mergeCell ref="K352:L352"/>
    <mergeCell ref="Q352:R352"/>
    <mergeCell ref="H362:J362"/>
    <mergeCell ref="K362:L362"/>
    <mergeCell ref="Q362:R362"/>
    <mergeCell ref="H363:J363"/>
    <mergeCell ref="K363:L363"/>
    <mergeCell ref="Q363:R363"/>
    <mergeCell ref="H360:J360"/>
    <mergeCell ref="K360:L360"/>
    <mergeCell ref="Q360:R360"/>
    <mergeCell ref="H361:J361"/>
    <mergeCell ref="K361:L361"/>
    <mergeCell ref="Q361:R361"/>
    <mergeCell ref="H358:J358"/>
    <mergeCell ref="K358:L358"/>
    <mergeCell ref="Q358:R358"/>
    <mergeCell ref="H359:J359"/>
    <mergeCell ref="K359:L359"/>
    <mergeCell ref="Q359:R359"/>
    <mergeCell ref="H371:J371"/>
    <mergeCell ref="K371:L371"/>
    <mergeCell ref="Q371:R371"/>
    <mergeCell ref="H372:J372"/>
    <mergeCell ref="K372:L372"/>
    <mergeCell ref="Q372:R372"/>
    <mergeCell ref="H368:J368"/>
    <mergeCell ref="K368:L368"/>
    <mergeCell ref="Q368:R368"/>
    <mergeCell ref="E369:E371"/>
    <mergeCell ref="H369:J369"/>
    <mergeCell ref="K369:L369"/>
    <mergeCell ref="Q369:R369"/>
    <mergeCell ref="H370:J370"/>
    <mergeCell ref="K370:L370"/>
    <mergeCell ref="Q370:R370"/>
    <mergeCell ref="H366:J366"/>
    <mergeCell ref="K366:L366"/>
    <mergeCell ref="Q366:R366"/>
    <mergeCell ref="H367:J367"/>
    <mergeCell ref="K367:L367"/>
    <mergeCell ref="Q367:R367"/>
    <mergeCell ref="H377:J377"/>
    <mergeCell ref="K377:L377"/>
    <mergeCell ref="Q377:R377"/>
    <mergeCell ref="H378:J378"/>
    <mergeCell ref="K378:L378"/>
    <mergeCell ref="Q378:R378"/>
    <mergeCell ref="H375:J375"/>
    <mergeCell ref="K375:L375"/>
    <mergeCell ref="Q375:R375"/>
    <mergeCell ref="H376:J376"/>
    <mergeCell ref="K376:L376"/>
    <mergeCell ref="Q376:R376"/>
    <mergeCell ref="H373:J373"/>
    <mergeCell ref="K373:L373"/>
    <mergeCell ref="Q373:R373"/>
    <mergeCell ref="H374:J374"/>
    <mergeCell ref="K374:L374"/>
    <mergeCell ref="Q374:R374"/>
    <mergeCell ref="H386:J386"/>
    <mergeCell ref="K386:L386"/>
    <mergeCell ref="Q386:R386"/>
    <mergeCell ref="H387:J387"/>
    <mergeCell ref="K387:L387"/>
    <mergeCell ref="Q387:R387"/>
    <mergeCell ref="H383:J383"/>
    <mergeCell ref="K383:L383"/>
    <mergeCell ref="Q383:R383"/>
    <mergeCell ref="E384:E386"/>
    <mergeCell ref="H384:J384"/>
    <mergeCell ref="K384:L384"/>
    <mergeCell ref="Q384:R384"/>
    <mergeCell ref="H385:J385"/>
    <mergeCell ref="K385:L385"/>
    <mergeCell ref="Q385:R385"/>
    <mergeCell ref="H381:J381"/>
    <mergeCell ref="K381:L381"/>
    <mergeCell ref="Q381:R381"/>
    <mergeCell ref="H382:J382"/>
    <mergeCell ref="K382:L382"/>
    <mergeCell ref="Q382:R382"/>
    <mergeCell ref="H392:J392"/>
    <mergeCell ref="K392:L392"/>
    <mergeCell ref="Q392:R392"/>
    <mergeCell ref="H393:J393"/>
    <mergeCell ref="K393:L393"/>
    <mergeCell ref="Q393:R393"/>
    <mergeCell ref="H390:J390"/>
    <mergeCell ref="K390:L390"/>
    <mergeCell ref="Q390:R390"/>
    <mergeCell ref="H391:J391"/>
    <mergeCell ref="K391:L391"/>
    <mergeCell ref="Q391:R391"/>
    <mergeCell ref="H388:J388"/>
    <mergeCell ref="K388:L388"/>
    <mergeCell ref="Q388:R388"/>
    <mergeCell ref="H389:J389"/>
    <mergeCell ref="K389:L389"/>
    <mergeCell ref="Q389:R389"/>
    <mergeCell ref="H401:J401"/>
    <mergeCell ref="K401:L401"/>
    <mergeCell ref="Q401:R401"/>
    <mergeCell ref="H402:J402"/>
    <mergeCell ref="K402:L402"/>
    <mergeCell ref="Q402:R402"/>
    <mergeCell ref="H398:J398"/>
    <mergeCell ref="K398:L398"/>
    <mergeCell ref="Q398:R398"/>
    <mergeCell ref="E399:E401"/>
    <mergeCell ref="H399:J399"/>
    <mergeCell ref="K399:L399"/>
    <mergeCell ref="Q399:R399"/>
    <mergeCell ref="H400:J400"/>
    <mergeCell ref="K400:L400"/>
    <mergeCell ref="Q400:R400"/>
    <mergeCell ref="H396:J396"/>
    <mergeCell ref="K396:L396"/>
    <mergeCell ref="Q396:R396"/>
    <mergeCell ref="H397:J397"/>
    <mergeCell ref="K397:L397"/>
    <mergeCell ref="Q397:R397"/>
    <mergeCell ref="H407:J407"/>
    <mergeCell ref="K407:L407"/>
    <mergeCell ref="Q407:R407"/>
    <mergeCell ref="H408:J408"/>
    <mergeCell ref="K408:L408"/>
    <mergeCell ref="Q408:R408"/>
    <mergeCell ref="H405:J405"/>
    <mergeCell ref="K405:L405"/>
    <mergeCell ref="Q405:R405"/>
    <mergeCell ref="H406:J406"/>
    <mergeCell ref="K406:L406"/>
    <mergeCell ref="Q406:R406"/>
    <mergeCell ref="H403:J403"/>
    <mergeCell ref="K403:L403"/>
    <mergeCell ref="Q403:R403"/>
    <mergeCell ref="H404:J404"/>
    <mergeCell ref="K404:L404"/>
    <mergeCell ref="Q404:R404"/>
    <mergeCell ref="H416:J416"/>
    <mergeCell ref="K416:L416"/>
    <mergeCell ref="Q416:R416"/>
    <mergeCell ref="H417:J417"/>
    <mergeCell ref="K417:L417"/>
    <mergeCell ref="Q417:R417"/>
    <mergeCell ref="H413:J413"/>
    <mergeCell ref="K413:L413"/>
    <mergeCell ref="Q413:R413"/>
    <mergeCell ref="E414:E416"/>
    <mergeCell ref="H414:J414"/>
    <mergeCell ref="K414:L414"/>
    <mergeCell ref="Q414:R414"/>
    <mergeCell ref="H415:J415"/>
    <mergeCell ref="K415:L415"/>
    <mergeCell ref="Q415:R415"/>
    <mergeCell ref="H411:J411"/>
    <mergeCell ref="K411:L411"/>
    <mergeCell ref="Q411:R411"/>
    <mergeCell ref="H412:J412"/>
    <mergeCell ref="K412:L412"/>
    <mergeCell ref="Q412:R412"/>
    <mergeCell ref="H422:J422"/>
    <mergeCell ref="K422:L422"/>
    <mergeCell ref="Q422:R422"/>
    <mergeCell ref="H423:J423"/>
    <mergeCell ref="K423:L423"/>
    <mergeCell ref="Q423:R423"/>
    <mergeCell ref="H420:J420"/>
    <mergeCell ref="K420:L420"/>
    <mergeCell ref="Q420:R420"/>
    <mergeCell ref="H421:J421"/>
    <mergeCell ref="K421:L421"/>
    <mergeCell ref="Q421:R421"/>
    <mergeCell ref="H418:J418"/>
    <mergeCell ref="K418:L418"/>
    <mergeCell ref="Q418:R418"/>
    <mergeCell ref="H419:J419"/>
    <mergeCell ref="K419:L419"/>
    <mergeCell ref="Q419:R419"/>
    <mergeCell ref="H431:J431"/>
    <mergeCell ref="K431:L431"/>
    <mergeCell ref="Q431:R431"/>
    <mergeCell ref="H432:J432"/>
    <mergeCell ref="K432:L432"/>
    <mergeCell ref="Q432:R432"/>
    <mergeCell ref="H428:J428"/>
    <mergeCell ref="K428:L428"/>
    <mergeCell ref="Q428:R428"/>
    <mergeCell ref="E429:E431"/>
    <mergeCell ref="H429:J429"/>
    <mergeCell ref="K429:L429"/>
    <mergeCell ref="Q429:R429"/>
    <mergeCell ref="H430:J430"/>
    <mergeCell ref="K430:L430"/>
    <mergeCell ref="Q430:R430"/>
    <mergeCell ref="H426:J426"/>
    <mergeCell ref="K426:L426"/>
    <mergeCell ref="Q426:R426"/>
    <mergeCell ref="H427:J427"/>
    <mergeCell ref="K427:L427"/>
    <mergeCell ref="Q427:R427"/>
    <mergeCell ref="H437:J437"/>
    <mergeCell ref="K437:L437"/>
    <mergeCell ref="Q437:R437"/>
    <mergeCell ref="H438:J438"/>
    <mergeCell ref="K438:L438"/>
    <mergeCell ref="Q438:R438"/>
    <mergeCell ref="H435:J435"/>
    <mergeCell ref="K435:L435"/>
    <mergeCell ref="Q435:R435"/>
    <mergeCell ref="H436:J436"/>
    <mergeCell ref="K436:L436"/>
    <mergeCell ref="Q436:R436"/>
    <mergeCell ref="H433:J433"/>
    <mergeCell ref="K433:L433"/>
    <mergeCell ref="Q433:R433"/>
    <mergeCell ref="H434:J434"/>
    <mergeCell ref="K434:L434"/>
    <mergeCell ref="Q434:R434"/>
    <mergeCell ref="H446:J446"/>
    <mergeCell ref="K446:L446"/>
    <mergeCell ref="Q446:R446"/>
    <mergeCell ref="H447:J447"/>
    <mergeCell ref="K447:L447"/>
    <mergeCell ref="Q447:R447"/>
    <mergeCell ref="H443:J443"/>
    <mergeCell ref="K443:L443"/>
    <mergeCell ref="Q443:R443"/>
    <mergeCell ref="E444:E446"/>
    <mergeCell ref="H444:J444"/>
    <mergeCell ref="K444:L444"/>
    <mergeCell ref="Q444:R444"/>
    <mergeCell ref="H445:J445"/>
    <mergeCell ref="K445:L445"/>
    <mergeCell ref="Q445:R445"/>
    <mergeCell ref="H441:J441"/>
    <mergeCell ref="K441:L441"/>
    <mergeCell ref="Q441:R441"/>
    <mergeCell ref="H442:J442"/>
    <mergeCell ref="K442:L442"/>
    <mergeCell ref="Q442:R442"/>
    <mergeCell ref="H452:J452"/>
    <mergeCell ref="K452:L452"/>
    <mergeCell ref="Q452:R452"/>
    <mergeCell ref="H453:J453"/>
    <mergeCell ref="K453:L453"/>
    <mergeCell ref="Q453:R453"/>
    <mergeCell ref="H450:J450"/>
    <mergeCell ref="K450:L450"/>
    <mergeCell ref="Q450:R450"/>
    <mergeCell ref="H451:J451"/>
    <mergeCell ref="K451:L451"/>
    <mergeCell ref="Q451:R451"/>
    <mergeCell ref="H448:J448"/>
    <mergeCell ref="K448:L448"/>
    <mergeCell ref="Q448:R448"/>
    <mergeCell ref="H449:J449"/>
    <mergeCell ref="K449:L449"/>
    <mergeCell ref="Q449:R449"/>
    <mergeCell ref="H460:J460"/>
    <mergeCell ref="K460:L460"/>
    <mergeCell ref="Q460:R460"/>
    <mergeCell ref="H461:J461"/>
    <mergeCell ref="K461:L461"/>
    <mergeCell ref="Q461:R461"/>
    <mergeCell ref="H457:J457"/>
    <mergeCell ref="K457:L457"/>
    <mergeCell ref="Q457:R457"/>
    <mergeCell ref="E458:E460"/>
    <mergeCell ref="H458:J458"/>
    <mergeCell ref="K458:L458"/>
    <mergeCell ref="Q458:R458"/>
    <mergeCell ref="H459:J459"/>
    <mergeCell ref="K459:L459"/>
    <mergeCell ref="Q459:R459"/>
    <mergeCell ref="H455:J455"/>
    <mergeCell ref="K455:L455"/>
    <mergeCell ref="Q455:R455"/>
    <mergeCell ref="H456:J456"/>
    <mergeCell ref="K456:L456"/>
    <mergeCell ref="Q456:R456"/>
    <mergeCell ref="H466:J466"/>
    <mergeCell ref="K466:L466"/>
    <mergeCell ref="Q466:R466"/>
    <mergeCell ref="H467:J467"/>
    <mergeCell ref="K467:L467"/>
    <mergeCell ref="Q467:R467"/>
    <mergeCell ref="H464:J464"/>
    <mergeCell ref="K464:L464"/>
    <mergeCell ref="Q464:R464"/>
    <mergeCell ref="H465:J465"/>
    <mergeCell ref="K465:L465"/>
    <mergeCell ref="Q465:R465"/>
    <mergeCell ref="H462:J462"/>
    <mergeCell ref="K462:L462"/>
    <mergeCell ref="Q462:R462"/>
    <mergeCell ref="H463:J463"/>
    <mergeCell ref="K463:L463"/>
    <mergeCell ref="Q463:R463"/>
    <mergeCell ref="H475:J475"/>
    <mergeCell ref="K475:L475"/>
    <mergeCell ref="Q475:R475"/>
    <mergeCell ref="H476:J476"/>
    <mergeCell ref="K476:L476"/>
    <mergeCell ref="Q476:R476"/>
    <mergeCell ref="H472:J472"/>
    <mergeCell ref="K472:L472"/>
    <mergeCell ref="Q472:R472"/>
    <mergeCell ref="E473:E475"/>
    <mergeCell ref="H473:J473"/>
    <mergeCell ref="K473:L473"/>
    <mergeCell ref="Q473:R473"/>
    <mergeCell ref="H474:J474"/>
    <mergeCell ref="K474:L474"/>
    <mergeCell ref="Q474:R474"/>
    <mergeCell ref="H470:J470"/>
    <mergeCell ref="K470:L470"/>
    <mergeCell ref="Q470:R470"/>
    <mergeCell ref="H471:J471"/>
    <mergeCell ref="K471:L471"/>
    <mergeCell ref="Q471:R471"/>
    <mergeCell ref="H481:J481"/>
    <mergeCell ref="K481:L481"/>
    <mergeCell ref="Q481:R481"/>
    <mergeCell ref="H482:J482"/>
    <mergeCell ref="K482:L482"/>
    <mergeCell ref="Q482:R482"/>
    <mergeCell ref="H479:J479"/>
    <mergeCell ref="K479:L479"/>
    <mergeCell ref="Q479:R479"/>
    <mergeCell ref="H480:J480"/>
    <mergeCell ref="K480:L480"/>
    <mergeCell ref="Q480:R480"/>
    <mergeCell ref="H477:J477"/>
    <mergeCell ref="K477:L477"/>
    <mergeCell ref="Q477:R477"/>
    <mergeCell ref="H478:J478"/>
    <mergeCell ref="K478:L478"/>
    <mergeCell ref="Q478:R478"/>
    <mergeCell ref="H490:J490"/>
    <mergeCell ref="K490:L490"/>
    <mergeCell ref="Q490:R490"/>
    <mergeCell ref="H491:J491"/>
    <mergeCell ref="K491:L491"/>
    <mergeCell ref="Q491:R491"/>
    <mergeCell ref="H487:J487"/>
    <mergeCell ref="K487:L487"/>
    <mergeCell ref="Q487:R487"/>
    <mergeCell ref="E488:E490"/>
    <mergeCell ref="H488:J488"/>
    <mergeCell ref="K488:L488"/>
    <mergeCell ref="Q488:R488"/>
    <mergeCell ref="H489:J489"/>
    <mergeCell ref="K489:L489"/>
    <mergeCell ref="Q489:R489"/>
    <mergeCell ref="H485:J485"/>
    <mergeCell ref="K485:L485"/>
    <mergeCell ref="Q485:R485"/>
    <mergeCell ref="H486:J486"/>
    <mergeCell ref="K486:L486"/>
    <mergeCell ref="Q486:R486"/>
    <mergeCell ref="H496:J496"/>
    <mergeCell ref="K496:L496"/>
    <mergeCell ref="Q496:R496"/>
    <mergeCell ref="H497:J497"/>
    <mergeCell ref="K497:L497"/>
    <mergeCell ref="Q497:R497"/>
    <mergeCell ref="H494:J494"/>
    <mergeCell ref="K494:L494"/>
    <mergeCell ref="Q494:R494"/>
    <mergeCell ref="H495:J495"/>
    <mergeCell ref="K495:L495"/>
    <mergeCell ref="Q495:R495"/>
    <mergeCell ref="H492:J492"/>
    <mergeCell ref="K492:L492"/>
    <mergeCell ref="Q492:R492"/>
    <mergeCell ref="H493:J493"/>
    <mergeCell ref="K493:L493"/>
    <mergeCell ref="Q493:R493"/>
    <mergeCell ref="H505:J505"/>
    <mergeCell ref="K505:L505"/>
    <mergeCell ref="Q505:R505"/>
    <mergeCell ref="H506:J506"/>
    <mergeCell ref="K506:L506"/>
    <mergeCell ref="Q506:R506"/>
    <mergeCell ref="H502:J502"/>
    <mergeCell ref="K502:L502"/>
    <mergeCell ref="Q502:R502"/>
    <mergeCell ref="E503:E505"/>
    <mergeCell ref="H503:J503"/>
    <mergeCell ref="K503:L503"/>
    <mergeCell ref="Q503:R503"/>
    <mergeCell ref="H504:J504"/>
    <mergeCell ref="K504:L504"/>
    <mergeCell ref="Q504:R504"/>
    <mergeCell ref="H500:J500"/>
    <mergeCell ref="K500:L500"/>
    <mergeCell ref="Q500:R500"/>
    <mergeCell ref="H501:J501"/>
    <mergeCell ref="K501:L501"/>
    <mergeCell ref="Q501:R501"/>
    <mergeCell ref="H511:J511"/>
    <mergeCell ref="K511:L511"/>
    <mergeCell ref="Q511:R511"/>
    <mergeCell ref="H512:J512"/>
    <mergeCell ref="K512:L512"/>
    <mergeCell ref="Q512:R512"/>
    <mergeCell ref="H509:J509"/>
    <mergeCell ref="K509:L509"/>
    <mergeCell ref="Q509:R509"/>
    <mergeCell ref="H510:J510"/>
    <mergeCell ref="K510:L510"/>
    <mergeCell ref="Q510:R510"/>
    <mergeCell ref="H507:J507"/>
    <mergeCell ref="K507:L507"/>
    <mergeCell ref="Q507:R507"/>
    <mergeCell ref="H508:J508"/>
    <mergeCell ref="K508:L508"/>
    <mergeCell ref="Q508:R508"/>
    <mergeCell ref="H520:J520"/>
    <mergeCell ref="K520:L520"/>
    <mergeCell ref="Q520:R520"/>
    <mergeCell ref="H521:J521"/>
    <mergeCell ref="K521:L521"/>
    <mergeCell ref="Q521:R521"/>
    <mergeCell ref="H517:J517"/>
    <mergeCell ref="K517:L517"/>
    <mergeCell ref="Q517:R517"/>
    <mergeCell ref="E518:E520"/>
    <mergeCell ref="H518:J518"/>
    <mergeCell ref="K518:L518"/>
    <mergeCell ref="Q518:R518"/>
    <mergeCell ref="H519:J519"/>
    <mergeCell ref="K519:L519"/>
    <mergeCell ref="Q519:R519"/>
    <mergeCell ref="H515:J515"/>
    <mergeCell ref="K515:L515"/>
    <mergeCell ref="Q515:R515"/>
    <mergeCell ref="H516:J516"/>
    <mergeCell ref="K516:L516"/>
    <mergeCell ref="Q516:R516"/>
    <mergeCell ref="H526:J526"/>
    <mergeCell ref="K526:L526"/>
    <mergeCell ref="Q526:R526"/>
    <mergeCell ref="H527:J527"/>
    <mergeCell ref="K527:L527"/>
    <mergeCell ref="Q527:R527"/>
    <mergeCell ref="H524:J524"/>
    <mergeCell ref="K524:L524"/>
    <mergeCell ref="Q524:R524"/>
    <mergeCell ref="H525:J525"/>
    <mergeCell ref="K525:L525"/>
    <mergeCell ref="Q525:R525"/>
    <mergeCell ref="H522:J522"/>
    <mergeCell ref="K522:L522"/>
    <mergeCell ref="Q522:R522"/>
    <mergeCell ref="H523:J523"/>
    <mergeCell ref="K523:L523"/>
    <mergeCell ref="Q523:R523"/>
    <mergeCell ref="H535:J535"/>
    <mergeCell ref="K535:L535"/>
    <mergeCell ref="Q535:R535"/>
    <mergeCell ref="H536:J536"/>
    <mergeCell ref="K536:L536"/>
    <mergeCell ref="Q536:R536"/>
    <mergeCell ref="H532:J532"/>
    <mergeCell ref="K532:L532"/>
    <mergeCell ref="Q532:R532"/>
    <mergeCell ref="E533:E535"/>
    <mergeCell ref="H533:J533"/>
    <mergeCell ref="K533:L533"/>
    <mergeCell ref="Q533:R533"/>
    <mergeCell ref="H534:J534"/>
    <mergeCell ref="K534:L534"/>
    <mergeCell ref="Q534:R534"/>
    <mergeCell ref="H530:J530"/>
    <mergeCell ref="K530:L530"/>
    <mergeCell ref="Q530:R530"/>
    <mergeCell ref="H531:J531"/>
    <mergeCell ref="K531:L531"/>
    <mergeCell ref="Q531:R531"/>
    <mergeCell ref="H541:J541"/>
    <mergeCell ref="K541:L541"/>
    <mergeCell ref="Q541:R541"/>
    <mergeCell ref="H542:J542"/>
    <mergeCell ref="K542:L542"/>
    <mergeCell ref="Q542:R542"/>
    <mergeCell ref="H539:J539"/>
    <mergeCell ref="K539:L539"/>
    <mergeCell ref="Q539:R539"/>
    <mergeCell ref="H540:J540"/>
    <mergeCell ref="K540:L540"/>
    <mergeCell ref="Q540:R540"/>
    <mergeCell ref="H537:J537"/>
    <mergeCell ref="K537:L537"/>
    <mergeCell ref="Q537:R537"/>
    <mergeCell ref="H538:J538"/>
    <mergeCell ref="K538:L538"/>
    <mergeCell ref="Q538:R538"/>
    <mergeCell ref="H550:J550"/>
    <mergeCell ref="K550:L550"/>
    <mergeCell ref="Q550:R550"/>
    <mergeCell ref="H551:J551"/>
    <mergeCell ref="K551:L551"/>
    <mergeCell ref="Q551:R551"/>
    <mergeCell ref="H547:J547"/>
    <mergeCell ref="K547:L547"/>
    <mergeCell ref="Q547:R547"/>
    <mergeCell ref="E548:E550"/>
    <mergeCell ref="H548:J548"/>
    <mergeCell ref="K548:L548"/>
    <mergeCell ref="Q548:R548"/>
    <mergeCell ref="H549:J549"/>
    <mergeCell ref="K549:L549"/>
    <mergeCell ref="Q549:R549"/>
    <mergeCell ref="H545:J545"/>
    <mergeCell ref="K545:L545"/>
    <mergeCell ref="Q545:R545"/>
    <mergeCell ref="H546:J546"/>
    <mergeCell ref="K546:L546"/>
    <mergeCell ref="Q546:R546"/>
    <mergeCell ref="H556:J556"/>
    <mergeCell ref="K556:L556"/>
    <mergeCell ref="Q556:R556"/>
    <mergeCell ref="H557:J557"/>
    <mergeCell ref="K557:L557"/>
    <mergeCell ref="Q557:R557"/>
    <mergeCell ref="H554:J554"/>
    <mergeCell ref="K554:L554"/>
    <mergeCell ref="Q554:R554"/>
    <mergeCell ref="H555:J555"/>
    <mergeCell ref="K555:L555"/>
    <mergeCell ref="Q555:R555"/>
    <mergeCell ref="H552:J552"/>
    <mergeCell ref="K552:L552"/>
    <mergeCell ref="Q552:R552"/>
    <mergeCell ref="H553:J553"/>
    <mergeCell ref="K553:L553"/>
    <mergeCell ref="Q553:R553"/>
    <mergeCell ref="H565:J565"/>
    <mergeCell ref="K565:L565"/>
    <mergeCell ref="Q565:R565"/>
    <mergeCell ref="H566:J566"/>
    <mergeCell ref="K566:L566"/>
    <mergeCell ref="Q566:R566"/>
    <mergeCell ref="H562:J562"/>
    <mergeCell ref="K562:L562"/>
    <mergeCell ref="Q562:R562"/>
    <mergeCell ref="E563:E565"/>
    <mergeCell ref="H563:J563"/>
    <mergeCell ref="K563:L563"/>
    <mergeCell ref="Q563:R563"/>
    <mergeCell ref="H564:J564"/>
    <mergeCell ref="K564:L564"/>
    <mergeCell ref="Q564:R564"/>
    <mergeCell ref="H560:J560"/>
    <mergeCell ref="K560:L560"/>
    <mergeCell ref="Q560:R560"/>
    <mergeCell ref="H561:J561"/>
    <mergeCell ref="K561:L561"/>
    <mergeCell ref="Q561:R561"/>
    <mergeCell ref="H571:J571"/>
    <mergeCell ref="K571:L571"/>
    <mergeCell ref="Q571:R571"/>
    <mergeCell ref="H572:J572"/>
    <mergeCell ref="K572:L572"/>
    <mergeCell ref="Q572:R572"/>
    <mergeCell ref="H569:J569"/>
    <mergeCell ref="K569:L569"/>
    <mergeCell ref="Q569:R569"/>
    <mergeCell ref="H570:J570"/>
    <mergeCell ref="K570:L570"/>
    <mergeCell ref="Q570:R570"/>
    <mergeCell ref="H567:J567"/>
    <mergeCell ref="K567:L567"/>
    <mergeCell ref="Q567:R567"/>
    <mergeCell ref="H568:J568"/>
    <mergeCell ref="K568:L568"/>
    <mergeCell ref="Q568:R568"/>
    <mergeCell ref="H580:J580"/>
    <mergeCell ref="K580:L580"/>
    <mergeCell ref="Q580:R580"/>
    <mergeCell ref="H581:J581"/>
    <mergeCell ref="K581:L581"/>
    <mergeCell ref="Q581:R581"/>
    <mergeCell ref="H577:J577"/>
    <mergeCell ref="K577:L577"/>
    <mergeCell ref="Q577:R577"/>
    <mergeCell ref="E578:E580"/>
    <mergeCell ref="H578:J578"/>
    <mergeCell ref="K578:L578"/>
    <mergeCell ref="Q578:R578"/>
    <mergeCell ref="H579:J579"/>
    <mergeCell ref="K579:L579"/>
    <mergeCell ref="Q579:R579"/>
    <mergeCell ref="H575:J575"/>
    <mergeCell ref="K575:L575"/>
    <mergeCell ref="Q575:R575"/>
    <mergeCell ref="H576:J576"/>
    <mergeCell ref="K576:L576"/>
    <mergeCell ref="Q576:R576"/>
    <mergeCell ref="H586:J586"/>
    <mergeCell ref="K586:L586"/>
    <mergeCell ref="Q586:R586"/>
    <mergeCell ref="H587:J587"/>
    <mergeCell ref="K587:L587"/>
    <mergeCell ref="Q587:R587"/>
    <mergeCell ref="H584:J584"/>
    <mergeCell ref="K584:L584"/>
    <mergeCell ref="Q584:R584"/>
    <mergeCell ref="H585:J585"/>
    <mergeCell ref="K585:L585"/>
    <mergeCell ref="Q585:R585"/>
    <mergeCell ref="H582:J582"/>
    <mergeCell ref="K582:L582"/>
    <mergeCell ref="Q582:R582"/>
    <mergeCell ref="H583:J583"/>
    <mergeCell ref="K583:L583"/>
    <mergeCell ref="Q583:R583"/>
    <mergeCell ref="H594:J594"/>
    <mergeCell ref="K594:L594"/>
    <mergeCell ref="Q594:R594"/>
    <mergeCell ref="H595:J595"/>
    <mergeCell ref="K595:L595"/>
    <mergeCell ref="Q595:R595"/>
    <mergeCell ref="H591:J591"/>
    <mergeCell ref="K591:L591"/>
    <mergeCell ref="Q591:R591"/>
    <mergeCell ref="E592:E594"/>
    <mergeCell ref="H592:J592"/>
    <mergeCell ref="K592:L592"/>
    <mergeCell ref="Q592:R592"/>
    <mergeCell ref="H593:J593"/>
    <mergeCell ref="K593:L593"/>
    <mergeCell ref="Q593:R593"/>
    <mergeCell ref="H589:J589"/>
    <mergeCell ref="K589:L589"/>
    <mergeCell ref="Q589:R589"/>
    <mergeCell ref="H590:J590"/>
    <mergeCell ref="K590:L590"/>
    <mergeCell ref="Q590:R590"/>
    <mergeCell ref="H600:J600"/>
    <mergeCell ref="K600:L600"/>
    <mergeCell ref="Q600:R600"/>
    <mergeCell ref="H601:J601"/>
    <mergeCell ref="K601:L601"/>
    <mergeCell ref="Q601:R601"/>
    <mergeCell ref="H598:J598"/>
    <mergeCell ref="K598:L598"/>
    <mergeCell ref="Q598:R598"/>
    <mergeCell ref="H599:J599"/>
    <mergeCell ref="K599:L599"/>
    <mergeCell ref="Q599:R599"/>
    <mergeCell ref="H596:J596"/>
    <mergeCell ref="K596:L596"/>
    <mergeCell ref="Q596:R596"/>
    <mergeCell ref="H597:J597"/>
    <mergeCell ref="K597:L597"/>
    <mergeCell ref="Q597:R597"/>
    <mergeCell ref="H609:J609"/>
    <mergeCell ref="K609:L609"/>
    <mergeCell ref="Q609:R609"/>
    <mergeCell ref="H610:J610"/>
    <mergeCell ref="K610:L610"/>
    <mergeCell ref="Q610:R610"/>
    <mergeCell ref="H606:J606"/>
    <mergeCell ref="K606:L606"/>
    <mergeCell ref="Q606:R606"/>
    <mergeCell ref="E607:E609"/>
    <mergeCell ref="H607:J607"/>
    <mergeCell ref="K607:L607"/>
    <mergeCell ref="Q607:R607"/>
    <mergeCell ref="H608:J608"/>
    <mergeCell ref="K608:L608"/>
    <mergeCell ref="Q608:R608"/>
    <mergeCell ref="H604:J604"/>
    <mergeCell ref="K604:L604"/>
    <mergeCell ref="Q604:R604"/>
    <mergeCell ref="H605:J605"/>
    <mergeCell ref="K605:L605"/>
    <mergeCell ref="Q605:R605"/>
    <mergeCell ref="H615:J615"/>
    <mergeCell ref="K615:L615"/>
    <mergeCell ref="Q615:R615"/>
    <mergeCell ref="H616:J616"/>
    <mergeCell ref="K616:L616"/>
    <mergeCell ref="Q616:R616"/>
    <mergeCell ref="H613:J613"/>
    <mergeCell ref="K613:L613"/>
    <mergeCell ref="Q613:R613"/>
    <mergeCell ref="H614:J614"/>
    <mergeCell ref="K614:L614"/>
    <mergeCell ref="Q614:R614"/>
    <mergeCell ref="H611:J611"/>
    <mergeCell ref="K611:L611"/>
    <mergeCell ref="Q611:R611"/>
    <mergeCell ref="H612:J612"/>
    <mergeCell ref="K612:L612"/>
    <mergeCell ref="Q612:R612"/>
    <mergeCell ref="H624:J624"/>
    <mergeCell ref="K624:L624"/>
    <mergeCell ref="Q624:R624"/>
    <mergeCell ref="H625:J625"/>
    <mergeCell ref="K625:L625"/>
    <mergeCell ref="Q625:R625"/>
    <mergeCell ref="H621:J621"/>
    <mergeCell ref="K621:L621"/>
    <mergeCell ref="Q621:R621"/>
    <mergeCell ref="E622:E624"/>
    <mergeCell ref="H622:J622"/>
    <mergeCell ref="K622:L622"/>
    <mergeCell ref="Q622:R622"/>
    <mergeCell ref="H623:J623"/>
    <mergeCell ref="K623:L623"/>
    <mergeCell ref="Q623:R623"/>
    <mergeCell ref="H619:J619"/>
    <mergeCell ref="K619:L619"/>
    <mergeCell ref="Q619:R619"/>
    <mergeCell ref="H620:J620"/>
    <mergeCell ref="K620:L620"/>
    <mergeCell ref="Q620:R620"/>
    <mergeCell ref="H630:J630"/>
    <mergeCell ref="K630:L630"/>
    <mergeCell ref="Q630:R630"/>
    <mergeCell ref="H631:J631"/>
    <mergeCell ref="K631:L631"/>
    <mergeCell ref="Q631:R631"/>
    <mergeCell ref="H628:J628"/>
    <mergeCell ref="K628:L628"/>
    <mergeCell ref="Q628:R628"/>
    <mergeCell ref="H629:J629"/>
    <mergeCell ref="K629:L629"/>
    <mergeCell ref="Q629:R629"/>
    <mergeCell ref="H626:J626"/>
    <mergeCell ref="K626:L626"/>
    <mergeCell ref="Q626:R626"/>
    <mergeCell ref="H627:J627"/>
    <mergeCell ref="K627:L627"/>
    <mergeCell ref="Q627:R627"/>
    <mergeCell ref="H639:J639"/>
    <mergeCell ref="K639:L639"/>
    <mergeCell ref="Q639:R639"/>
    <mergeCell ref="H640:J640"/>
    <mergeCell ref="K640:L640"/>
    <mergeCell ref="Q640:R640"/>
    <mergeCell ref="H636:J636"/>
    <mergeCell ref="K636:L636"/>
    <mergeCell ref="Q636:R636"/>
    <mergeCell ref="E637:E639"/>
    <mergeCell ref="H637:J637"/>
    <mergeCell ref="K637:L637"/>
    <mergeCell ref="Q637:R637"/>
    <mergeCell ref="H638:J638"/>
    <mergeCell ref="K638:L638"/>
    <mergeCell ref="Q638:R638"/>
    <mergeCell ref="H634:J634"/>
    <mergeCell ref="K634:L634"/>
    <mergeCell ref="Q634:R634"/>
    <mergeCell ref="H635:J635"/>
    <mergeCell ref="K635:L635"/>
    <mergeCell ref="Q635:R635"/>
    <mergeCell ref="H645:J645"/>
    <mergeCell ref="K645:L645"/>
    <mergeCell ref="Q645:R645"/>
    <mergeCell ref="H646:J646"/>
    <mergeCell ref="K646:L646"/>
    <mergeCell ref="Q646:R646"/>
    <mergeCell ref="H643:J643"/>
    <mergeCell ref="K643:L643"/>
    <mergeCell ref="Q643:R643"/>
    <mergeCell ref="H644:J644"/>
    <mergeCell ref="K644:L644"/>
    <mergeCell ref="Q644:R644"/>
    <mergeCell ref="H641:J641"/>
    <mergeCell ref="K641:L641"/>
    <mergeCell ref="Q641:R641"/>
    <mergeCell ref="H642:J642"/>
    <mergeCell ref="K642:L642"/>
    <mergeCell ref="Q642:R642"/>
    <mergeCell ref="H654:J654"/>
    <mergeCell ref="K654:L654"/>
    <mergeCell ref="Q654:R654"/>
    <mergeCell ref="H655:J655"/>
    <mergeCell ref="K655:L655"/>
    <mergeCell ref="Q655:R655"/>
    <mergeCell ref="H651:J651"/>
    <mergeCell ref="K651:L651"/>
    <mergeCell ref="Q651:R651"/>
    <mergeCell ref="E652:E654"/>
    <mergeCell ref="H652:J652"/>
    <mergeCell ref="K652:L652"/>
    <mergeCell ref="Q652:R652"/>
    <mergeCell ref="H653:J653"/>
    <mergeCell ref="K653:L653"/>
    <mergeCell ref="Q653:R653"/>
    <mergeCell ref="H649:J649"/>
    <mergeCell ref="K649:L649"/>
    <mergeCell ref="Q649:R649"/>
    <mergeCell ref="H650:J650"/>
    <mergeCell ref="K650:L650"/>
    <mergeCell ref="Q650:R650"/>
    <mergeCell ref="H660:J660"/>
    <mergeCell ref="K660:L660"/>
    <mergeCell ref="Q660:R660"/>
    <mergeCell ref="H661:J661"/>
    <mergeCell ref="K661:L661"/>
    <mergeCell ref="Q661:R661"/>
    <mergeCell ref="H658:J658"/>
    <mergeCell ref="K658:L658"/>
    <mergeCell ref="Q658:R658"/>
    <mergeCell ref="H659:J659"/>
    <mergeCell ref="K659:L659"/>
    <mergeCell ref="Q659:R659"/>
    <mergeCell ref="H656:J656"/>
    <mergeCell ref="K656:L656"/>
    <mergeCell ref="Q656:R656"/>
    <mergeCell ref="H657:J657"/>
    <mergeCell ref="K657:L657"/>
    <mergeCell ref="Q657:R657"/>
    <mergeCell ref="H669:J669"/>
    <mergeCell ref="K669:L669"/>
    <mergeCell ref="Q669:R669"/>
    <mergeCell ref="H670:J670"/>
    <mergeCell ref="K670:L670"/>
    <mergeCell ref="Q670:R670"/>
    <mergeCell ref="H666:J666"/>
    <mergeCell ref="K666:L666"/>
    <mergeCell ref="Q666:R666"/>
    <mergeCell ref="E667:E669"/>
    <mergeCell ref="H667:J667"/>
    <mergeCell ref="K667:L667"/>
    <mergeCell ref="Q667:R667"/>
    <mergeCell ref="H668:J668"/>
    <mergeCell ref="K668:L668"/>
    <mergeCell ref="Q668:R668"/>
    <mergeCell ref="H664:J664"/>
    <mergeCell ref="K664:L664"/>
    <mergeCell ref="Q664:R664"/>
    <mergeCell ref="H665:J665"/>
    <mergeCell ref="K665:L665"/>
    <mergeCell ref="Q665:R665"/>
    <mergeCell ref="H675:J675"/>
    <mergeCell ref="K675:L675"/>
    <mergeCell ref="Q675:R675"/>
    <mergeCell ref="H676:J676"/>
    <mergeCell ref="K676:L676"/>
    <mergeCell ref="Q676:R676"/>
    <mergeCell ref="H673:J673"/>
    <mergeCell ref="K673:L673"/>
    <mergeCell ref="Q673:R673"/>
    <mergeCell ref="H674:J674"/>
    <mergeCell ref="K674:L674"/>
    <mergeCell ref="Q674:R674"/>
    <mergeCell ref="H671:J671"/>
    <mergeCell ref="K671:L671"/>
    <mergeCell ref="Q671:R671"/>
    <mergeCell ref="H672:J672"/>
    <mergeCell ref="K672:L672"/>
    <mergeCell ref="Q672:R672"/>
    <mergeCell ref="H684:J684"/>
    <mergeCell ref="K684:L684"/>
    <mergeCell ref="Q684:R684"/>
    <mergeCell ref="H685:J685"/>
    <mergeCell ref="K685:L685"/>
    <mergeCell ref="Q685:R685"/>
    <mergeCell ref="H681:J681"/>
    <mergeCell ref="K681:L681"/>
    <mergeCell ref="Q681:R681"/>
    <mergeCell ref="E682:E684"/>
    <mergeCell ref="H682:J682"/>
    <mergeCell ref="K682:L682"/>
    <mergeCell ref="Q682:R682"/>
    <mergeCell ref="H683:J683"/>
    <mergeCell ref="K683:L683"/>
    <mergeCell ref="Q683:R683"/>
    <mergeCell ref="H679:J679"/>
    <mergeCell ref="K679:L679"/>
    <mergeCell ref="Q679:R679"/>
    <mergeCell ref="H680:J680"/>
    <mergeCell ref="K680:L680"/>
    <mergeCell ref="Q680:R680"/>
    <mergeCell ref="H690:J690"/>
    <mergeCell ref="K690:L690"/>
    <mergeCell ref="Q690:R690"/>
    <mergeCell ref="H691:J691"/>
    <mergeCell ref="K691:L691"/>
    <mergeCell ref="Q691:R691"/>
    <mergeCell ref="H688:J688"/>
    <mergeCell ref="K688:L688"/>
    <mergeCell ref="Q688:R688"/>
    <mergeCell ref="H689:J689"/>
    <mergeCell ref="K689:L689"/>
    <mergeCell ref="Q689:R689"/>
    <mergeCell ref="H686:J686"/>
    <mergeCell ref="K686:L686"/>
    <mergeCell ref="Q686:R686"/>
    <mergeCell ref="H687:J687"/>
    <mergeCell ref="K687:L687"/>
    <mergeCell ref="Q687:R687"/>
    <mergeCell ref="H699:J699"/>
    <mergeCell ref="K699:L699"/>
    <mergeCell ref="Q699:R699"/>
    <mergeCell ref="H700:J700"/>
    <mergeCell ref="K700:L700"/>
    <mergeCell ref="Q700:R700"/>
    <mergeCell ref="H696:J696"/>
    <mergeCell ref="K696:L696"/>
    <mergeCell ref="Q696:R696"/>
    <mergeCell ref="E697:E699"/>
    <mergeCell ref="H697:J697"/>
    <mergeCell ref="K697:L697"/>
    <mergeCell ref="Q697:R697"/>
    <mergeCell ref="H698:J698"/>
    <mergeCell ref="K698:L698"/>
    <mergeCell ref="Q698:R698"/>
    <mergeCell ref="H694:J694"/>
    <mergeCell ref="K694:L694"/>
    <mergeCell ref="Q694:R694"/>
    <mergeCell ref="H695:J695"/>
    <mergeCell ref="K695:L695"/>
    <mergeCell ref="Q695:R695"/>
    <mergeCell ref="H705:J705"/>
    <mergeCell ref="K705:L705"/>
    <mergeCell ref="Q705:R705"/>
    <mergeCell ref="H706:J706"/>
    <mergeCell ref="K706:L706"/>
    <mergeCell ref="Q706:R706"/>
    <mergeCell ref="H703:J703"/>
    <mergeCell ref="K703:L703"/>
    <mergeCell ref="Q703:R703"/>
    <mergeCell ref="H704:J704"/>
    <mergeCell ref="K704:L704"/>
    <mergeCell ref="Q704:R704"/>
    <mergeCell ref="H701:J701"/>
    <mergeCell ref="K701:L701"/>
    <mergeCell ref="Q701:R701"/>
    <mergeCell ref="H702:J702"/>
    <mergeCell ref="K702:L702"/>
    <mergeCell ref="Q702:R702"/>
    <mergeCell ref="H714:J714"/>
    <mergeCell ref="K714:L714"/>
    <mergeCell ref="Q714:R714"/>
    <mergeCell ref="H715:J715"/>
    <mergeCell ref="K715:L715"/>
    <mergeCell ref="Q715:R715"/>
    <mergeCell ref="H711:J711"/>
    <mergeCell ref="K711:L711"/>
    <mergeCell ref="Q711:R711"/>
    <mergeCell ref="E712:E714"/>
    <mergeCell ref="H712:J712"/>
    <mergeCell ref="K712:L712"/>
    <mergeCell ref="Q712:R712"/>
    <mergeCell ref="H713:J713"/>
    <mergeCell ref="K713:L713"/>
    <mergeCell ref="Q713:R713"/>
    <mergeCell ref="H709:J709"/>
    <mergeCell ref="K709:L709"/>
    <mergeCell ref="Q709:R709"/>
    <mergeCell ref="H710:J710"/>
    <mergeCell ref="K710:L710"/>
    <mergeCell ref="Q710:R710"/>
    <mergeCell ref="H720:J720"/>
    <mergeCell ref="K720:L720"/>
    <mergeCell ref="Q720:R720"/>
    <mergeCell ref="H721:J721"/>
    <mergeCell ref="K721:L721"/>
    <mergeCell ref="Q721:R721"/>
    <mergeCell ref="H718:J718"/>
    <mergeCell ref="K718:L718"/>
    <mergeCell ref="Q718:R718"/>
    <mergeCell ref="H719:J719"/>
    <mergeCell ref="K719:L719"/>
    <mergeCell ref="Q719:R719"/>
    <mergeCell ref="H716:J716"/>
    <mergeCell ref="K716:L716"/>
    <mergeCell ref="Q716:R716"/>
    <mergeCell ref="H717:J717"/>
    <mergeCell ref="K717:L717"/>
    <mergeCell ref="Q717:R717"/>
    <mergeCell ref="H728:J728"/>
    <mergeCell ref="K728:L728"/>
    <mergeCell ref="Q728:R728"/>
    <mergeCell ref="H729:J729"/>
    <mergeCell ref="K729:L729"/>
    <mergeCell ref="Q729:R729"/>
    <mergeCell ref="H725:J725"/>
    <mergeCell ref="K725:L725"/>
    <mergeCell ref="Q725:R725"/>
    <mergeCell ref="E726:E728"/>
    <mergeCell ref="H726:J726"/>
    <mergeCell ref="K726:L726"/>
    <mergeCell ref="Q726:R726"/>
    <mergeCell ref="H727:J727"/>
    <mergeCell ref="K727:L727"/>
    <mergeCell ref="Q727:R727"/>
    <mergeCell ref="H723:J723"/>
    <mergeCell ref="K723:L723"/>
    <mergeCell ref="Q723:R723"/>
    <mergeCell ref="H724:J724"/>
    <mergeCell ref="K724:L724"/>
    <mergeCell ref="Q724:R724"/>
    <mergeCell ref="H734:J734"/>
    <mergeCell ref="K734:L734"/>
    <mergeCell ref="Q734:R734"/>
    <mergeCell ref="H735:J735"/>
    <mergeCell ref="K735:L735"/>
    <mergeCell ref="Q735:R735"/>
    <mergeCell ref="H732:J732"/>
    <mergeCell ref="K732:L732"/>
    <mergeCell ref="Q732:R732"/>
    <mergeCell ref="H733:J733"/>
    <mergeCell ref="K733:L733"/>
    <mergeCell ref="Q733:R733"/>
    <mergeCell ref="H730:J730"/>
    <mergeCell ref="K730:L730"/>
    <mergeCell ref="Q730:R730"/>
    <mergeCell ref="H731:J731"/>
    <mergeCell ref="K731:L731"/>
    <mergeCell ref="Q731:R731"/>
    <mergeCell ref="H743:J743"/>
    <mergeCell ref="K743:L743"/>
    <mergeCell ref="Q743:R743"/>
    <mergeCell ref="H744:J744"/>
    <mergeCell ref="K744:L744"/>
    <mergeCell ref="Q744:R744"/>
    <mergeCell ref="H740:J740"/>
    <mergeCell ref="K740:L740"/>
    <mergeCell ref="Q740:R740"/>
    <mergeCell ref="E741:E743"/>
    <mergeCell ref="H741:J741"/>
    <mergeCell ref="K741:L741"/>
    <mergeCell ref="Q741:R741"/>
    <mergeCell ref="H742:J742"/>
    <mergeCell ref="K742:L742"/>
    <mergeCell ref="Q742:R742"/>
    <mergeCell ref="H738:J738"/>
    <mergeCell ref="K738:L738"/>
    <mergeCell ref="Q738:R738"/>
    <mergeCell ref="H739:J739"/>
    <mergeCell ref="K739:L739"/>
    <mergeCell ref="Q739:R739"/>
    <mergeCell ref="H749:J749"/>
    <mergeCell ref="K749:L749"/>
    <mergeCell ref="Q749:R749"/>
    <mergeCell ref="H750:J750"/>
    <mergeCell ref="K750:L750"/>
    <mergeCell ref="Q750:R750"/>
    <mergeCell ref="H747:J747"/>
    <mergeCell ref="K747:L747"/>
    <mergeCell ref="Q747:R747"/>
    <mergeCell ref="H748:J748"/>
    <mergeCell ref="K748:L748"/>
    <mergeCell ref="Q748:R748"/>
    <mergeCell ref="H745:J745"/>
    <mergeCell ref="K745:L745"/>
    <mergeCell ref="Q745:R745"/>
    <mergeCell ref="H746:J746"/>
    <mergeCell ref="K746:L746"/>
    <mergeCell ref="Q746:R746"/>
    <mergeCell ref="H758:J758"/>
    <mergeCell ref="K758:L758"/>
    <mergeCell ref="Q758:R758"/>
    <mergeCell ref="H759:J759"/>
    <mergeCell ref="K759:L759"/>
    <mergeCell ref="Q759:R759"/>
    <mergeCell ref="H755:J755"/>
    <mergeCell ref="K755:L755"/>
    <mergeCell ref="Q755:R755"/>
    <mergeCell ref="E756:E758"/>
    <mergeCell ref="H756:J756"/>
    <mergeCell ref="K756:L756"/>
    <mergeCell ref="Q756:R756"/>
    <mergeCell ref="H757:J757"/>
    <mergeCell ref="K757:L757"/>
    <mergeCell ref="Q757:R757"/>
    <mergeCell ref="H753:J753"/>
    <mergeCell ref="K753:L753"/>
    <mergeCell ref="Q753:R753"/>
    <mergeCell ref="H754:J754"/>
    <mergeCell ref="K754:L754"/>
    <mergeCell ref="Q754:R754"/>
    <mergeCell ref="H764:J764"/>
    <mergeCell ref="K764:L764"/>
    <mergeCell ref="Q764:R764"/>
    <mergeCell ref="H765:J765"/>
    <mergeCell ref="K765:L765"/>
    <mergeCell ref="Q765:R765"/>
    <mergeCell ref="H762:J762"/>
    <mergeCell ref="K762:L762"/>
    <mergeCell ref="Q762:R762"/>
    <mergeCell ref="H763:J763"/>
    <mergeCell ref="K763:L763"/>
    <mergeCell ref="Q763:R763"/>
    <mergeCell ref="H760:J760"/>
    <mergeCell ref="K760:L760"/>
    <mergeCell ref="Q760:R760"/>
    <mergeCell ref="H761:J761"/>
    <mergeCell ref="K761:L761"/>
    <mergeCell ref="Q761:R761"/>
    <mergeCell ref="H773:J773"/>
    <mergeCell ref="K773:L773"/>
    <mergeCell ref="Q773:R773"/>
    <mergeCell ref="H774:J774"/>
    <mergeCell ref="K774:L774"/>
    <mergeCell ref="Q774:R774"/>
    <mergeCell ref="H770:J770"/>
    <mergeCell ref="K770:L770"/>
    <mergeCell ref="Q770:R770"/>
    <mergeCell ref="E771:E773"/>
    <mergeCell ref="H771:J771"/>
    <mergeCell ref="K771:L771"/>
    <mergeCell ref="Q771:R771"/>
    <mergeCell ref="H772:J772"/>
    <mergeCell ref="K772:L772"/>
    <mergeCell ref="Q772:R772"/>
    <mergeCell ref="H768:J768"/>
    <mergeCell ref="K768:L768"/>
    <mergeCell ref="Q768:R768"/>
    <mergeCell ref="H769:J769"/>
    <mergeCell ref="K769:L769"/>
    <mergeCell ref="Q769:R769"/>
    <mergeCell ref="H779:J779"/>
    <mergeCell ref="K779:L779"/>
    <mergeCell ref="Q779:R779"/>
    <mergeCell ref="H780:J780"/>
    <mergeCell ref="K780:L780"/>
    <mergeCell ref="Q780:R780"/>
    <mergeCell ref="H777:J777"/>
    <mergeCell ref="K777:L777"/>
    <mergeCell ref="Q777:R777"/>
    <mergeCell ref="H778:J778"/>
    <mergeCell ref="K778:L778"/>
    <mergeCell ref="Q778:R778"/>
    <mergeCell ref="H775:J775"/>
    <mergeCell ref="K775:L775"/>
    <mergeCell ref="Q775:R775"/>
    <mergeCell ref="H776:J776"/>
    <mergeCell ref="K776:L776"/>
    <mergeCell ref="Q776:R776"/>
    <mergeCell ref="H788:J788"/>
    <mergeCell ref="K788:L788"/>
    <mergeCell ref="Q788:R788"/>
    <mergeCell ref="H789:J789"/>
    <mergeCell ref="K789:L789"/>
    <mergeCell ref="Q789:R789"/>
    <mergeCell ref="H785:J785"/>
    <mergeCell ref="K785:L785"/>
    <mergeCell ref="Q785:R785"/>
    <mergeCell ref="E786:E788"/>
    <mergeCell ref="H786:J786"/>
    <mergeCell ref="K786:L786"/>
    <mergeCell ref="Q786:R786"/>
    <mergeCell ref="H787:J787"/>
    <mergeCell ref="K787:L787"/>
    <mergeCell ref="Q787:R787"/>
    <mergeCell ref="H783:J783"/>
    <mergeCell ref="K783:L783"/>
    <mergeCell ref="Q783:R783"/>
    <mergeCell ref="H784:J784"/>
    <mergeCell ref="K784:L784"/>
    <mergeCell ref="Q784:R784"/>
    <mergeCell ref="H794:J794"/>
    <mergeCell ref="K794:L794"/>
    <mergeCell ref="Q794:R794"/>
    <mergeCell ref="H795:J795"/>
    <mergeCell ref="K795:L795"/>
    <mergeCell ref="Q795:R795"/>
    <mergeCell ref="H792:J792"/>
    <mergeCell ref="K792:L792"/>
    <mergeCell ref="Q792:R792"/>
    <mergeCell ref="H793:J793"/>
    <mergeCell ref="K793:L793"/>
    <mergeCell ref="Q793:R793"/>
    <mergeCell ref="H790:J790"/>
    <mergeCell ref="K790:L790"/>
    <mergeCell ref="Q790:R790"/>
    <mergeCell ref="H791:J791"/>
    <mergeCell ref="K791:L791"/>
    <mergeCell ref="Q791:R791"/>
    <mergeCell ref="H803:J803"/>
    <mergeCell ref="K803:L803"/>
    <mergeCell ref="Q803:R803"/>
    <mergeCell ref="H804:J804"/>
    <mergeCell ref="K804:L804"/>
    <mergeCell ref="Q804:R804"/>
    <mergeCell ref="H800:J800"/>
    <mergeCell ref="K800:L800"/>
    <mergeCell ref="Q800:R800"/>
    <mergeCell ref="E801:E803"/>
    <mergeCell ref="H801:J801"/>
    <mergeCell ref="K801:L801"/>
    <mergeCell ref="Q801:R801"/>
    <mergeCell ref="H802:J802"/>
    <mergeCell ref="K802:L802"/>
    <mergeCell ref="Q802:R802"/>
    <mergeCell ref="H798:J798"/>
    <mergeCell ref="K798:L798"/>
    <mergeCell ref="Q798:R798"/>
    <mergeCell ref="H799:J799"/>
    <mergeCell ref="K799:L799"/>
    <mergeCell ref="Q799:R799"/>
    <mergeCell ref="H809:J809"/>
    <mergeCell ref="K809:L809"/>
    <mergeCell ref="Q809:R809"/>
    <mergeCell ref="H810:J810"/>
    <mergeCell ref="K810:L810"/>
    <mergeCell ref="Q810:R810"/>
    <mergeCell ref="H807:J807"/>
    <mergeCell ref="K807:L807"/>
    <mergeCell ref="Q807:R807"/>
    <mergeCell ref="H808:J808"/>
    <mergeCell ref="K808:L808"/>
    <mergeCell ref="Q808:R808"/>
    <mergeCell ref="H805:J805"/>
    <mergeCell ref="K805:L805"/>
    <mergeCell ref="Q805:R805"/>
    <mergeCell ref="H806:J806"/>
    <mergeCell ref="K806:L806"/>
    <mergeCell ref="Q806:R806"/>
    <mergeCell ref="H818:J818"/>
    <mergeCell ref="K818:L818"/>
    <mergeCell ref="Q818:R818"/>
    <mergeCell ref="H819:J819"/>
    <mergeCell ref="K819:L819"/>
    <mergeCell ref="Q819:R819"/>
    <mergeCell ref="H815:J815"/>
    <mergeCell ref="K815:L815"/>
    <mergeCell ref="Q815:R815"/>
    <mergeCell ref="E816:E818"/>
    <mergeCell ref="H816:J816"/>
    <mergeCell ref="K816:L816"/>
    <mergeCell ref="Q816:R816"/>
    <mergeCell ref="H817:J817"/>
    <mergeCell ref="K817:L817"/>
    <mergeCell ref="Q817:R817"/>
    <mergeCell ref="H813:J813"/>
    <mergeCell ref="K813:L813"/>
    <mergeCell ref="Q813:R813"/>
    <mergeCell ref="H814:J814"/>
    <mergeCell ref="K814:L814"/>
    <mergeCell ref="Q814:R814"/>
    <mergeCell ref="H824:J824"/>
    <mergeCell ref="K824:L824"/>
    <mergeCell ref="Q824:R824"/>
    <mergeCell ref="H825:J825"/>
    <mergeCell ref="K825:L825"/>
    <mergeCell ref="Q825:R825"/>
    <mergeCell ref="H822:J822"/>
    <mergeCell ref="K822:L822"/>
    <mergeCell ref="Q822:R822"/>
    <mergeCell ref="H823:J823"/>
    <mergeCell ref="K823:L823"/>
    <mergeCell ref="Q823:R823"/>
    <mergeCell ref="H820:J820"/>
    <mergeCell ref="K820:L820"/>
    <mergeCell ref="Q820:R820"/>
    <mergeCell ref="H821:J821"/>
    <mergeCell ref="K821:L821"/>
    <mergeCell ref="Q821:R821"/>
    <mergeCell ref="H833:J833"/>
    <mergeCell ref="K833:L833"/>
    <mergeCell ref="Q833:R833"/>
    <mergeCell ref="H834:J834"/>
    <mergeCell ref="K834:L834"/>
    <mergeCell ref="Q834:R834"/>
    <mergeCell ref="H830:J830"/>
    <mergeCell ref="K830:L830"/>
    <mergeCell ref="Q830:R830"/>
    <mergeCell ref="E831:E833"/>
    <mergeCell ref="H831:J831"/>
    <mergeCell ref="K831:L831"/>
    <mergeCell ref="Q831:R831"/>
    <mergeCell ref="H832:J832"/>
    <mergeCell ref="K832:L832"/>
    <mergeCell ref="Q832:R832"/>
    <mergeCell ref="H828:J828"/>
    <mergeCell ref="K828:L828"/>
    <mergeCell ref="Q828:R828"/>
    <mergeCell ref="H829:J829"/>
    <mergeCell ref="K829:L829"/>
    <mergeCell ref="Q829:R829"/>
    <mergeCell ref="H839:J839"/>
    <mergeCell ref="K839:L839"/>
    <mergeCell ref="Q839:R839"/>
    <mergeCell ref="H840:J840"/>
    <mergeCell ref="K840:L840"/>
    <mergeCell ref="Q840:R840"/>
    <mergeCell ref="H837:J837"/>
    <mergeCell ref="K837:L837"/>
    <mergeCell ref="Q837:R837"/>
    <mergeCell ref="H838:J838"/>
    <mergeCell ref="K838:L838"/>
    <mergeCell ref="Q838:R838"/>
    <mergeCell ref="H835:J835"/>
    <mergeCell ref="K835:L835"/>
    <mergeCell ref="Q835:R835"/>
    <mergeCell ref="H836:J836"/>
    <mergeCell ref="K836:L836"/>
    <mergeCell ref="Q836:R836"/>
    <mergeCell ref="H848:J848"/>
    <mergeCell ref="K848:L848"/>
    <mergeCell ref="Q848:R848"/>
    <mergeCell ref="H849:J849"/>
    <mergeCell ref="K849:L849"/>
    <mergeCell ref="Q849:R849"/>
    <mergeCell ref="H845:J845"/>
    <mergeCell ref="K845:L845"/>
    <mergeCell ref="Q845:R845"/>
    <mergeCell ref="E846:E848"/>
    <mergeCell ref="H846:J846"/>
    <mergeCell ref="K846:L846"/>
    <mergeCell ref="Q846:R846"/>
    <mergeCell ref="H847:J847"/>
    <mergeCell ref="K847:L847"/>
    <mergeCell ref="Q847:R847"/>
    <mergeCell ref="H843:J843"/>
    <mergeCell ref="K843:L843"/>
    <mergeCell ref="Q843:R843"/>
    <mergeCell ref="H844:J844"/>
    <mergeCell ref="K844:L844"/>
    <mergeCell ref="Q844:R844"/>
    <mergeCell ref="H854:J854"/>
    <mergeCell ref="K854:L854"/>
    <mergeCell ref="Q854:R854"/>
    <mergeCell ref="H855:J855"/>
    <mergeCell ref="K855:L855"/>
    <mergeCell ref="Q855:R855"/>
    <mergeCell ref="H852:J852"/>
    <mergeCell ref="K852:L852"/>
    <mergeCell ref="Q852:R852"/>
    <mergeCell ref="H853:J853"/>
    <mergeCell ref="K853:L853"/>
    <mergeCell ref="Q853:R853"/>
    <mergeCell ref="H850:J850"/>
    <mergeCell ref="K850:L850"/>
    <mergeCell ref="Q850:R850"/>
    <mergeCell ref="H851:J851"/>
    <mergeCell ref="K851:L851"/>
    <mergeCell ref="Q851:R851"/>
    <mergeCell ref="H862:J862"/>
    <mergeCell ref="K862:L862"/>
    <mergeCell ref="Q862:R862"/>
    <mergeCell ref="H863:J863"/>
    <mergeCell ref="K863:L863"/>
    <mergeCell ref="Q863:R863"/>
    <mergeCell ref="H859:J859"/>
    <mergeCell ref="K859:L859"/>
    <mergeCell ref="Q859:R859"/>
    <mergeCell ref="E860:E862"/>
    <mergeCell ref="H860:J860"/>
    <mergeCell ref="K860:L860"/>
    <mergeCell ref="Q860:R860"/>
    <mergeCell ref="H861:J861"/>
    <mergeCell ref="K861:L861"/>
    <mergeCell ref="Q861:R861"/>
    <mergeCell ref="H857:J857"/>
    <mergeCell ref="K857:L857"/>
    <mergeCell ref="Q857:R857"/>
    <mergeCell ref="H858:J858"/>
    <mergeCell ref="K858:L858"/>
    <mergeCell ref="Q858:R858"/>
    <mergeCell ref="H868:J868"/>
    <mergeCell ref="K868:L868"/>
    <mergeCell ref="Q868:R868"/>
    <mergeCell ref="H869:J869"/>
    <mergeCell ref="K869:L869"/>
    <mergeCell ref="Q869:R869"/>
    <mergeCell ref="H866:J866"/>
    <mergeCell ref="K866:L866"/>
    <mergeCell ref="Q866:R866"/>
    <mergeCell ref="H867:J867"/>
    <mergeCell ref="K867:L867"/>
    <mergeCell ref="Q867:R867"/>
    <mergeCell ref="H864:J864"/>
    <mergeCell ref="K864:L864"/>
    <mergeCell ref="Q864:R864"/>
    <mergeCell ref="H865:J865"/>
    <mergeCell ref="K865:L865"/>
    <mergeCell ref="Q865:R865"/>
    <mergeCell ref="H877:J877"/>
    <mergeCell ref="K877:L877"/>
    <mergeCell ref="Q877:R877"/>
    <mergeCell ref="H878:J878"/>
    <mergeCell ref="K878:L878"/>
    <mergeCell ref="Q878:R878"/>
    <mergeCell ref="H874:J874"/>
    <mergeCell ref="K874:L874"/>
    <mergeCell ref="Q874:R874"/>
    <mergeCell ref="E875:E877"/>
    <mergeCell ref="H875:J875"/>
    <mergeCell ref="K875:L875"/>
    <mergeCell ref="Q875:R875"/>
    <mergeCell ref="H876:J876"/>
    <mergeCell ref="K876:L876"/>
    <mergeCell ref="Q876:R876"/>
    <mergeCell ref="H872:J872"/>
    <mergeCell ref="K872:L872"/>
    <mergeCell ref="Q872:R872"/>
    <mergeCell ref="H873:J873"/>
    <mergeCell ref="K873:L873"/>
    <mergeCell ref="Q873:R873"/>
    <mergeCell ref="H883:J883"/>
    <mergeCell ref="K883:L883"/>
    <mergeCell ref="Q883:R883"/>
    <mergeCell ref="H884:J884"/>
    <mergeCell ref="K884:L884"/>
    <mergeCell ref="Q884:R884"/>
    <mergeCell ref="H881:J881"/>
    <mergeCell ref="K881:L881"/>
    <mergeCell ref="Q881:R881"/>
    <mergeCell ref="H882:J882"/>
    <mergeCell ref="K882:L882"/>
    <mergeCell ref="Q882:R882"/>
    <mergeCell ref="H879:J879"/>
    <mergeCell ref="K879:L879"/>
    <mergeCell ref="Q879:R879"/>
    <mergeCell ref="H880:J880"/>
    <mergeCell ref="K880:L880"/>
    <mergeCell ref="Q880:R880"/>
    <mergeCell ref="H892:J892"/>
    <mergeCell ref="K892:L892"/>
    <mergeCell ref="Q892:R892"/>
    <mergeCell ref="H893:J893"/>
    <mergeCell ref="K893:L893"/>
    <mergeCell ref="Q893:R893"/>
    <mergeCell ref="H889:J889"/>
    <mergeCell ref="K889:L889"/>
    <mergeCell ref="Q889:R889"/>
    <mergeCell ref="E890:E892"/>
    <mergeCell ref="H890:J890"/>
    <mergeCell ref="K890:L890"/>
    <mergeCell ref="Q890:R890"/>
    <mergeCell ref="H891:J891"/>
    <mergeCell ref="K891:L891"/>
    <mergeCell ref="Q891:R891"/>
    <mergeCell ref="H887:J887"/>
    <mergeCell ref="K887:L887"/>
    <mergeCell ref="Q887:R887"/>
    <mergeCell ref="H888:J888"/>
    <mergeCell ref="K888:L888"/>
    <mergeCell ref="Q888:R888"/>
    <mergeCell ref="H898:J898"/>
    <mergeCell ref="K898:L898"/>
    <mergeCell ref="Q898:R898"/>
    <mergeCell ref="H899:J899"/>
    <mergeCell ref="K899:L899"/>
    <mergeCell ref="Q899:R899"/>
    <mergeCell ref="H896:J896"/>
    <mergeCell ref="K896:L896"/>
    <mergeCell ref="Q896:R896"/>
    <mergeCell ref="H897:J897"/>
    <mergeCell ref="K897:L897"/>
    <mergeCell ref="Q897:R897"/>
    <mergeCell ref="H894:J894"/>
    <mergeCell ref="K894:L894"/>
    <mergeCell ref="Q894:R894"/>
    <mergeCell ref="H895:J895"/>
    <mergeCell ref="K895:L895"/>
    <mergeCell ref="Q895:R895"/>
    <mergeCell ref="H907:J907"/>
    <mergeCell ref="K907:L907"/>
    <mergeCell ref="Q907:R907"/>
    <mergeCell ref="H908:J908"/>
    <mergeCell ref="K908:L908"/>
    <mergeCell ref="Q908:R908"/>
    <mergeCell ref="H904:J904"/>
    <mergeCell ref="K904:L904"/>
    <mergeCell ref="Q904:R904"/>
    <mergeCell ref="E905:E907"/>
    <mergeCell ref="H905:J905"/>
    <mergeCell ref="K905:L905"/>
    <mergeCell ref="Q905:R905"/>
    <mergeCell ref="H906:J906"/>
    <mergeCell ref="K906:L906"/>
    <mergeCell ref="Q906:R906"/>
    <mergeCell ref="H902:J902"/>
    <mergeCell ref="K902:L902"/>
    <mergeCell ref="Q902:R902"/>
    <mergeCell ref="H903:J903"/>
    <mergeCell ref="K903:L903"/>
    <mergeCell ref="Q903:R903"/>
    <mergeCell ref="H913:J913"/>
    <mergeCell ref="K913:L913"/>
    <mergeCell ref="Q913:R913"/>
    <mergeCell ref="H914:J914"/>
    <mergeCell ref="K914:L914"/>
    <mergeCell ref="Q914:R914"/>
    <mergeCell ref="H911:J911"/>
    <mergeCell ref="K911:L911"/>
    <mergeCell ref="Q911:R911"/>
    <mergeCell ref="H912:J912"/>
    <mergeCell ref="K912:L912"/>
    <mergeCell ref="Q912:R912"/>
    <mergeCell ref="H909:J909"/>
    <mergeCell ref="K909:L909"/>
    <mergeCell ref="Q909:R909"/>
    <mergeCell ref="H910:J910"/>
    <mergeCell ref="K910:L910"/>
    <mergeCell ref="Q910:R910"/>
    <mergeCell ref="H922:J922"/>
    <mergeCell ref="K922:L922"/>
    <mergeCell ref="Q922:R922"/>
    <mergeCell ref="H923:J923"/>
    <mergeCell ref="K923:L923"/>
    <mergeCell ref="Q923:R923"/>
    <mergeCell ref="H919:J919"/>
    <mergeCell ref="K919:L919"/>
    <mergeCell ref="Q919:R919"/>
    <mergeCell ref="E920:E922"/>
    <mergeCell ref="H920:J920"/>
    <mergeCell ref="K920:L920"/>
    <mergeCell ref="Q920:R920"/>
    <mergeCell ref="H921:J921"/>
    <mergeCell ref="K921:L921"/>
    <mergeCell ref="Q921:R921"/>
    <mergeCell ref="H917:J917"/>
    <mergeCell ref="K917:L917"/>
    <mergeCell ref="Q917:R917"/>
    <mergeCell ref="H918:J918"/>
    <mergeCell ref="K918:L918"/>
    <mergeCell ref="Q918:R918"/>
    <mergeCell ref="H928:J928"/>
    <mergeCell ref="K928:L928"/>
    <mergeCell ref="Q928:R928"/>
    <mergeCell ref="H929:J929"/>
    <mergeCell ref="K929:L929"/>
    <mergeCell ref="Q929:R929"/>
    <mergeCell ref="H926:J926"/>
    <mergeCell ref="K926:L926"/>
    <mergeCell ref="Q926:R926"/>
    <mergeCell ref="H927:J927"/>
    <mergeCell ref="K927:L927"/>
    <mergeCell ref="Q927:R927"/>
    <mergeCell ref="H924:J924"/>
    <mergeCell ref="K924:L924"/>
    <mergeCell ref="Q924:R924"/>
    <mergeCell ref="H925:J925"/>
    <mergeCell ref="K925:L925"/>
    <mergeCell ref="Q925:R925"/>
    <mergeCell ref="H937:J937"/>
    <mergeCell ref="K937:L937"/>
    <mergeCell ref="Q937:R937"/>
    <mergeCell ref="H938:J938"/>
    <mergeCell ref="K938:L938"/>
    <mergeCell ref="Q938:R938"/>
    <mergeCell ref="H934:J934"/>
    <mergeCell ref="K934:L934"/>
    <mergeCell ref="Q934:R934"/>
    <mergeCell ref="E935:E937"/>
    <mergeCell ref="H935:J935"/>
    <mergeCell ref="K935:L935"/>
    <mergeCell ref="Q935:R935"/>
    <mergeCell ref="H936:J936"/>
    <mergeCell ref="K936:L936"/>
    <mergeCell ref="Q936:R936"/>
    <mergeCell ref="H932:J932"/>
    <mergeCell ref="K932:L932"/>
    <mergeCell ref="Q932:R932"/>
    <mergeCell ref="H933:J933"/>
    <mergeCell ref="K933:L933"/>
    <mergeCell ref="Q933:R933"/>
    <mergeCell ref="H943:J943"/>
    <mergeCell ref="K943:L943"/>
    <mergeCell ref="Q943:R943"/>
    <mergeCell ref="H944:J944"/>
    <mergeCell ref="K944:L944"/>
    <mergeCell ref="Q944:R944"/>
    <mergeCell ref="H941:J941"/>
    <mergeCell ref="K941:L941"/>
    <mergeCell ref="Q941:R941"/>
    <mergeCell ref="H942:J942"/>
    <mergeCell ref="K942:L942"/>
    <mergeCell ref="Q942:R942"/>
    <mergeCell ref="H939:J939"/>
    <mergeCell ref="K939:L939"/>
    <mergeCell ref="Q939:R939"/>
    <mergeCell ref="H940:J940"/>
    <mergeCell ref="K940:L940"/>
    <mergeCell ref="Q940:R940"/>
    <mergeCell ref="H952:J952"/>
    <mergeCell ref="K952:L952"/>
    <mergeCell ref="Q952:R952"/>
    <mergeCell ref="H953:J953"/>
    <mergeCell ref="K953:L953"/>
    <mergeCell ref="Q953:R953"/>
    <mergeCell ref="H949:J949"/>
    <mergeCell ref="K949:L949"/>
    <mergeCell ref="Q949:R949"/>
    <mergeCell ref="E950:E952"/>
    <mergeCell ref="H950:J950"/>
    <mergeCell ref="K950:L950"/>
    <mergeCell ref="Q950:R950"/>
    <mergeCell ref="H951:J951"/>
    <mergeCell ref="K951:L951"/>
    <mergeCell ref="Q951:R951"/>
    <mergeCell ref="H947:J947"/>
    <mergeCell ref="K947:L947"/>
    <mergeCell ref="Q947:R947"/>
    <mergeCell ref="H948:J948"/>
    <mergeCell ref="K948:L948"/>
    <mergeCell ref="Q948:R948"/>
    <mergeCell ref="H958:J958"/>
    <mergeCell ref="K958:L958"/>
    <mergeCell ref="Q958:R958"/>
    <mergeCell ref="H959:J959"/>
    <mergeCell ref="K959:L959"/>
    <mergeCell ref="Q959:R959"/>
    <mergeCell ref="H956:J956"/>
    <mergeCell ref="K956:L956"/>
    <mergeCell ref="Q956:R956"/>
    <mergeCell ref="H957:J957"/>
    <mergeCell ref="K957:L957"/>
    <mergeCell ref="Q957:R957"/>
    <mergeCell ref="H954:J954"/>
    <mergeCell ref="K954:L954"/>
    <mergeCell ref="Q954:R954"/>
    <mergeCell ref="H955:J955"/>
    <mergeCell ref="K955:L955"/>
    <mergeCell ref="Q955:R955"/>
    <mergeCell ref="H967:J967"/>
    <mergeCell ref="K967:L967"/>
    <mergeCell ref="Q967:R967"/>
    <mergeCell ref="H968:J968"/>
    <mergeCell ref="K968:L968"/>
    <mergeCell ref="Q968:R968"/>
    <mergeCell ref="H964:J964"/>
    <mergeCell ref="K964:L964"/>
    <mergeCell ref="Q964:R964"/>
    <mergeCell ref="E965:E967"/>
    <mergeCell ref="H965:J965"/>
    <mergeCell ref="K965:L965"/>
    <mergeCell ref="Q965:R965"/>
    <mergeCell ref="H966:J966"/>
    <mergeCell ref="K966:L966"/>
    <mergeCell ref="Q966:R966"/>
    <mergeCell ref="H962:J962"/>
    <mergeCell ref="K962:L962"/>
    <mergeCell ref="Q962:R962"/>
    <mergeCell ref="H963:J963"/>
    <mergeCell ref="K963:L963"/>
    <mergeCell ref="Q963:R963"/>
    <mergeCell ref="H973:J973"/>
    <mergeCell ref="K973:L973"/>
    <mergeCell ref="Q973:R973"/>
    <mergeCell ref="H974:J974"/>
    <mergeCell ref="K974:L974"/>
    <mergeCell ref="Q974:R974"/>
    <mergeCell ref="H971:J971"/>
    <mergeCell ref="K971:L971"/>
    <mergeCell ref="Q971:R971"/>
    <mergeCell ref="H972:J972"/>
    <mergeCell ref="K972:L972"/>
    <mergeCell ref="Q972:R972"/>
    <mergeCell ref="H969:J969"/>
    <mergeCell ref="K969:L969"/>
    <mergeCell ref="Q969:R969"/>
    <mergeCell ref="H970:J970"/>
    <mergeCell ref="K970:L970"/>
    <mergeCell ref="Q970:R970"/>
    <mergeCell ref="H982:J982"/>
    <mergeCell ref="K982:L982"/>
    <mergeCell ref="Q982:R982"/>
    <mergeCell ref="H983:J983"/>
    <mergeCell ref="K983:L983"/>
    <mergeCell ref="Q983:R983"/>
    <mergeCell ref="H979:J979"/>
    <mergeCell ref="K979:L979"/>
    <mergeCell ref="Q979:R979"/>
    <mergeCell ref="E980:E982"/>
    <mergeCell ref="H980:J980"/>
    <mergeCell ref="K980:L980"/>
    <mergeCell ref="Q980:R980"/>
    <mergeCell ref="H981:J981"/>
    <mergeCell ref="K981:L981"/>
    <mergeCell ref="Q981:R981"/>
    <mergeCell ref="H977:J977"/>
    <mergeCell ref="K977:L977"/>
    <mergeCell ref="Q977:R977"/>
    <mergeCell ref="H978:J978"/>
    <mergeCell ref="K978:L978"/>
    <mergeCell ref="Q978:R978"/>
    <mergeCell ref="H988:J988"/>
    <mergeCell ref="K988:L988"/>
    <mergeCell ref="Q988:R988"/>
    <mergeCell ref="H989:J989"/>
    <mergeCell ref="K989:L989"/>
    <mergeCell ref="Q989:R989"/>
    <mergeCell ref="H986:J986"/>
    <mergeCell ref="K986:L986"/>
    <mergeCell ref="Q986:R986"/>
    <mergeCell ref="H987:J987"/>
    <mergeCell ref="K987:L987"/>
    <mergeCell ref="Q987:R987"/>
    <mergeCell ref="H984:J984"/>
    <mergeCell ref="K984:L984"/>
    <mergeCell ref="Q984:R984"/>
    <mergeCell ref="H985:J985"/>
    <mergeCell ref="K985:L985"/>
    <mergeCell ref="Q985:R985"/>
    <mergeCell ref="H996:J996"/>
    <mergeCell ref="K996:L996"/>
    <mergeCell ref="Q996:R996"/>
    <mergeCell ref="H997:J997"/>
    <mergeCell ref="K997:L997"/>
    <mergeCell ref="Q997:R997"/>
    <mergeCell ref="H993:J993"/>
    <mergeCell ref="K993:L993"/>
    <mergeCell ref="Q993:R993"/>
    <mergeCell ref="E994:E996"/>
    <mergeCell ref="H994:J994"/>
    <mergeCell ref="K994:L994"/>
    <mergeCell ref="Q994:R994"/>
    <mergeCell ref="H995:J995"/>
    <mergeCell ref="K995:L995"/>
    <mergeCell ref="Q995:R995"/>
    <mergeCell ref="H991:J991"/>
    <mergeCell ref="K991:L991"/>
    <mergeCell ref="Q991:R991"/>
    <mergeCell ref="H992:J992"/>
    <mergeCell ref="K992:L992"/>
    <mergeCell ref="Q992:R992"/>
    <mergeCell ref="H1002:J1002"/>
    <mergeCell ref="K1002:L1002"/>
    <mergeCell ref="Q1002:R1002"/>
    <mergeCell ref="H1003:J1003"/>
    <mergeCell ref="K1003:L1003"/>
    <mergeCell ref="Q1003:R1003"/>
    <mergeCell ref="H1000:J1000"/>
    <mergeCell ref="K1000:L1000"/>
    <mergeCell ref="Q1000:R1000"/>
    <mergeCell ref="H1001:J1001"/>
    <mergeCell ref="K1001:L1001"/>
    <mergeCell ref="Q1001:R1001"/>
    <mergeCell ref="H998:J998"/>
    <mergeCell ref="K998:L998"/>
    <mergeCell ref="Q998:R998"/>
    <mergeCell ref="H999:J999"/>
    <mergeCell ref="K999:L999"/>
    <mergeCell ref="Q999:R999"/>
  </mergeCells>
  <pageMargins left="0.78740157480314998" right="0.78740157480314998" top="0.39370078740157499" bottom="0.67441732283464595" header="0.39370078740157499" footer="0.39370078740157499"/>
  <pageSetup paperSize="0" orientation="landscape" horizontalDpi="300" verticalDpi="300"/>
  <headerFooter alignWithMargins="0">
    <oddFooter>&amp;L&amp;"Segoe UI,Regular"&amp;9 Printed Date: &amp;"-,Regular"16/04/2025 11:16 AM &amp;C&amp;"Segoe UI,Regular"&amp;9 Page 2   of  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Sheet2 (2)</vt:lpstr>
      <vt:lpstr>Sheet1!Print_Titles</vt:lpstr>
      <vt:lpstr>Sheet2!Print_Titles</vt:lpstr>
      <vt:lpstr>'Sheet2 (2)'!Print_Titles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SUPREETHA</dc:creator>
  <cp:lastModifiedBy>SUPREETHA</cp:lastModifiedBy>
  <cp:lastPrinted>2025-04-16T06:11:36Z</cp:lastPrinted>
  <dcterms:created xsi:type="dcterms:W3CDTF">2025-04-16T05:46:39Z</dcterms:created>
  <dcterms:modified xsi:type="dcterms:W3CDTF">2025-05-29T06:46:15Z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